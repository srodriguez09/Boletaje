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3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ressandi/Desktop/"/>
    </mc:Choice>
  </mc:AlternateContent>
  <xr:revisionPtr revIDLastSave="0" documentId="13_ncr:1_{EACBA9E6-717E-D949-BDFA-D340F7DA7B01}" xr6:coauthVersionLast="47" xr6:coauthVersionMax="47" xr10:uidLastSave="{00000000-0000-0000-0000-000000000000}"/>
  <bookViews>
    <workbookView xWindow="0" yWindow="500" windowWidth="28800" windowHeight="15780" tabRatio="774" xr2:uid="{00000000-000D-0000-FFFF-FFFF00000000}"/>
  </bookViews>
  <sheets>
    <sheet name="Boleta" sheetId="1" r:id="rId1"/>
    <sheet name="Servicio" sheetId="2" r:id="rId2"/>
    <sheet name="Bodega" sheetId="3" r:id="rId3"/>
    <sheet name="Modelo" sheetId="4" r:id="rId4"/>
    <sheet name="Diagnosticos" sheetId="20" r:id="rId5"/>
    <sheet name="Aspiradora" sheetId="5" r:id="rId6"/>
    <sheet name="Barredora" sheetId="6" r:id="rId7"/>
    <sheet name="Cepillo" sheetId="7" r:id="rId8"/>
    <sheet name="Compresor" sheetId="8" r:id="rId9"/>
    <sheet name="Escoba" sheetId="9" r:id="rId10"/>
    <sheet name="K" sheetId="15" r:id="rId11"/>
    <sheet name="Fregadora" sheetId="10" r:id="rId12"/>
    <sheet name="Estacionaria" sheetId="11" r:id="rId13"/>
    <sheet name="Gasolina" sheetId="12" r:id="rId14"/>
    <sheet name="HDS" sheetId="13" r:id="rId15"/>
    <sheet name="HD" sheetId="14" r:id="rId16"/>
    <sheet name="Irobot" sheetId="16" r:id="rId17"/>
    <sheet name="Lava-aspiradora" sheetId="17" r:id="rId18"/>
    <sheet name="Trapp" sheetId="18" r:id="rId19"/>
    <sheet name="Vaporizador" sheetId="19" r:id="rId20"/>
    <sheet name="Ubicaciones" sheetId="21" state="veryHidden" r:id="rId21"/>
  </sheets>
  <externalReferences>
    <externalReference r:id="rId22"/>
  </externalReferences>
  <definedNames>
    <definedName name="A_2004">Aspiradora!$B$3:$B$20</definedName>
    <definedName name="A_2204">Aspiradora!$E$3:$E$20</definedName>
    <definedName name="ASPIRADORA">Tabla2[ASPIRADORA]</definedName>
    <definedName name="B_80_100">Fregadora!$BN$3:$BN$17</definedName>
    <definedName name="B140_R_D75">Fregadora!$AC$3:$AC$44</definedName>
    <definedName name="B150R_BP_D75">Fregadora!$AF$3:$AF$39</definedName>
    <definedName name="B150R_D90">Fregadora!$AI$3:$AI$39</definedName>
    <definedName name="B250_D100">Fregadora!$AO$3:$AO$30</definedName>
    <definedName name="B250_D100_KIK">Fregadora!$AR$3:$AR$31</definedName>
    <definedName name="B40_W_BP_D43">Fregadora!$N$3:$N$30</definedName>
    <definedName name="B40_W_BP_D51">Fregadora!$Q$3:$Q$30</definedName>
    <definedName name="B40_WP_D43_EP">Fregadora!$H$3:$H$20</definedName>
    <definedName name="B40_WP_D51_EP">Fregadora!$K$3:$K$20</definedName>
    <definedName name="B60_W_BP_D55">Fregadora!$T$3:$T$29</definedName>
    <definedName name="B60_W_BP_D65">Fregadora!$W$3:$W$29</definedName>
    <definedName name="BARREDORA">Modelo!$H$3:$H$3</definedName>
    <definedName name="BD_50_50">Fregadora!$AU$3:$AU$17</definedName>
    <definedName name="BD_50_60_EP">Fregadora!$AX$3:$AX$15</definedName>
    <definedName name="BD_50_70">Fregadora!$BA$3:$BA$34</definedName>
    <definedName name="BR_30_4">Fregadora!$BD$3:$BD$15</definedName>
    <definedName name="BR_35_12">Fregadora!$BG$3:$BG$25</definedName>
    <definedName name="BR_40_10">Fregadora!$B$61:$B$97</definedName>
    <definedName name="BR_40_25">Fregadora!$BK$3:$BK$14</definedName>
    <definedName name="BR_55_60">Fregadora!$Z$3:$Z$17</definedName>
    <definedName name="BR_75_140">Fregadora!$AL$3:$AL$20</definedName>
    <definedName name="BRC_30_15">'Lava-aspiradora'!$E$3:$E$31</definedName>
    <definedName name="BRC_38_30">'Lava-aspiradora'!$H$3:$H$42</definedName>
    <definedName name="BV_5_1_BP">Aspiradora!$B$41:$B$62</definedName>
    <definedName name="BV_5_1_Ep">Aspiradora!$E$41:$E$59</definedName>
    <definedName name="CEPILLO_PULIDOR">Modelo!$J$3:$J$27</definedName>
    <definedName name="CÓDIGO_1_148_206">Aspiradora!$L$41:$L$60</definedName>
    <definedName name="CÓDIGO_1_783_454">Fregadora!$BI$3:$BI$25</definedName>
    <definedName name="CÓDIGO_1._325_104">Aspiradora!$X$41:$X$75</definedName>
    <definedName name="CÓDIGO_1.008_053">'Lava-aspiradora'!$I$3:$I$42</definedName>
    <definedName name="CÓDIGO_1.008_058">'Lava-aspiradora'!$F$3:$F$31</definedName>
    <definedName name="CÓDIGO_1.012_024">Aspiradora!$L$81:$L$112</definedName>
    <definedName name="CÓDIGO_1.012_024.2">Aspiradora!$O$81:$O$112</definedName>
    <definedName name="CÓDIGO_1.023_113">Aspiradora!$I$41:$I$69</definedName>
    <definedName name="CÓDIGO_1.027_350">HDS!$C$3:$C$62</definedName>
    <definedName name="CÓDIGO_1.055_300">Fregadora!$F$3:$F$12</definedName>
    <definedName name="CÓDIGO_1.055_506">Fregadora!$C$3:$C$17</definedName>
    <definedName name="CÓDIGO_1.071_431">HDS!$D$3:$D$62</definedName>
    <definedName name="CÓDIGO_1.087_711">HD!$AA$3:$AA$54</definedName>
    <definedName name="CÓDIGO_1.098_305">Aspiradora!$AA$3:$AA$17</definedName>
    <definedName name="CÓDIGO_1.100_123">'Lava-aspiradora'!$L$3:$L$31</definedName>
    <definedName name="CÓDIGO_1.100_228">'Lava-aspiradora'!$C$3:$C$25</definedName>
    <definedName name="CÓDIGO_1.107_331">Gasolina!$D$3:$D$43</definedName>
    <definedName name="CÓDIGO_1.107_383">Gasolina!$C$3:$C$43</definedName>
    <definedName name="CÓDIGO_1.127_003">Fregadora!$AY$3:$AY$15</definedName>
    <definedName name="CÓDIGO_1.127_006">Fregadora!$AV$3:$AV$17</definedName>
    <definedName name="CÓDIGO_1.127_028">Fregadora!$BO$3:$BO$17</definedName>
    <definedName name="CÓDIGO_1.161_071">Fregadora!$BB$3:$BB$34</definedName>
    <definedName name="CÓDIGO_1.180_643">K!$X$3:$X$25</definedName>
    <definedName name="CÓDIGO_1.184_854">Aspiradora!$O$41:$O$57</definedName>
    <definedName name="CÓDIGO_1.195_105">Aspiradora!$L$3:$L$18</definedName>
    <definedName name="CÓDIGO_1.195_136">Aspiradora!$O$3:$O$22</definedName>
    <definedName name="CÓDIGO_1.195_215">Aspiradora!$I$3:$I$19</definedName>
    <definedName name="CÓDIGO_1.198_254">Aspiradora!$C$81:$C$92</definedName>
    <definedName name="CÓDIGO_1.198_280">Aspiradora!$F$81:$F$96</definedName>
    <definedName name="CÓDIGO_1.241_110">K!$AA$34:$AA$52</definedName>
    <definedName name="CÓDIGO_1.246_008">Fregadora!$AD$3:$AD$44</definedName>
    <definedName name="CÓDIGO_1.246_020">Fregadora!$AJ$3:$AJ$39</definedName>
    <definedName name="CÓDIGO_1.246_020.2">Fregadora!$AG$3:$AG$39</definedName>
    <definedName name="CÓDIGO_1.246_171">Fregadora!$AM$3:$AM$20</definedName>
    <definedName name="CÓDIGO_1.258_004">Escoba!$C$3:$C$9</definedName>
    <definedName name="CÓDIGO_1.286_109">HD!$Q$3:$Q$70</definedName>
    <definedName name="CÓDIGO_1.286_127">HD!$M$3:$M$70</definedName>
    <definedName name="CÓDIGO_1.286_907">HD!$R$3:$R$70</definedName>
    <definedName name="CÓDIGO_1.286_908">HD!$N$3:$N$70</definedName>
    <definedName name="CÓDIGO_1.355_228">Aspiradora!$AJ$41:$AJ$62</definedName>
    <definedName name="CÓDIGO_1.367_310">HD!$X$3:$X$36</definedName>
    <definedName name="CÓDIGO_1.384_020">Fregadora!$X$3:$X$29</definedName>
    <definedName name="CÓDIGO_1.384_020.2">Fregadora!$U$3:$U$29</definedName>
    <definedName name="CÓDIGO_1.384_211">Fregadora!$AA$3:$AA$17</definedName>
    <definedName name="CÓDIGO_1.394_215">Aspiradora!$F$41:$F$59</definedName>
    <definedName name="CÓDIGO_1.394_224">Aspiradora!$C$41:$C$62</definedName>
    <definedName name="CÓDIGO_1.396_703">K!$X$62:$X$103</definedName>
    <definedName name="CÓDIGO_1.428_537">Aspiradora!$R$41:$R$60</definedName>
    <definedName name="CÓDIGO_1.428_547">Aspiradora!$I$81:$I$101</definedName>
    <definedName name="CÓDIGO_1.428_623">Aspiradora!$U$41:$U$67</definedName>
    <definedName name="CÓDIGO_1.480_230.2">Fregadora!$AP$3:$AP$30</definedName>
    <definedName name="CÓDIGO_1.480_231.2">Fregadora!$AS$3:$AS$31</definedName>
    <definedName name="CÓDIGO_1.512_007">Vaporizador!$C$3:$C$17</definedName>
    <definedName name="CÓDIGO_1.512_207">Vaporizador!$L$3:$L$16</definedName>
    <definedName name="CÓDIGO_1.512_223">Vaporizador!$I$3:$I$21</definedName>
    <definedName name="CÓDIGO_1.514_134">HD!$J$3:$J$70</definedName>
    <definedName name="CÓDIGO_1.515_106">Fregadora!$BL$3:$BL$14</definedName>
    <definedName name="CÓDIGO_1.516_263">Vaporizador!$F$3:$F$21</definedName>
    <definedName name="CÓDIGO_1.517_106">Barredora!$C$3:$C$29</definedName>
    <definedName name="CÓDIGO_1.520_148">HD!$U$3:$U$35</definedName>
    <definedName name="CÓDIGO_1.524_123">HD!$C$3:$C$92</definedName>
    <definedName name="CÓDIGO_1.524_902">HD!$D$3:$D$92</definedName>
    <definedName name="CÓDIGO_1.527_152">Aspiradora!$R$3:$R$20</definedName>
    <definedName name="CÓDIGO_1.533_210">Fregadora!$R$3:$R$30</definedName>
    <definedName name="CÓDIGO_1.533_210.2">Fregadora!$O$3:$O$30</definedName>
    <definedName name="CÓDIGO_1.601_105">K!$R$62:$R$79</definedName>
    <definedName name="CÓDIGO_1.601_138">K!$U$62:$U$77</definedName>
    <definedName name="CÓDIGO_1.601_176">K!$I$62:$I$73</definedName>
    <definedName name="CÓDIGO_1.601_513">K!$F$62:$F$74</definedName>
    <definedName name="CÓDIGO_1.601_602">K!$C$62:$C$75</definedName>
    <definedName name="CÓDIGO_1.601_632">K!$C$3:$C$22</definedName>
    <definedName name="CÓDIGO_1.601_653">K!$L$62:$L$79</definedName>
    <definedName name="CÓDIGO_1.601_660">K!$I$34:$I$50</definedName>
    <definedName name="CÓDIGO_1.601_672">K!$O$62:$O$79</definedName>
    <definedName name="CÓDIGO_1.601_746">K!$C$34:$C$51</definedName>
    <definedName name="CÓDIGO_1.601_772">K!$U$3:$U$22</definedName>
    <definedName name="CÓDIGO_1.601_774">K!$AA$3:$AA$21</definedName>
    <definedName name="CÓDIGO_1.601_850">K!$F$3:$F$20</definedName>
    <definedName name="CÓDIGO_1.601_901">K!$O$34:$O$53</definedName>
    <definedName name="CÓDIGO_1.601_911">K!$L$34:$L$49</definedName>
    <definedName name="CÓDIGO_1.601_990">K!$R$3:$R$15</definedName>
    <definedName name="CÓDIGO_1.602_105">K!$L$3:$L$18</definedName>
    <definedName name="CÓDIGO_1.602_106">K!$O$3:$O$14</definedName>
    <definedName name="CÓDIGO_1.602_212">K!$I$3:$I$18</definedName>
    <definedName name="CÓDIGO_1.602_224">K!$X$34:$X$47</definedName>
    <definedName name="CÓDIGO_1.603_320">K!$R$34:$R$55</definedName>
    <definedName name="CÓDIGO_1.629_104">Aspiradora!$C$3:$C$20</definedName>
    <definedName name="CÓDIGO_1.629_608">Aspiradora!$AJ$3:$AJ$17</definedName>
    <definedName name="CÓDIGO_1.629_776">Aspiradora!$AD$3:$AD$17</definedName>
    <definedName name="CÓDIGO_1.629_813">Aspiradora!$AG$3:$AG$18</definedName>
    <definedName name="CÓDIGO_1.667_106">Aspiradora!$AD$41:$AD$67</definedName>
    <definedName name="CÓDIGO_1.667_200">Aspiradora!$AA$41:$AA$66</definedName>
    <definedName name="CÓDIGO_1.667_708">Aspiradora!$AG$41:$AG$66</definedName>
    <definedName name="CÓDIGO_1.672_370">K!$U$34:$U$46</definedName>
    <definedName name="CÓDIGO_1.723_105">Aspiradora!$F$3:$F$20</definedName>
    <definedName name="CÓDIGO_1.723_962">Aspiradora!$X$3:$X$18</definedName>
    <definedName name="CÓDIGO_1.783_221">Fregadora!$BE$3:$BE$15</definedName>
    <definedName name="CÓDIGO_1.783_3112">Fregadora!$C$61:$C$97</definedName>
    <definedName name="CÓDIGO_1.783_470">Fregadora!$BH$3:$BH$25</definedName>
    <definedName name="CÓDIGO_1.974_187">HD!$G$3:$G$47</definedName>
    <definedName name="CÓDIGO_1.994_000">Aspiradora!$U$3:$U$12</definedName>
    <definedName name="CÓDIGO_1.994_880">K!$F$34:$F$51</definedName>
    <definedName name="CÓDIGO_2.533_201">Fregadora!$L$3:$L$20</definedName>
    <definedName name="CÓDIGO_2.533_201.2">Fregadora!$I$3:$I$20</definedName>
    <definedName name="COMPRESOR">Modelo!$L$3:$L$15</definedName>
    <definedName name="CV_30_1">Aspiradora!$H$41:$H$69</definedName>
    <definedName name="DIAGNOSTICO">Diagnosticos!$B$3:$B$16</definedName>
    <definedName name="DIAGNOSTICO_ASPIRADORA">Tabla100[]</definedName>
    <definedName name="DIAGNOSTICO_BARREDORA">Tabla101[]</definedName>
    <definedName name="DIAGNOSTICO_CEPILLO_PULIDOR">Tabla102[]</definedName>
    <definedName name="DIAGNOSTICO_COMPRESOR">Tabla104[]</definedName>
    <definedName name="DIAGNOSTICO_ESCOBA">Tabla105[]</definedName>
    <definedName name="DIAGNOSTICO_FREGADORA">Tabla106[]</definedName>
    <definedName name="DIAGNOSTICO_HIDROLAVADORA_ESTÁCIONARIA">Tabla107[]</definedName>
    <definedName name="DIAGNOSTICO_HIDROLAVADORA_GASOLINA">Tabla108[]</definedName>
    <definedName name="DIAGNOSTICO_HIDROLAVADORA_HD">Tabla109[]</definedName>
    <definedName name="DIAGNOSTICO_HIDROLAVADORA_HDS">Tabla110[]</definedName>
    <definedName name="DIAGNOSTICO_HIDROLAVADORA_K">Tabla111[]</definedName>
    <definedName name="DIAGNOSTICO_IROBOT">Tabla113[]</definedName>
    <definedName name="DIAGNOSTICO_TRAPP">Tabla112[]</definedName>
    <definedName name="DIAGNOSTICO_VAPORIZADOR">Tabla114[]</definedName>
    <definedName name="DS_5.800">Aspiradora!$H$3:$H$19</definedName>
    <definedName name="DS_5500">Aspiradora!$K$3:$K$18</definedName>
    <definedName name="DS_5600">Aspiradora!$N$3:$N$22</definedName>
    <definedName name="ESCOBA">Modelo!$N$3:$N$3</definedName>
    <definedName name="FC_3">Fregadora!$E$3:$E$12</definedName>
    <definedName name="FC_5">Fregadora!$B$3:$B$17</definedName>
    <definedName name="FREGADORA">Modelo!$P$3:$P$25</definedName>
    <definedName name="G_2700">Gasolina!$B$3:$B$43</definedName>
    <definedName name="GARANTÍA">Modelo!$D$3:$D$4</definedName>
    <definedName name="HD_10_25">HD!$P$3:$P$70</definedName>
    <definedName name="HD_3.5">HD!$L$3:$L$70</definedName>
    <definedName name="HD_4_9">HD!$T$3:$T$35</definedName>
    <definedName name="HD_5_12">HD!$I$3:$I$70</definedName>
    <definedName name="HD_585">HD!$F$3:$F$47</definedName>
    <definedName name="HD_6_15">HD!$W$3:$W$36</definedName>
    <definedName name="HD_7_12">HD!$B$3:$B$92</definedName>
    <definedName name="HD_855">HD!$Z$3:$Z$54</definedName>
    <definedName name="HDS_3.5_30">HDS!$B$3:$B$62</definedName>
    <definedName name="HIDROLAVADORA_ESTACIONARIA">Modelo!$R$3:$R$8</definedName>
    <definedName name="HIDROLAVADORA_GASOLINA">Modelo!$T$3:$T$30</definedName>
    <definedName name="HIDROLAVADORA_HD">Tabla11[HIDROLAVADORA_HD]</definedName>
    <definedName name="HIDROLAVADORA_HDS">Modelo!$X$3:$X$3</definedName>
    <definedName name="HIDROLAVADORA_K">Tabla13[HIDROLAVADORA_K]</definedName>
    <definedName name="IROBOT">Modelo!$AB$3:$AB$16</definedName>
    <definedName name="K_2">K!$H$3:$H$18</definedName>
    <definedName name="K_3.690">K!$T$3:$T$22</definedName>
    <definedName name="K_4">K!$E$3:$E$20</definedName>
    <definedName name="k_5">K!$W$3:$W$25</definedName>
    <definedName name="K2_BASIC">K!$K$3:$K$18</definedName>
    <definedName name="K2_COMPACT">K!$N$3:$N$14</definedName>
    <definedName name="K2_PLUS">K!$W$34:$W$47</definedName>
    <definedName name="K2.00_PLUS">K!$Z$34:$Z$52</definedName>
    <definedName name="K2.01">K!$T$34:$T$46</definedName>
    <definedName name="K2.050">K!$K$62:$K$79</definedName>
    <definedName name="K2.150">K!$H$34:$H$50</definedName>
    <definedName name="K2.19">K!$E$62:$E$74</definedName>
    <definedName name="K2.21">K!$T$62:$T$77</definedName>
    <definedName name="K2.250">K!$N$62:$N$79</definedName>
    <definedName name="K2.26">K!$B$62:$B$75</definedName>
    <definedName name="K2.27">K!$H$62:$H$73</definedName>
    <definedName name="K2.68">K!$B$3:$B$22</definedName>
    <definedName name="K2.93">K!$Q$62:$Q$79</definedName>
    <definedName name="K3.000">K!$Q$3:$Q$15</definedName>
    <definedName name="K3.40">K!$E$34:$E$51</definedName>
    <definedName name="K3.450">K!$Z$3:$Z$21</definedName>
    <definedName name="K3.68">K!$B$34:$B$51</definedName>
    <definedName name="K5.540">K!$Q$34:$Q$55</definedName>
    <definedName name="K5.68">K!$K$34:$K$49</definedName>
    <definedName name="K5.690">K!$N$34:$N$53</definedName>
    <definedName name="K5.85">K!$W$62:$W$103</definedName>
    <definedName name="KB_5">Escoba!$B$3:$B$9</definedName>
    <definedName name="KM_70_20">Barredora!$B$3:$B$29</definedName>
    <definedName name="LAVA_ASPIRADORA">Modelo!$AD$3</definedName>
    <definedName name="NT_20_1">Aspiradora!$H$81:$H$101</definedName>
    <definedName name="NT_30_1">Aspiradora!$K$41:$K$60</definedName>
    <definedName name="NT_35_1">Aspiradora!$N$41:$N$57</definedName>
    <definedName name="NT_38_1">Aspiradora!$Q$41:$Q$60</definedName>
    <definedName name="NT_48_1">Aspiradora!$T$41:$T$67</definedName>
    <definedName name="NT_65_2">Aspiradora!$W$41:$W$75</definedName>
    <definedName name="NT_70_2">Aspiradora!$Z$41:$Z$66</definedName>
    <definedName name="NT_72_2">Aspiradora!$AC$41:$AC$67</definedName>
    <definedName name="NT_90_2">Aspiradora!$AF$41:$AF$66</definedName>
    <definedName name="PUZZI_100">'Lava-aspiradora'!$K$3:$K$31</definedName>
    <definedName name="PUZZI_8_1">'Lava-aspiradora'!$B$3:$B$25</definedName>
    <definedName name="SC_1">Vaporizador!$E$3:$E$21</definedName>
    <definedName name="SC_1.020">Vaporizador!$H$3:$H$21</definedName>
    <definedName name="SC_1052">Vaporizador!$K$3:$K$16</definedName>
    <definedName name="SC_2">Vaporizador!$B$3:$B$17</definedName>
    <definedName name="T_10_1">Aspiradora!$Q$3:$Q$20</definedName>
    <definedName name="T_15_1">Aspiradora!$AI$41:$AI$62</definedName>
    <definedName name="TIPO_DE_MÁQUINA">Modelo!$B$3:$B$17</definedName>
    <definedName name="TRAPP">Modelo!$AF$3:$AF$36</definedName>
    <definedName name="Ubicaciones">Tabla115[]</definedName>
    <definedName name="VAPORIZADOR">Modelo!$AH$3:$AH$6</definedName>
    <definedName name="VC_1800">Aspiradora!$W$3:$W$18</definedName>
    <definedName name="VC_4_I">Aspiradora!$B$81:$B$92</definedName>
    <definedName name="VC_5.100">Aspiradora!$T$3:$T$12</definedName>
    <definedName name="VCS_4S">Aspiradora!$E$81:$E$96</definedName>
    <definedName name="WD_1">Aspiradora!$Z$3:$Z$17</definedName>
    <definedName name="WD_2">Aspiradora!$AC$3:$AC$17</definedName>
    <definedName name="WD_3">Aspiradora!$AF$3:$AF$18</definedName>
    <definedName name="WD_3200">Aspiradora!$AI$3:$AI$17</definedName>
    <definedName name="XP_12_AZUL">Aspiradora!$K$81:$K$112</definedName>
    <definedName name="XP_12_GRIS">Aspiradora!$N$81:$N$112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" i="1" l="1"/>
  <c r="W16" i="1" l="1"/>
  <c r="V16" i="1" s="1"/>
  <c r="W15" i="1"/>
  <c r="V15" i="1" s="1"/>
  <c r="C15" i="1" a="1"/>
  <c r="C15" i="1" l="1"/>
  <c r="C2" i="2"/>
  <c r="C3" i="2"/>
  <c r="C4" i="2"/>
  <c r="C5" i="2"/>
  <c r="C6" i="2"/>
  <c r="C3" i="3"/>
  <c r="C4" i="3"/>
  <c r="C5" i="3"/>
  <c r="C6" i="3"/>
  <c r="C2" i="3"/>
  <c r="G23" i="2" a="1"/>
  <c r="G23" i="2" s="1"/>
  <c r="G24" i="2" a="1"/>
  <c r="G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2" i="2" a="1"/>
  <c r="G32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G51" i="2" a="1"/>
  <c r="G51" i="2" s="1"/>
  <c r="G52" i="2" a="1"/>
  <c r="G52" i="2" s="1"/>
  <c r="G53" i="2" a="1"/>
  <c r="G53" i="2" s="1"/>
  <c r="G54" i="2" a="1"/>
  <c r="G54" i="2" s="1"/>
  <c r="G55" i="2" a="1"/>
  <c r="G55" i="2" s="1"/>
  <c r="G56" i="2" a="1"/>
  <c r="G56" i="2" s="1"/>
  <c r="G57" i="2" a="1"/>
  <c r="G57" i="2" s="1"/>
  <c r="G58" i="2" a="1"/>
  <c r="G58" i="2" s="1"/>
  <c r="G59" i="2" a="1"/>
  <c r="G59" i="2" s="1"/>
  <c r="G60" i="2" a="1"/>
  <c r="G60" i="2" s="1"/>
  <c r="G61" i="2" a="1"/>
  <c r="G61" i="2" s="1"/>
  <c r="G62" i="2" a="1"/>
  <c r="G62" i="2" s="1"/>
  <c r="G63" i="2" a="1"/>
  <c r="G63" i="2" s="1"/>
  <c r="G64" i="2" a="1"/>
  <c r="G64" i="2" s="1"/>
  <c r="G65" i="2" a="1"/>
  <c r="G65" i="2" s="1"/>
  <c r="G66" i="2" a="1"/>
  <c r="G66" i="2" s="1"/>
  <c r="G67" i="2" a="1"/>
  <c r="G67" i="2" s="1"/>
  <c r="G68" i="2" a="1"/>
  <c r="G68" i="2" s="1"/>
  <c r="G69" i="2" a="1"/>
  <c r="G69" i="2" s="1"/>
  <c r="G70" i="2" a="1"/>
  <c r="G70" i="2" s="1"/>
  <c r="G71" i="2" a="1"/>
  <c r="G71" i="2" s="1"/>
  <c r="G72" i="2" a="1"/>
  <c r="G72" i="2" s="1"/>
  <c r="G73" i="2" a="1"/>
  <c r="G73" i="2" s="1"/>
  <c r="G74" i="2" a="1"/>
  <c r="G74" i="2" s="1"/>
  <c r="G75" i="2" a="1"/>
  <c r="G75" i="2" s="1"/>
  <c r="G76" i="2" a="1"/>
  <c r="G76" i="2" s="1"/>
  <c r="G77" i="2" a="1"/>
  <c r="G77" i="2" s="1"/>
  <c r="G78" i="2" a="1"/>
  <c r="G78" i="2" s="1"/>
  <c r="G79" i="2" a="1"/>
  <c r="G79" i="2" s="1"/>
  <c r="G80" i="2" a="1"/>
  <c r="G80" i="2" s="1"/>
  <c r="G81" i="2" a="1"/>
  <c r="G81" i="2" s="1"/>
  <c r="G82" i="2" a="1"/>
  <c r="G82" i="2" s="1"/>
  <c r="G83" i="2" a="1"/>
  <c r="G83" i="2" s="1"/>
  <c r="G84" i="2" a="1"/>
  <c r="G84" i="2" s="1"/>
  <c r="G85" i="2" a="1"/>
  <c r="G85" i="2" s="1"/>
  <c r="G86" i="2" a="1"/>
  <c r="G86" i="2" s="1"/>
  <c r="G87" i="2" a="1"/>
  <c r="G87" i="2" s="1"/>
  <c r="G88" i="2" a="1"/>
  <c r="G88" i="2" s="1"/>
  <c r="G89" i="2" a="1"/>
  <c r="G89" i="2" s="1"/>
  <c r="G90" i="2" a="1"/>
  <c r="G90" i="2" s="1"/>
  <c r="G91" i="2" a="1"/>
  <c r="G91" i="2" s="1"/>
  <c r="G92" i="2" a="1"/>
  <c r="G92" i="2" s="1"/>
  <c r="G93" i="2" a="1"/>
  <c r="G93" i="2" s="1"/>
  <c r="G94" i="2" a="1"/>
  <c r="G94" i="2" s="1"/>
  <c r="G95" i="2" a="1"/>
  <c r="G95" i="2" s="1"/>
  <c r="G96" i="2" a="1"/>
  <c r="G96" i="2" s="1"/>
  <c r="G97" i="2" a="1"/>
  <c r="G97" i="2" s="1"/>
  <c r="G98" i="2" a="1"/>
  <c r="G98" i="2" s="1"/>
  <c r="G99" i="2" a="1"/>
  <c r="G99" i="2" s="1"/>
  <c r="G100" i="2" a="1"/>
  <c r="G100" i="2" s="1"/>
  <c r="G101" i="2" a="1"/>
  <c r="G101" i="2" s="1"/>
  <c r="G102" i="2" a="1"/>
  <c r="G102" i="2" s="1"/>
  <c r="G103" i="2" a="1"/>
  <c r="G103" i="2" s="1"/>
  <c r="G104" i="2" a="1"/>
  <c r="G104" i="2" s="1"/>
  <c r="G105" i="2" a="1"/>
  <c r="G105" i="2" s="1"/>
  <c r="G106" i="2" a="1"/>
  <c r="G106" i="2" s="1"/>
  <c r="G107" i="2" a="1"/>
  <c r="G107" i="2" s="1"/>
  <c r="G108" i="2" a="1"/>
  <c r="G108" i="2" s="1"/>
  <c r="G109" i="2" a="1"/>
  <c r="G109" i="2" s="1"/>
  <c r="G110" i="2" a="1"/>
  <c r="G110" i="2" s="1"/>
  <c r="G111" i="2" a="1"/>
  <c r="G111" i="2" s="1"/>
  <c r="G112" i="2" a="1"/>
  <c r="G112" i="2" s="1"/>
  <c r="G113" i="2" a="1"/>
  <c r="G113" i="2" s="1"/>
  <c r="G114" i="2" a="1"/>
  <c r="G114" i="2" s="1"/>
  <c r="G115" i="2" a="1"/>
  <c r="G115" i="2" s="1"/>
  <c r="G116" i="2" a="1"/>
  <c r="G116" i="2" s="1"/>
  <c r="G117" i="2" a="1"/>
  <c r="G117" i="2" s="1"/>
  <c r="G118" i="2" a="1"/>
  <c r="G118" i="2" s="1"/>
  <c r="G119" i="2" a="1"/>
  <c r="G119" i="2" s="1"/>
  <c r="G120" i="2" a="1"/>
  <c r="G120" i="2" s="1"/>
  <c r="G121" i="2" a="1"/>
  <c r="G121" i="2" s="1"/>
  <c r="G122" i="2" a="1"/>
  <c r="G122" i="2" s="1"/>
  <c r="G123" i="2" a="1"/>
  <c r="G123" i="2" s="1"/>
  <c r="G124" i="2" a="1"/>
  <c r="G124" i="2" s="1"/>
  <c r="G125" i="2" a="1"/>
  <c r="G125" i="2" s="1"/>
  <c r="G126" i="2" a="1"/>
  <c r="G126" i="2" s="1"/>
  <c r="G127" i="2" a="1"/>
  <c r="G127" i="2" s="1"/>
  <c r="G128" i="2" a="1"/>
  <c r="G128" i="2" s="1"/>
  <c r="G129" i="2" a="1"/>
  <c r="G129" i="2" s="1"/>
  <c r="G130" i="2" a="1"/>
  <c r="G130" i="2" s="1"/>
  <c r="G131" i="2" a="1"/>
  <c r="G131" i="2" s="1"/>
  <c r="G132" i="2" a="1"/>
  <c r="G132" i="2" s="1"/>
  <c r="G133" i="2" a="1"/>
  <c r="G133" i="2" s="1"/>
  <c r="G134" i="2" a="1"/>
  <c r="G134" i="2" s="1"/>
  <c r="G135" i="2" a="1"/>
  <c r="G135" i="2" s="1"/>
  <c r="G136" i="2" a="1"/>
  <c r="G136" i="2" s="1"/>
  <c r="G137" i="2" a="1"/>
  <c r="G137" i="2" s="1"/>
  <c r="G138" i="2" a="1"/>
  <c r="G138" i="2" s="1"/>
  <c r="G139" i="2" a="1"/>
  <c r="G139" i="2" s="1"/>
  <c r="G140" i="2" a="1"/>
  <c r="G140" i="2" s="1"/>
  <c r="G141" i="2" a="1"/>
  <c r="G141" i="2" s="1"/>
  <c r="G142" i="2" a="1"/>
  <c r="G142" i="2" s="1"/>
  <c r="G143" i="2" a="1"/>
  <c r="G143" i="2" s="1"/>
  <c r="G144" i="2" a="1"/>
  <c r="G144" i="2" s="1"/>
  <c r="G145" i="2" a="1"/>
  <c r="G145" i="2" s="1"/>
  <c r="G146" i="2" a="1"/>
  <c r="G146" i="2" s="1"/>
  <c r="G147" i="2" a="1"/>
  <c r="G147" i="2" s="1"/>
  <c r="G148" i="2" a="1"/>
  <c r="G148" i="2" s="1"/>
  <c r="G149" i="2" a="1"/>
  <c r="G149" i="2" s="1"/>
  <c r="G150" i="2" a="1"/>
  <c r="G150" i="2" s="1"/>
  <c r="G151" i="2" a="1"/>
  <c r="G151" i="2" s="1"/>
  <c r="G152" i="2" a="1"/>
  <c r="G152" i="2" s="1"/>
  <c r="G153" i="2" a="1"/>
  <c r="G153" i="2" s="1"/>
  <c r="G154" i="2" a="1"/>
  <c r="G154" i="2" s="1"/>
  <c r="G155" i="2" a="1"/>
  <c r="G155" i="2" s="1"/>
  <c r="G156" i="2" a="1"/>
  <c r="G156" i="2" s="1"/>
  <c r="G157" i="2" a="1"/>
  <c r="G157" i="2" s="1"/>
  <c r="G158" i="2" a="1"/>
  <c r="G158" i="2" s="1"/>
  <c r="G159" i="2" a="1"/>
  <c r="G159" i="2" s="1"/>
  <c r="G160" i="2" a="1"/>
  <c r="G160" i="2" s="1"/>
  <c r="G161" i="2" a="1"/>
  <c r="G161" i="2" s="1"/>
  <c r="G162" i="2" a="1"/>
  <c r="G162" i="2" s="1"/>
  <c r="G163" i="2" a="1"/>
  <c r="G163" i="2" s="1"/>
  <c r="G164" i="2" a="1"/>
  <c r="G164" i="2" s="1"/>
  <c r="G165" i="2" a="1"/>
  <c r="G165" i="2" s="1"/>
  <c r="G166" i="2" a="1"/>
  <c r="G166" i="2" s="1"/>
  <c r="G167" i="2" a="1"/>
  <c r="G167" i="2" s="1"/>
  <c r="G168" i="2" a="1"/>
  <c r="G168" i="2" s="1"/>
  <c r="G169" i="2" a="1"/>
  <c r="G169" i="2" s="1"/>
  <c r="G170" i="2" a="1"/>
  <c r="G170" i="2" s="1"/>
  <c r="G171" i="2" a="1"/>
  <c r="G171" i="2" s="1"/>
  <c r="G172" i="2" a="1"/>
  <c r="G172" i="2" s="1"/>
  <c r="G173" i="2" a="1"/>
  <c r="G173" i="2" s="1"/>
  <c r="G174" i="2" a="1"/>
  <c r="G174" i="2" s="1"/>
  <c r="G175" i="2" a="1"/>
  <c r="G175" i="2" s="1"/>
  <c r="G176" i="2" a="1"/>
  <c r="G176" i="2" s="1"/>
  <c r="G177" i="2" a="1"/>
  <c r="G177" i="2" s="1"/>
  <c r="G178" i="2" a="1"/>
  <c r="G178" i="2" s="1"/>
  <c r="G179" i="2" a="1"/>
  <c r="G179" i="2" s="1"/>
  <c r="G180" i="2" a="1"/>
  <c r="G180" i="2" s="1"/>
  <c r="G181" i="2" a="1"/>
  <c r="G181" i="2" s="1"/>
  <c r="G182" i="2" a="1"/>
  <c r="G182" i="2" s="1"/>
  <c r="G183" i="2" a="1"/>
  <c r="G183" i="2" s="1"/>
  <c r="G184" i="2" a="1"/>
  <c r="G184" i="2" s="1"/>
  <c r="G185" i="2" a="1"/>
  <c r="G185" i="2" s="1"/>
  <c r="G186" i="2" a="1"/>
  <c r="G186" i="2" s="1"/>
  <c r="G187" i="2" a="1"/>
  <c r="G187" i="2" s="1"/>
  <c r="G188" i="2" a="1"/>
  <c r="G188" i="2" s="1"/>
  <c r="G189" i="2" a="1"/>
  <c r="G189" i="2" s="1"/>
  <c r="G190" i="2" a="1"/>
  <c r="G190" i="2" s="1"/>
  <c r="G191" i="2" a="1"/>
  <c r="G191" i="2" s="1"/>
  <c r="G192" i="2" a="1"/>
  <c r="G192" i="2" s="1"/>
  <c r="G193" i="2" a="1"/>
  <c r="G193" i="2" s="1"/>
  <c r="G194" i="2" a="1"/>
  <c r="G194" i="2" s="1"/>
  <c r="G195" i="2" a="1"/>
  <c r="G195" i="2" s="1"/>
  <c r="G196" i="2" a="1"/>
  <c r="G196" i="2" s="1"/>
  <c r="G197" i="2" a="1"/>
  <c r="G197" i="2" s="1"/>
  <c r="G198" i="2" a="1"/>
  <c r="G198" i="2" s="1"/>
  <c r="G199" i="2" a="1"/>
  <c r="G199" i="2" s="1"/>
  <c r="G200" i="2" a="1"/>
  <c r="G200" i="2" s="1"/>
  <c r="G201" i="2" a="1"/>
  <c r="G201" i="2" s="1"/>
  <c r="G202" i="2" a="1"/>
  <c r="G202" i="2" s="1"/>
  <c r="G203" i="2" a="1"/>
  <c r="G203" i="2" s="1"/>
  <c r="G204" i="2" a="1"/>
  <c r="G204" i="2" s="1"/>
  <c r="G205" i="2" a="1"/>
  <c r="G205" i="2" s="1"/>
  <c r="G206" i="2" a="1"/>
  <c r="G206" i="2" s="1"/>
  <c r="G207" i="2" a="1"/>
  <c r="G207" i="2" s="1"/>
  <c r="G208" i="2" a="1"/>
  <c r="G208" i="2" s="1"/>
  <c r="G209" i="2" a="1"/>
  <c r="G209" i="2" s="1"/>
  <c r="G210" i="2" a="1"/>
  <c r="G210" i="2" s="1"/>
  <c r="G211" i="2" a="1"/>
  <c r="G211" i="2" s="1"/>
  <c r="G212" i="2" a="1"/>
  <c r="G212" i="2" s="1"/>
  <c r="G213" i="2" a="1"/>
  <c r="G213" i="2" s="1"/>
  <c r="G214" i="2" a="1"/>
  <c r="G214" i="2" s="1"/>
  <c r="G215" i="2" a="1"/>
  <c r="G215" i="2" s="1"/>
  <c r="G216" i="2" a="1"/>
  <c r="G216" i="2" s="1"/>
  <c r="G217" i="2" a="1"/>
  <c r="G217" i="2" s="1"/>
  <c r="G218" i="2" a="1"/>
  <c r="G218" i="2" s="1"/>
  <c r="G219" i="2" a="1"/>
  <c r="G219" i="2" s="1"/>
  <c r="G220" i="2" a="1"/>
  <c r="G220" i="2" s="1"/>
  <c r="G221" i="2" a="1"/>
  <c r="G221" i="2" s="1"/>
  <c r="G222" i="2" a="1"/>
  <c r="G222" i="2" s="1"/>
  <c r="G223" i="2" a="1"/>
  <c r="G223" i="2" s="1"/>
  <c r="G224" i="2" a="1"/>
  <c r="G224" i="2" s="1"/>
  <c r="G225" i="2" a="1"/>
  <c r="G225" i="2" s="1"/>
  <c r="G226" i="2" a="1"/>
  <c r="G226" i="2" s="1"/>
  <c r="G227" i="2" a="1"/>
  <c r="G227" i="2" s="1"/>
  <c r="G228" i="2" a="1"/>
  <c r="G228" i="2" s="1"/>
  <c r="G229" i="2" a="1"/>
  <c r="G229" i="2" s="1"/>
  <c r="G230" i="2" a="1"/>
  <c r="G230" i="2" s="1"/>
  <c r="G231" i="2" a="1"/>
  <c r="G231" i="2" s="1"/>
  <c r="G232" i="2" a="1"/>
  <c r="G232" i="2" s="1"/>
  <c r="G233" i="2" a="1"/>
  <c r="G233" i="2" s="1"/>
  <c r="G234" i="2" a="1"/>
  <c r="G234" i="2" s="1"/>
  <c r="G235" i="2" a="1"/>
  <c r="G235" i="2" s="1"/>
  <c r="G236" i="2" a="1"/>
  <c r="G236" i="2" s="1"/>
  <c r="G237" i="2" a="1"/>
  <c r="G237" i="2" s="1"/>
  <c r="G238" i="2" a="1"/>
  <c r="G238" i="2" s="1"/>
  <c r="G239" i="2" a="1"/>
  <c r="G239" i="2" s="1"/>
  <c r="G240" i="2" a="1"/>
  <c r="G240" i="2" s="1"/>
  <c r="G241" i="2" a="1"/>
  <c r="G241" i="2" s="1"/>
  <c r="G242" i="2" a="1"/>
  <c r="G242" i="2" s="1"/>
  <c r="G243" i="2" a="1"/>
  <c r="G243" i="2" s="1"/>
  <c r="G244" i="2" a="1"/>
  <c r="G244" i="2" s="1"/>
  <c r="G245" i="2" a="1"/>
  <c r="G245" i="2" s="1"/>
  <c r="G246" i="2" a="1"/>
  <c r="G246" i="2" s="1"/>
  <c r="G247" i="2" a="1"/>
  <c r="G247" i="2" s="1"/>
  <c r="G248" i="2" a="1"/>
  <c r="G248" i="2" s="1"/>
  <c r="G249" i="2" a="1"/>
  <c r="G249" i="2" s="1"/>
  <c r="G250" i="2" a="1"/>
  <c r="G250" i="2" s="1"/>
  <c r="E6" i="1"/>
  <c r="E2" i="1"/>
  <c r="S14" i="1"/>
  <c r="B137" i="1" a="1"/>
  <c r="B50" i="1" a="1"/>
  <c r="B94" i="1" a="1"/>
  <c r="B86" i="1" a="1"/>
  <c r="B22" i="1" a="1"/>
  <c r="B23" i="1" a="1"/>
  <c r="B25" i="1" a="1"/>
  <c r="B146" i="1" a="1"/>
  <c r="B37" i="1" a="1"/>
  <c r="B127" i="1" a="1"/>
  <c r="B128" i="1" a="1"/>
  <c r="B139" i="1" a="1"/>
  <c r="B26" i="1" a="1"/>
  <c r="B54" i="1" a="1"/>
  <c r="B68" i="1" a="1"/>
  <c r="B110" i="1" a="1"/>
  <c r="B148" i="1" a="1"/>
  <c r="B73" i="1" a="1"/>
  <c r="B61" i="1" a="1"/>
  <c r="O15" i="1" a="1"/>
  <c r="B56" i="1" a="1"/>
  <c r="B93" i="1" a="1"/>
  <c r="B17" i="1" a="1"/>
  <c r="B118" i="1" a="1"/>
  <c r="B144" i="1" a="1"/>
  <c r="B51" i="1" a="1"/>
  <c r="B24" i="1" a="1"/>
  <c r="B129" i="1" a="1"/>
  <c r="B15" i="1" a="1"/>
  <c r="B76" i="1" a="1"/>
  <c r="B103" i="1" a="1"/>
  <c r="B81" i="1" a="1"/>
  <c r="B57" i="1" a="1"/>
  <c r="B113" i="1" a="1"/>
  <c r="B122" i="1" a="1"/>
  <c r="B84" i="1" a="1"/>
  <c r="B89" i="1" a="1"/>
  <c r="B69" i="1" a="1"/>
  <c r="B90" i="1" a="1"/>
  <c r="B42" i="1" a="1"/>
  <c r="B116" i="1" a="1"/>
  <c r="B97" i="1" a="1"/>
  <c r="B136" i="1" a="1"/>
  <c r="Q15" i="1" a="1"/>
  <c r="B79" i="1" a="1"/>
  <c r="B44" i="1" a="1"/>
  <c r="B60" i="1" a="1"/>
  <c r="B107" i="1" a="1"/>
  <c r="B99" i="1" a="1"/>
  <c r="B96" i="1" a="1"/>
  <c r="B62" i="1" a="1"/>
  <c r="B55" i="1" a="1"/>
  <c r="B119" i="1" a="1"/>
  <c r="B36" i="1" a="1"/>
  <c r="B85" i="1" a="1"/>
  <c r="B115" i="1" a="1"/>
  <c r="B32" i="1" a="1"/>
  <c r="B34" i="1" a="1"/>
  <c r="B28" i="1" a="1"/>
  <c r="B35" i="1" a="1"/>
  <c r="B71" i="1" a="1"/>
  <c r="B117" i="1" a="1"/>
  <c r="B112" i="1" a="1"/>
  <c r="B41" i="1" a="1"/>
  <c r="B101" i="1" a="1"/>
  <c r="B147" i="1" a="1"/>
  <c r="B114" i="1" a="1"/>
  <c r="B134" i="1" a="1"/>
  <c r="B16" i="1" a="1"/>
  <c r="B141" i="1" a="1"/>
  <c r="B125" i="1" a="1"/>
  <c r="B30" i="1" a="1"/>
  <c r="B120" i="1" a="1"/>
  <c r="B80" i="1" a="1"/>
  <c r="B75" i="1" a="1"/>
  <c r="B124" i="1" a="1"/>
  <c r="B53" i="1" a="1"/>
  <c r="B48" i="1" a="1"/>
  <c r="B105" i="1" a="1"/>
  <c r="B47" i="1" a="1"/>
  <c r="B88" i="1" a="1"/>
  <c r="B39" i="1" a="1"/>
  <c r="B150" i="1" a="1"/>
  <c r="B82" i="1" a="1"/>
  <c r="K15" i="1" a="1"/>
  <c r="B27" i="1" a="1"/>
  <c r="B74" i="1" a="1"/>
  <c r="B126" i="1" a="1"/>
  <c r="B66" i="1" a="1"/>
  <c r="B33" i="1" a="1"/>
  <c r="B19" i="1" a="1"/>
  <c r="B104" i="1" a="1"/>
  <c r="B123" i="1" a="1"/>
  <c r="B20" i="1" a="1"/>
  <c r="B83" i="1" a="1"/>
  <c r="B91" i="1" a="1"/>
  <c r="B40" i="1" a="1"/>
  <c r="B64" i="1" a="1"/>
  <c r="B121" i="1" a="1"/>
  <c r="B43" i="1" a="1"/>
  <c r="B70" i="1" a="1"/>
  <c r="B131" i="1" a="1"/>
  <c r="B138" i="1" a="1"/>
  <c r="B133" i="1" a="1"/>
  <c r="B135" i="1" a="1"/>
  <c r="B63" i="1" a="1"/>
  <c r="B18" i="1" a="1"/>
  <c r="B46" i="1" a="1"/>
  <c r="B52" i="1" a="1"/>
  <c r="B98" i="1" a="1"/>
  <c r="B72" i="1" a="1"/>
  <c r="B65" i="1" a="1"/>
  <c r="B109" i="1" a="1"/>
  <c r="B145" i="1" a="1"/>
  <c r="B100" i="1" a="1"/>
  <c r="B49" i="1" a="1"/>
  <c r="B142" i="1" a="1"/>
  <c r="B77" i="1" a="1"/>
  <c r="B106" i="1" a="1"/>
  <c r="B149" i="1" a="1"/>
  <c r="B111" i="1" a="1"/>
  <c r="B45" i="1" a="1"/>
  <c r="B38" i="1" a="1"/>
  <c r="B132" i="1" a="1"/>
  <c r="B108" i="1" a="1"/>
  <c r="B29" i="1" a="1"/>
  <c r="B143" i="1" a="1"/>
  <c r="B102" i="1" a="1"/>
  <c r="B21" i="1" a="1"/>
  <c r="B67" i="1" a="1"/>
  <c r="B92" i="1" a="1"/>
  <c r="B130" i="1" a="1"/>
  <c r="B87" i="1" a="1"/>
  <c r="B140" i="1" a="1"/>
  <c r="B59" i="1" a="1"/>
  <c r="B78" i="1" a="1"/>
  <c r="B58" i="1" a="1"/>
  <c r="B95" i="1" a="1"/>
  <c r="K15" i="1" l="1"/>
  <c r="B15" i="1"/>
  <c r="N15" i="1" a="1"/>
  <c r="N15" i="1" s="1"/>
  <c r="B40" i="1"/>
  <c r="E40" i="1" s="1"/>
  <c r="B102" i="1"/>
  <c r="E102" i="1" s="1"/>
  <c r="B79" i="1"/>
  <c r="E79" i="1" s="1"/>
  <c r="B78" i="1"/>
  <c r="E78" i="1" s="1"/>
  <c r="B66" i="1"/>
  <c r="E66" i="1" s="1"/>
  <c r="B124" i="1"/>
  <c r="E124" i="1" s="1"/>
  <c r="B20" i="1"/>
  <c r="E20" i="1" s="1"/>
  <c r="B23" i="1"/>
  <c r="E23" i="1" s="1"/>
  <c r="B41" i="1"/>
  <c r="E41" i="1" s="1"/>
  <c r="B104" i="1"/>
  <c r="E104" i="1" s="1"/>
  <c r="B145" i="1"/>
  <c r="E145" i="1" s="1"/>
  <c r="B49" i="1"/>
  <c r="E49" i="1" s="1"/>
  <c r="B148" i="1"/>
  <c r="E148" i="1" s="1"/>
  <c r="B67" i="1"/>
  <c r="E67" i="1" s="1"/>
  <c r="B116" i="1"/>
  <c r="E116" i="1" s="1"/>
  <c r="B113" i="1"/>
  <c r="E113" i="1" s="1"/>
  <c r="B19" i="1"/>
  <c r="E19" i="1" s="1"/>
  <c r="B24" i="1"/>
  <c r="E24" i="1" s="1"/>
  <c r="B68" i="1"/>
  <c r="E68" i="1" s="1"/>
  <c r="B82" i="1"/>
  <c r="E82" i="1" s="1"/>
  <c r="B121" i="1"/>
  <c r="E121" i="1" s="1"/>
  <c r="B146" i="1"/>
  <c r="E146" i="1" s="1"/>
  <c r="B69" i="1"/>
  <c r="E69" i="1" s="1"/>
  <c r="B118" i="1"/>
  <c r="E118" i="1" s="1"/>
  <c r="B112" i="1"/>
  <c r="E112" i="1" s="1"/>
  <c r="B70" i="1"/>
  <c r="E70" i="1" s="1"/>
  <c r="B85" i="1"/>
  <c r="E85" i="1" s="1"/>
  <c r="B60" i="1"/>
  <c r="E60" i="1" s="1"/>
  <c r="B150" i="1"/>
  <c r="E150" i="1" s="1"/>
  <c r="B110" i="1"/>
  <c r="E110" i="1" s="1"/>
  <c r="B39" i="1"/>
  <c r="E39" i="1" s="1"/>
  <c r="B106" i="1"/>
  <c r="E106" i="1" s="1"/>
  <c r="B132" i="1"/>
  <c r="E132" i="1" s="1"/>
  <c r="B33" i="1"/>
  <c r="E33" i="1" s="1"/>
  <c r="B16" i="1"/>
  <c r="E16" i="1" s="1"/>
  <c r="B28" i="1"/>
  <c r="E28" i="1" s="1"/>
  <c r="B90" i="1"/>
  <c r="E90" i="1" s="1"/>
  <c r="B127" i="1"/>
  <c r="E127" i="1" s="1"/>
  <c r="B59" i="1"/>
  <c r="E59" i="1" s="1"/>
  <c r="B58" i="1"/>
  <c r="E58" i="1" s="1"/>
  <c r="B77" i="1"/>
  <c r="E77" i="1" s="1"/>
  <c r="O15" i="1"/>
  <c r="B74" i="1"/>
  <c r="E74" i="1" s="1"/>
  <c r="B48" i="1"/>
  <c r="E48" i="1" s="1"/>
  <c r="B81" i="1"/>
  <c r="E81" i="1" s="1"/>
  <c r="B51" i="1"/>
  <c r="E51" i="1" s="1"/>
  <c r="B142" i="1"/>
  <c r="E142" i="1" s="1"/>
  <c r="B119" i="1"/>
  <c r="E119" i="1" s="1"/>
  <c r="B139" i="1"/>
  <c r="E139" i="1" s="1"/>
  <c r="B86" i="1"/>
  <c r="E86" i="1" s="1"/>
  <c r="B63" i="1"/>
  <c r="E63" i="1" s="1"/>
  <c r="B21" i="1"/>
  <c r="E21" i="1" s="1"/>
  <c r="B29" i="1"/>
  <c r="E29" i="1" s="1"/>
  <c r="B109" i="1"/>
  <c r="E109" i="1" s="1"/>
  <c r="B56" i="1"/>
  <c r="E56" i="1" s="1"/>
  <c r="B61" i="1"/>
  <c r="E61" i="1" s="1"/>
  <c r="B138" i="1"/>
  <c r="E138" i="1" s="1"/>
  <c r="B108" i="1"/>
  <c r="E108" i="1" s="1"/>
  <c r="B44" i="1"/>
  <c r="E44" i="1" s="1"/>
  <c r="B89" i="1"/>
  <c r="E89" i="1" s="1"/>
  <c r="B115" i="1"/>
  <c r="E115" i="1" s="1"/>
  <c r="B100" i="1"/>
  <c r="E100" i="1" s="1"/>
  <c r="B50" i="1"/>
  <c r="E50" i="1" s="1"/>
  <c r="B52" i="1"/>
  <c r="E52" i="1" s="1"/>
  <c r="B149" i="1"/>
  <c r="E149" i="1" s="1"/>
  <c r="B130" i="1"/>
  <c r="E130" i="1" s="1"/>
  <c r="B140" i="1"/>
  <c r="E140" i="1" s="1"/>
  <c r="B62" i="1"/>
  <c r="E62" i="1" s="1"/>
  <c r="B25" i="1"/>
  <c r="E25" i="1" s="1"/>
  <c r="B32" i="1"/>
  <c r="E32" i="1" s="1"/>
  <c r="B101" i="1"/>
  <c r="E101" i="1" s="1"/>
  <c r="B75" i="1"/>
  <c r="E75" i="1" s="1"/>
  <c r="B123" i="1"/>
  <c r="E123" i="1" s="1"/>
  <c r="B73" i="1"/>
  <c r="E73" i="1" s="1"/>
  <c r="B125" i="1"/>
  <c r="E125" i="1" s="1"/>
  <c r="B65" i="1"/>
  <c r="E65" i="1" s="1"/>
  <c r="B129" i="1"/>
  <c r="E129" i="1" s="1"/>
  <c r="B98" i="1"/>
  <c r="E98" i="1" s="1"/>
  <c r="B111" i="1"/>
  <c r="E111" i="1" s="1"/>
  <c r="B144" i="1"/>
  <c r="E144" i="1" s="1"/>
  <c r="B37" i="1"/>
  <c r="E37" i="1" s="1"/>
  <c r="B135" i="1"/>
  <c r="E135" i="1" s="1"/>
  <c r="B93" i="1"/>
  <c r="E93" i="1" s="1"/>
  <c r="B47" i="1"/>
  <c r="E47" i="1" s="1"/>
  <c r="B43" i="1"/>
  <c r="E43" i="1" s="1"/>
  <c r="B128" i="1"/>
  <c r="E128" i="1" s="1"/>
  <c r="B30" i="1"/>
  <c r="E30" i="1" s="1"/>
  <c r="B18" i="1"/>
  <c r="E18" i="1" s="1"/>
  <c r="B88" i="1"/>
  <c r="E88" i="1" s="1"/>
  <c r="B83" i="1"/>
  <c r="E83" i="1" s="1"/>
  <c r="B91" i="1"/>
  <c r="E91" i="1" s="1"/>
  <c r="B64" i="1"/>
  <c r="E64" i="1" s="1"/>
  <c r="B80" i="1"/>
  <c r="E80" i="1" s="1"/>
  <c r="B107" i="1"/>
  <c r="E107" i="1" s="1"/>
  <c r="B35" i="1"/>
  <c r="E35" i="1" s="1"/>
  <c r="B147" i="1"/>
  <c r="E147" i="1" s="1"/>
  <c r="B55" i="1"/>
  <c r="E55" i="1" s="1"/>
  <c r="B133" i="1"/>
  <c r="E133" i="1" s="1"/>
  <c r="B97" i="1"/>
  <c r="E97" i="1" s="1"/>
  <c r="B95" i="1"/>
  <c r="E95" i="1" s="1"/>
  <c r="B45" i="1"/>
  <c r="E45" i="1" s="1"/>
  <c r="B134" i="1"/>
  <c r="E134" i="1" s="1"/>
  <c r="B17" i="1"/>
  <c r="E17" i="1" s="1"/>
  <c r="B27" i="1"/>
  <c r="E27" i="1" s="1"/>
  <c r="B105" i="1"/>
  <c r="E105" i="1" s="1"/>
  <c r="B38" i="1"/>
  <c r="E38" i="1" s="1"/>
  <c r="B114" i="1"/>
  <c r="E114" i="1" s="1"/>
  <c r="B137" i="1"/>
  <c r="E137" i="1" s="1"/>
  <c r="B122" i="1"/>
  <c r="E122" i="1" s="1"/>
  <c r="B94" i="1"/>
  <c r="E94" i="1" s="1"/>
  <c r="B141" i="1"/>
  <c r="E141" i="1" s="1"/>
  <c r="B46" i="1"/>
  <c r="E46" i="1" s="1"/>
  <c r="B99" i="1"/>
  <c r="E99" i="1" s="1"/>
  <c r="Q15" i="1"/>
  <c r="B84" i="1"/>
  <c r="E84" i="1" s="1"/>
  <c r="B54" i="1"/>
  <c r="E54" i="1" s="1"/>
  <c r="B76" i="1"/>
  <c r="E76" i="1" s="1"/>
  <c r="B136" i="1"/>
  <c r="E136" i="1" s="1"/>
  <c r="B22" i="1"/>
  <c r="E22" i="1" s="1"/>
  <c r="B26" i="1"/>
  <c r="E26" i="1" s="1"/>
  <c r="B36" i="1"/>
  <c r="E36" i="1" s="1"/>
  <c r="B96" i="1"/>
  <c r="E96" i="1" s="1"/>
  <c r="B126" i="1"/>
  <c r="E126" i="1" s="1"/>
  <c r="B92" i="1"/>
  <c r="E92" i="1" s="1"/>
  <c r="B120" i="1"/>
  <c r="E120" i="1" s="1"/>
  <c r="B103" i="1"/>
  <c r="E103" i="1" s="1"/>
  <c r="B53" i="1"/>
  <c r="E53" i="1" s="1"/>
  <c r="B57" i="1"/>
  <c r="E57" i="1" s="1"/>
  <c r="B87" i="1"/>
  <c r="E87" i="1" s="1"/>
  <c r="B143" i="1"/>
  <c r="E143" i="1" s="1"/>
  <c r="B72" i="1"/>
  <c r="E72" i="1" s="1"/>
  <c r="B131" i="1"/>
  <c r="E131" i="1" s="1"/>
  <c r="B71" i="1"/>
  <c r="E71" i="1" s="1"/>
  <c r="B42" i="1"/>
  <c r="E42" i="1" s="1"/>
  <c r="B117" i="1"/>
  <c r="E117" i="1" s="1"/>
  <c r="B34" i="1"/>
  <c r="E34" i="1" s="1"/>
  <c r="P15" i="1" a="1"/>
  <c r="B31" i="1" a="1"/>
  <c r="H15" i="1" a="1"/>
  <c r="H15" i="1" l="1"/>
  <c r="B31" i="1"/>
  <c r="E31" i="1" s="1"/>
  <c r="P15" i="1"/>
  <c r="E15" i="1" l="1"/>
  <c r="B9" i="3" l="1" a="1"/>
  <c r="B9" i="3" s="1"/>
  <c r="B15" i="2" a="1"/>
  <c r="B15" i="2" s="1"/>
  <c r="G22" i="2" a="1"/>
  <c r="G22" i="2" s="1"/>
  <c r="G19" i="2" a="1"/>
  <c r="G19" i="2" s="1"/>
  <c r="G20" i="2" a="1"/>
  <c r="G20" i="2" s="1"/>
  <c r="G21" i="2" a="1"/>
  <c r="G21" i="2" s="1"/>
  <c r="G15" i="2" l="1" a="1"/>
  <c r="G15" i="2" s="1"/>
  <c r="G18" i="2" a="1"/>
  <c r="G18" i="2" s="1"/>
  <c r="G17" i="2" a="1"/>
  <c r="G17" i="2" s="1"/>
  <c r="G16" i="2" a="1"/>
  <c r="G16" i="2" s="1"/>
  <c r="B9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<sst xmlns="http://schemas.openxmlformats.org/spreadsheetml/2006/main" count="19216" uniqueCount="11940">
  <si>
    <t>TIPO_DE_MÁQUINA</t>
  </si>
  <si>
    <t>ASPIRADORA</t>
  </si>
  <si>
    <t>BARREDORA</t>
  </si>
  <si>
    <t>CEPILLO_PULIDOR</t>
  </si>
  <si>
    <t>COMPRESOR</t>
  </si>
  <si>
    <t>ESCOBA</t>
  </si>
  <si>
    <t>FREGADORA</t>
  </si>
  <si>
    <t>HIDROLAVADORA_ESTACIONARIA</t>
  </si>
  <si>
    <t>HIDROLAVADORA_GASOLINA</t>
  </si>
  <si>
    <t>HIDROLAVADORA_HD</t>
  </si>
  <si>
    <t>HIDROLAVADORA_HDS</t>
  </si>
  <si>
    <t>HIDROLAVADORA_K</t>
  </si>
  <si>
    <t>TRAPP</t>
  </si>
  <si>
    <t>IROBOT</t>
  </si>
  <si>
    <t>VAPORIZADOR</t>
  </si>
  <si>
    <t>LAVA_ASPIRADORA</t>
  </si>
  <si>
    <t>GARANTÍA</t>
  </si>
  <si>
    <t>SI</t>
  </si>
  <si>
    <t>NO</t>
  </si>
  <si>
    <t>CEPILLO CV 48/2</t>
  </si>
  <si>
    <t>COMPRESOR_8G</t>
  </si>
  <si>
    <t>FC_5</t>
  </si>
  <si>
    <t>HIDROLAVADORA ESTACIONARIA HDC 24/15-4</t>
  </si>
  <si>
    <t>HIDROLAVADORA_G_2700</t>
  </si>
  <si>
    <t>PICADORA ES 400</t>
  </si>
  <si>
    <t>CEPILLO EB 30/1</t>
  </si>
  <si>
    <t>COMPRESOR_DENTAL_WT</t>
  </si>
  <si>
    <t>FC_3</t>
  </si>
  <si>
    <t>HIDROLAVADORA ESTACIONARIA HDC 24/15 ADVANCED 220V</t>
  </si>
  <si>
    <t>HIDROLAVADORA G 2000 MK</t>
  </si>
  <si>
    <t>PICADORA ES 450 G CON MOTOR 6.5HP BRIGGS</t>
  </si>
  <si>
    <t>CEPILLO PULIDOR AXCESS 12"</t>
  </si>
  <si>
    <t>COMPRESOR_15G_20G_30G_2HP</t>
  </si>
  <si>
    <t>B40_WP_D43_EP</t>
  </si>
  <si>
    <t>HIDROLAVADORA ESTACIONARIA HDC 36/15-4</t>
  </si>
  <si>
    <t>HIDROLAVADORA G 2400 (K 2400)</t>
  </si>
  <si>
    <t>PICADORA ES 450 MOTOR 3CV 60HZ MONOF.</t>
  </si>
  <si>
    <t>CEPILLO PULIDOR BD 44/180</t>
  </si>
  <si>
    <t>COMPRESOR_60G_3.7HP</t>
  </si>
  <si>
    <t>B40_WP_D51_EP</t>
  </si>
  <si>
    <t>HIDROLAVADORA ESTACIONARIA HDC 36/15 ADVANCED 440V</t>
  </si>
  <si>
    <t>HIDROLAVADORA G 2500</t>
  </si>
  <si>
    <t>PICADORA ES 600 MOTOR GASOLINA DE 13HP</t>
  </si>
  <si>
    <t>CEPILLO PULIDOR BD 44/50.</t>
  </si>
  <si>
    <t>COMPRESOR_80G_1ETAPA_TQ_5HP</t>
  </si>
  <si>
    <t>B40_W_BP_D43</t>
  </si>
  <si>
    <t>HIDROLAVADORA ESTACIONARIA HDC 4000 (1-509-500.2)</t>
  </si>
  <si>
    <t>HIDROLAVADORA G 2600</t>
  </si>
  <si>
    <t>PICADORA ES 650</t>
  </si>
  <si>
    <t>CEPILLO PULIDOR BD 53/1100</t>
  </si>
  <si>
    <t>COMPRESOR_80G_2ETAPAS_HS_Y_CE_5HP</t>
  </si>
  <si>
    <t>B40_W_BP_D51</t>
  </si>
  <si>
    <t>HIDROLAVADORA ESTACIONARIA HDS 9/16-4 GAS LPG</t>
  </si>
  <si>
    <t>PICADORA ES 650T C/TOMA FUERZA DE TRACTOR</t>
  </si>
  <si>
    <t>CEPILLO PULIDOR BDP 43-1500</t>
  </si>
  <si>
    <t xml:space="preserve">COMPRESOR_80G_2ETAPAS_TF_5HP </t>
  </si>
  <si>
    <t>B60_W_BP_D55</t>
  </si>
  <si>
    <t>HIDROLAVADORA G 2650</t>
  </si>
  <si>
    <t>PICADORA TRP 40 120 V</t>
  </si>
  <si>
    <t>CEPILLO PULIDOR BDP 51/1500C</t>
  </si>
  <si>
    <t>COMPRESOR_80G_2ETAPAS_TF_7.5HP</t>
  </si>
  <si>
    <t>B60_W_BP_D65</t>
  </si>
  <si>
    <t>HIDROLAVADORA G 2700</t>
  </si>
  <si>
    <t>TRITURADOR DE COCO TRC-40 MOTOR 5CV</t>
  </si>
  <si>
    <t>CEPILLO PULIDOR BDS 43/150</t>
  </si>
  <si>
    <t>CABEZAL_VT49</t>
  </si>
  <si>
    <t>BR_55_60</t>
  </si>
  <si>
    <t>TRITURADOR DE COCO TRC-50 C/MOTOR 6HP BRIGGS</t>
  </si>
  <si>
    <t>CABEZAL_TQ</t>
  </si>
  <si>
    <t>B140_R_D75</t>
  </si>
  <si>
    <t>HIDROLAVADORA G 2800 OC</t>
  </si>
  <si>
    <t>TRITURADOR ELECTRICO TR-200</t>
  </si>
  <si>
    <t>CEPILLO PULIDOR BDS 43/175 C</t>
  </si>
  <si>
    <t>CABEZAL_HS</t>
  </si>
  <si>
    <t>B150R_BP_D75</t>
  </si>
  <si>
    <t>HIDROLAVADORA G 2800 XC</t>
  </si>
  <si>
    <t>TRITURADOR FORRAJERO TRF-800</t>
  </si>
  <si>
    <t>CEPILLO PULIDOR BDS 43/180 C</t>
  </si>
  <si>
    <t>CABEZAL_TF</t>
  </si>
  <si>
    <t>B150R_D90</t>
  </si>
  <si>
    <t>TRITURADOR FORRAJERO TRP-400 G MOTOR 6HP BRIGGS</t>
  </si>
  <si>
    <t>CEPILLO PULIDOR BDS 51/175 C</t>
  </si>
  <si>
    <t>CABEZAL_TX</t>
  </si>
  <si>
    <t>BR_75_140</t>
  </si>
  <si>
    <t>HIDROLAVADORA G 3000 OH</t>
  </si>
  <si>
    <t>TRITURADOR FORRAJERO TRP-400 SIN MOTOR</t>
  </si>
  <si>
    <t xml:space="preserve">B250_D100 </t>
  </si>
  <si>
    <t>HIDROLAVADORA G 3050</t>
  </si>
  <si>
    <t>TRITURADOR HYT 130</t>
  </si>
  <si>
    <t>CEPILLO PULIDOR BDS 51/175 C (USADOS)</t>
  </si>
  <si>
    <t>B250_D100_KIK</t>
  </si>
  <si>
    <t>HIDROLAVADORA G 3200</t>
  </si>
  <si>
    <t>TRITURADOR HYT 65</t>
  </si>
  <si>
    <t>CEPILLO PULIDOR BDS 51/180 C</t>
  </si>
  <si>
    <t>BD_50_50</t>
  </si>
  <si>
    <t>TRITURADOR MULTIUSO JK-500</t>
  </si>
  <si>
    <t>CEPILLO PULIDOR DE ALTA BDP 51/1500</t>
  </si>
  <si>
    <t>BD_50_60_EP</t>
  </si>
  <si>
    <t>HIDROLAVADORA G 3200 OC</t>
  </si>
  <si>
    <t>TRITURADOR MULTIUSO JK-700</t>
  </si>
  <si>
    <t>BD_50_70</t>
  </si>
  <si>
    <t>HIDROLAVADORA G 4.10</t>
  </si>
  <si>
    <t>TRITURADOR ORGANICO BIO 300 13,5 HP GASOLINA</t>
  </si>
  <si>
    <t>BR_30_4</t>
  </si>
  <si>
    <t>TRITURADOR ORGANICO TRR-190 C/MOTOR GAS 6HP 4T BRIGGS</t>
  </si>
  <si>
    <t>CEPILLO PULIDOR DE ALTA LIGHTNING 20" 1500 RPM</t>
  </si>
  <si>
    <t>BR_35_12</t>
  </si>
  <si>
    <t>HIDROLAVADORA G 4000 OH</t>
  </si>
  <si>
    <t>TRITURADOR ORGANICO TRR-260 C/MOTOR GAS 10 HP 4T BRIGGS</t>
  </si>
  <si>
    <t>CEPILLO PULIDOR DE ALTA LIGHTNING 20" 2000 RPM</t>
  </si>
  <si>
    <t xml:space="preserve">BR_40_25 </t>
  </si>
  <si>
    <t>HIDROLAVADORA G 9.85</t>
  </si>
  <si>
    <t>TRITURADOR ORGANICO TRR-280 C/TOMA FUERZA TRACTOR</t>
  </si>
  <si>
    <t>CEPILLO PULIDOR WINDSOR BOLT 17"</t>
  </si>
  <si>
    <t xml:space="preserve">B_80_100 </t>
  </si>
  <si>
    <t>HIDROLAVADORA G1500</t>
  </si>
  <si>
    <t>TRITURADOR TR-500 CON MOTOR 13 HP BRIGGS</t>
  </si>
  <si>
    <t>CEPILLO PULIDOR WINDSOR BOLT 20"</t>
  </si>
  <si>
    <t>HIDROLAVADORA G2500</t>
  </si>
  <si>
    <t>TRITURADOR TR-500 ELÉCTRICO</t>
  </si>
  <si>
    <t>CEPILLO PULIDOR WINDSOR STORM DELUXE</t>
  </si>
  <si>
    <t>HIDROLAVADORA G2500 DC</t>
  </si>
  <si>
    <t>TRITURADOR TRF 300</t>
  </si>
  <si>
    <t>CEPILLO PULIDOR WINDSOR STORM DELUXE (USADOS)</t>
  </si>
  <si>
    <t>HIDROLAVADORA G3000</t>
  </si>
  <si>
    <t>TRITURADOR TRF 300  NO SE PUEDE</t>
  </si>
  <si>
    <t>TRITURADOR TRF 300 G CON MOTOR A COMBUSTION</t>
  </si>
  <si>
    <t>HIDROLAVADORA GASOLINA HPW 2500</t>
  </si>
  <si>
    <t>TRITURADOR TRF 300 SIN MOTOR</t>
  </si>
  <si>
    <t>HIDROLAVADORA GASOLINA HPW 3600</t>
  </si>
  <si>
    <t>TRITURADOR TRF 70</t>
  </si>
  <si>
    <t>TRITURADOR TRF 700  COMBUSTIÓN</t>
  </si>
  <si>
    <t>TRITURADOR TRF 700 220 V</t>
  </si>
  <si>
    <t>TRITURADOR TRF 700 SIN MOTOR</t>
  </si>
  <si>
    <t>TRITURADOR TRF 80</t>
  </si>
  <si>
    <t>TRITURADOR TRF 90 CON MOTOR</t>
  </si>
  <si>
    <t>TRITURADOR TRF 90 S/MOTOR</t>
  </si>
  <si>
    <t>CÓDIGO_1.629_104</t>
  </si>
  <si>
    <t>CÓDIGO_1.723_105</t>
  </si>
  <si>
    <t>CÓDIGO_1.195_215</t>
  </si>
  <si>
    <t>CÓDIGO_1.195_105</t>
  </si>
  <si>
    <t>CÓDIGO_1.195_136</t>
  </si>
  <si>
    <t>CÓDIGO_1.527_152</t>
  </si>
  <si>
    <t>CÓDIGO_1.994_000</t>
  </si>
  <si>
    <t>CÓDIGO_1.723_962</t>
  </si>
  <si>
    <t>CÓDIGO_1.098_305</t>
  </si>
  <si>
    <t>CÓDIGO_1.629_776</t>
  </si>
  <si>
    <t>CÓDIGO_1.629_813</t>
  </si>
  <si>
    <t>CÓDIGO_1.629_608</t>
  </si>
  <si>
    <t>Turbina de aspiración</t>
  </si>
  <si>
    <t>A6-490-185</t>
  </si>
  <si>
    <t>A4-195-075</t>
  </si>
  <si>
    <t>A6-490-154</t>
  </si>
  <si>
    <t>A6-490-259</t>
  </si>
  <si>
    <t>A4-610-071</t>
  </si>
  <si>
    <t xml:space="preserve">Indicador de Succión </t>
  </si>
  <si>
    <t>A6-959-165</t>
  </si>
  <si>
    <t xml:space="preserve">A4-490-027 </t>
  </si>
  <si>
    <t>A4-490-027</t>
  </si>
  <si>
    <t>A4-624-103</t>
  </si>
  <si>
    <t>A6-490-117</t>
  </si>
  <si>
    <t>A9-755-510</t>
  </si>
  <si>
    <t>Interruptor</t>
  </si>
  <si>
    <t>A6-630-087</t>
  </si>
  <si>
    <t>A6-630-650</t>
  </si>
  <si>
    <t>A6-630-437</t>
  </si>
  <si>
    <t>A6-630-032</t>
  </si>
  <si>
    <t>A9-085-091</t>
  </si>
  <si>
    <t xml:space="preserve">A6-959-136 </t>
  </si>
  <si>
    <t>A9-770-635</t>
  </si>
  <si>
    <t>Filtro de espuma</t>
  </si>
  <si>
    <t>A5-731-595</t>
  </si>
  <si>
    <t>Enrollador</t>
  </si>
  <si>
    <t>A4-195-071</t>
  </si>
  <si>
    <t>A6-648-816</t>
  </si>
  <si>
    <t>A6-649-756</t>
  </si>
  <si>
    <t>Filtro de Turbina</t>
  </si>
  <si>
    <t>A6-414-611</t>
  </si>
  <si>
    <t>A9-048-119</t>
  </si>
  <si>
    <t xml:space="preserve">A2-863-016 </t>
  </si>
  <si>
    <t>Filtro de cartucho</t>
  </si>
  <si>
    <t>A6-414-552</t>
  </si>
  <si>
    <t>Filtro plano barato</t>
  </si>
  <si>
    <t>A6-904-284</t>
  </si>
  <si>
    <t>Filtro de cartucho lavable</t>
  </si>
  <si>
    <t>A9-770-988</t>
  </si>
  <si>
    <t>Filtro de EPA</t>
  </si>
  <si>
    <t>A2-860-273</t>
  </si>
  <si>
    <t>A6-414-963</t>
  </si>
  <si>
    <t>Filtro de Canasta</t>
  </si>
  <si>
    <t>A5-731-649</t>
  </si>
  <si>
    <t>Bolsa de Papel</t>
  </si>
  <si>
    <t>Canasta</t>
  </si>
  <si>
    <t>A9-037-945</t>
  </si>
  <si>
    <t xml:space="preserve">Filtro azul </t>
  </si>
  <si>
    <t>A2-863-015</t>
  </si>
  <si>
    <t>Bolsa de papel</t>
  </si>
  <si>
    <t>A6-904-322</t>
  </si>
  <si>
    <t>A2-863-276</t>
  </si>
  <si>
    <t>Filtro plano caro</t>
  </si>
  <si>
    <t>A6-904-364</t>
  </si>
  <si>
    <t>A6-907-038</t>
  </si>
  <si>
    <t>A6-195-239</t>
  </si>
  <si>
    <t>Seguro metalico de Contenedor</t>
  </si>
  <si>
    <t>A5-337-038</t>
  </si>
  <si>
    <t>Manguera de aspiración</t>
  </si>
  <si>
    <t>A4-440-907</t>
  </si>
  <si>
    <t>Filtro Epa</t>
  </si>
  <si>
    <t>A6-904-417</t>
  </si>
  <si>
    <t>A2-863-014</t>
  </si>
  <si>
    <t>A4-441-084</t>
  </si>
  <si>
    <t>A4-441-066</t>
  </si>
  <si>
    <t>A9-012-109</t>
  </si>
  <si>
    <t xml:space="preserve">Filtro atmosferico </t>
  </si>
  <si>
    <t>A6-904-215</t>
  </si>
  <si>
    <t>Mariposa</t>
  </si>
  <si>
    <t>A9-770-874</t>
  </si>
  <si>
    <t>A9-012-004</t>
  </si>
  <si>
    <t>Filtro Plano</t>
  </si>
  <si>
    <t>A6-414-631</t>
  </si>
  <si>
    <t>Boquilla de piso</t>
  </si>
  <si>
    <t>A2-889-244</t>
  </si>
  <si>
    <t>Turbina</t>
  </si>
  <si>
    <t>A6-959-006</t>
  </si>
  <si>
    <t>Boquilla piso</t>
  </si>
  <si>
    <t>A4-629-013</t>
  </si>
  <si>
    <t>A2-863-000</t>
  </si>
  <si>
    <t>A4-629-007</t>
  </si>
  <si>
    <t>kit de filtros</t>
  </si>
  <si>
    <t>A2-889-071</t>
  </si>
  <si>
    <t>A9-755-429</t>
  </si>
  <si>
    <t>A2-862-141</t>
  </si>
  <si>
    <t>A6-901-058</t>
  </si>
  <si>
    <t>A6-901-076</t>
  </si>
  <si>
    <t>Filtro Antisonido</t>
  </si>
  <si>
    <t>A5-195-197</t>
  </si>
  <si>
    <t>Boquilla de ranura</t>
  </si>
  <si>
    <t>A6-903-403</t>
  </si>
  <si>
    <t>A6-906-955</t>
  </si>
  <si>
    <t>A6-959-552</t>
  </si>
  <si>
    <t>A6-900-385</t>
  </si>
  <si>
    <t>A6-903-033</t>
  </si>
  <si>
    <t>A9-770-877</t>
  </si>
  <si>
    <t>A6-906-894</t>
  </si>
  <si>
    <t xml:space="preserve">Bolsas de Papel </t>
  </si>
  <si>
    <t>A6-904-333</t>
  </si>
  <si>
    <t>A6-959-499</t>
  </si>
  <si>
    <t>Bolla</t>
  </si>
  <si>
    <t>A5-585-054</t>
  </si>
  <si>
    <t>A4-075-012</t>
  </si>
  <si>
    <t>A4-063-909</t>
  </si>
  <si>
    <t>Carcasa superior</t>
  </si>
  <si>
    <t>A9-770-852</t>
  </si>
  <si>
    <t>Mariposa de Filtro</t>
  </si>
  <si>
    <t>A5-195-196</t>
  </si>
  <si>
    <t>A4-069-003</t>
  </si>
  <si>
    <t>C0-000-001</t>
  </si>
  <si>
    <t>Carcasa Superior</t>
  </si>
  <si>
    <t>A6-959-551</t>
  </si>
  <si>
    <t>A5-069-312</t>
  </si>
  <si>
    <t>Codo de manguera</t>
  </si>
  <si>
    <t>A2-863-012</t>
  </si>
  <si>
    <t>A5-069-310</t>
  </si>
  <si>
    <t>A4-066-321</t>
  </si>
  <si>
    <t>A9-755-475</t>
  </si>
  <si>
    <t>Prensas de Carcasa</t>
  </si>
  <si>
    <t>A5-075-033</t>
  </si>
  <si>
    <t>Rueda</t>
  </si>
  <si>
    <t>A6-435-353</t>
  </si>
  <si>
    <t xml:space="preserve">Boquilla de piso pequeña </t>
  </si>
  <si>
    <t>A6-906-622</t>
  </si>
  <si>
    <t>A2-889-081</t>
  </si>
  <si>
    <t>Contenedor</t>
  </si>
  <si>
    <t>A6-959-270</t>
  </si>
  <si>
    <t>A5-070-667</t>
  </si>
  <si>
    <t>A4-070-786</t>
  </si>
  <si>
    <t>A6-904-285</t>
  </si>
  <si>
    <t>A6-907-408</t>
  </si>
  <si>
    <t>A9-036-979</t>
  </si>
  <si>
    <t>Codo de Manguera</t>
  </si>
  <si>
    <t>A4-195-247</t>
  </si>
  <si>
    <t>A6-902-116</t>
  </si>
  <si>
    <t>A5-033-412</t>
  </si>
  <si>
    <t>A6-959-374</t>
  </si>
  <si>
    <t>A4-440-010</t>
  </si>
  <si>
    <t>A5-075-037</t>
  </si>
  <si>
    <t>A6-906-321</t>
  </si>
  <si>
    <t>Seguro de rueda</t>
  </si>
  <si>
    <t>A9-761-044</t>
  </si>
  <si>
    <t>A6-902-126</t>
  </si>
  <si>
    <t>A4-070-800</t>
  </si>
  <si>
    <t>A6-903-018</t>
  </si>
  <si>
    <t>Tapacubos</t>
  </si>
  <si>
    <t>A5-392-980</t>
  </si>
  <si>
    <t xml:space="preserve">Carcasa Superior </t>
  </si>
  <si>
    <t>A9-001-287</t>
  </si>
  <si>
    <t>A6-343-217</t>
  </si>
  <si>
    <t>A5-515-361</t>
  </si>
  <si>
    <t>A5-069-129</t>
  </si>
  <si>
    <t>A5-064-392</t>
  </si>
  <si>
    <t>Rodillo de dirección</t>
  </si>
  <si>
    <t>A9-770-921</t>
  </si>
  <si>
    <t>A6-435-312</t>
  </si>
  <si>
    <t>Arandela del rodillo</t>
  </si>
  <si>
    <t>A7-312-066</t>
  </si>
  <si>
    <t>A6-435-241</t>
  </si>
  <si>
    <t>Tuerca del rodillo</t>
  </si>
  <si>
    <t>A7-311-402</t>
  </si>
  <si>
    <t>A7-312-005</t>
  </si>
  <si>
    <t>Membrana</t>
  </si>
  <si>
    <t>A7-311-423</t>
  </si>
  <si>
    <t>Codo</t>
  </si>
  <si>
    <t>A5-031-904</t>
  </si>
  <si>
    <t>Tarjeta</t>
  </si>
  <si>
    <t>A6-682-684</t>
  </si>
  <si>
    <t>A6-904-282</t>
  </si>
  <si>
    <t>A4-060-871</t>
  </si>
  <si>
    <t>CÓDIGO_1.286_127</t>
  </si>
  <si>
    <t>CÓDIGO_1.286_908</t>
  </si>
  <si>
    <t>CÓDIGO_1.286_109</t>
  </si>
  <si>
    <t>CÓDIGO_1.286_907</t>
  </si>
  <si>
    <t>CÓDIGO_1.520_148</t>
  </si>
  <si>
    <t>CÓDIGO_1.367_310</t>
  </si>
  <si>
    <t>Tapa Gris</t>
  </si>
  <si>
    <t>A5-064-442</t>
  </si>
  <si>
    <t>A5-069-035</t>
  </si>
  <si>
    <t>A5-515-386</t>
  </si>
  <si>
    <t>A4-515-347</t>
  </si>
  <si>
    <t xml:space="preserve">Tuerca de la Tapa </t>
  </si>
  <si>
    <t>A6-310-053</t>
  </si>
  <si>
    <t>Dispositivo de bloqueo</t>
  </si>
  <si>
    <t>A5-645-675</t>
  </si>
  <si>
    <t>Tornillo de la Tapa</t>
  </si>
  <si>
    <t>A6-304-099</t>
  </si>
  <si>
    <t>Cubrejunta para el cable</t>
  </si>
  <si>
    <t>A5-3790-43</t>
  </si>
  <si>
    <t>A6-435-662</t>
  </si>
  <si>
    <t>Bastidor Delantero</t>
  </si>
  <si>
    <t>A4-050-714</t>
  </si>
  <si>
    <t>Condensador  70 µF</t>
  </si>
  <si>
    <t>A6-661-003</t>
  </si>
  <si>
    <t>Microinterruptor</t>
  </si>
  <si>
    <t>A9-751-013</t>
  </si>
  <si>
    <t>Base de boquilla</t>
  </si>
  <si>
    <t>A5-013-091</t>
  </si>
  <si>
    <t>Perilla del interruptor</t>
  </si>
  <si>
    <t>A4-324-057</t>
  </si>
  <si>
    <t>Pin accionante</t>
  </si>
  <si>
    <t>A9-751-030</t>
  </si>
  <si>
    <t>Espaciador</t>
  </si>
  <si>
    <t>A5-110-378</t>
  </si>
  <si>
    <t>A7-312-060</t>
  </si>
  <si>
    <t>Disco axial</t>
  </si>
  <si>
    <t>A6-401-196</t>
  </si>
  <si>
    <t>Asiento</t>
  </si>
  <si>
    <t>A9-751-028</t>
  </si>
  <si>
    <t>Seguro</t>
  </si>
  <si>
    <t>A6-343-137</t>
  </si>
  <si>
    <t>A7-343-008</t>
  </si>
  <si>
    <t>Rol trasero 6202</t>
  </si>
  <si>
    <t>A7-401-128</t>
  </si>
  <si>
    <t>By-pass</t>
  </si>
  <si>
    <t>A9-751-029</t>
  </si>
  <si>
    <t>A6-435-008</t>
  </si>
  <si>
    <t>A5-392-038</t>
  </si>
  <si>
    <t>Rol delantero</t>
  </si>
  <si>
    <t>A6-401-437</t>
  </si>
  <si>
    <t>Oring de tapon de válvula</t>
  </si>
  <si>
    <t>A9-761-103</t>
  </si>
  <si>
    <t>Eje</t>
  </si>
  <si>
    <t>A5-094-144</t>
  </si>
  <si>
    <t>A4-515-092</t>
  </si>
  <si>
    <t>Retenedor de aceite del motor</t>
  </si>
  <si>
    <t>A7-367-024</t>
  </si>
  <si>
    <t>Oring de válvula</t>
  </si>
  <si>
    <t>A9-761-104</t>
  </si>
  <si>
    <t>Estribo trasero</t>
  </si>
  <si>
    <t>A5-032-406</t>
  </si>
  <si>
    <t>Ventilador</t>
  </si>
  <si>
    <t>A5-600-105</t>
  </si>
  <si>
    <t>Válvula</t>
  </si>
  <si>
    <t>A9-751-004</t>
  </si>
  <si>
    <t>Soporte del Cable</t>
  </si>
  <si>
    <t>A5-044-668</t>
  </si>
  <si>
    <t>Culata completa</t>
  </si>
  <si>
    <t>A4-550-942</t>
  </si>
  <si>
    <t>Retenedor de agua</t>
  </si>
  <si>
    <t>A9-761-106</t>
  </si>
  <si>
    <t>Válvula Chem</t>
  </si>
  <si>
    <t>A4-580-814</t>
  </si>
  <si>
    <t>Cabezal</t>
  </si>
  <si>
    <t>A5-062-390</t>
  </si>
  <si>
    <t>Retenedor intermedio</t>
  </si>
  <si>
    <t>A9-761-108</t>
  </si>
  <si>
    <t>Soporte de lanza</t>
  </si>
  <si>
    <t>A5-044-666</t>
  </si>
  <si>
    <t>A4-580-608</t>
  </si>
  <si>
    <t>Válvula chem</t>
  </si>
  <si>
    <t>A4-580-702</t>
  </si>
  <si>
    <t>Oring de la embrilla</t>
  </si>
  <si>
    <t>A9-761-107</t>
  </si>
  <si>
    <t xml:space="preserve">Cabezal </t>
  </si>
  <si>
    <t>A2-885-130</t>
  </si>
  <si>
    <t>A2-885-408</t>
  </si>
  <si>
    <t>Retención</t>
  </si>
  <si>
    <t>A9-761-027</t>
  </si>
  <si>
    <t>Resorte del asiento</t>
  </si>
  <si>
    <t>A5-332-999</t>
  </si>
  <si>
    <t>Cabezal  (hilo delgado)</t>
  </si>
  <si>
    <t>Inyector</t>
  </si>
  <si>
    <t>A4-769-035</t>
  </si>
  <si>
    <t>Resorte de retención</t>
  </si>
  <si>
    <t>A9-761-064</t>
  </si>
  <si>
    <t>Oring del asiento</t>
  </si>
  <si>
    <t>A6-362-151</t>
  </si>
  <si>
    <t>Cabezal  (hilo grueso)</t>
  </si>
  <si>
    <t>A2-885-320</t>
  </si>
  <si>
    <t>A4-584-022</t>
  </si>
  <si>
    <t>Oring de acople de manguera</t>
  </si>
  <si>
    <t>A9-761-004</t>
  </si>
  <si>
    <t>A5-581-270</t>
  </si>
  <si>
    <t>Oring de cabezal</t>
  </si>
  <si>
    <t>A6-362-562</t>
  </si>
  <si>
    <t>Cabezal completo</t>
  </si>
  <si>
    <t>A9-751-037</t>
  </si>
  <si>
    <t>Asiento del by-pass</t>
  </si>
  <si>
    <t>A5-581-307</t>
  </si>
  <si>
    <t>Oring de culata</t>
  </si>
  <si>
    <t>A6-363-616</t>
  </si>
  <si>
    <t>Carcasa del block</t>
  </si>
  <si>
    <t>A9-761-278</t>
  </si>
  <si>
    <t>Resorte del by-pass</t>
  </si>
  <si>
    <t>A5-332-366</t>
  </si>
  <si>
    <t xml:space="preserve">Guía </t>
  </si>
  <si>
    <t>A2-060-000</t>
  </si>
  <si>
    <t>Arandela de bronce</t>
  </si>
  <si>
    <t>A9-761-007</t>
  </si>
  <si>
    <t>A4-591-053</t>
  </si>
  <si>
    <t>By-pass  (hilo delgado)</t>
  </si>
  <si>
    <t>A2-885-129</t>
  </si>
  <si>
    <t>Pistón</t>
  </si>
  <si>
    <t>A4-553-004</t>
  </si>
  <si>
    <t>Mirilla</t>
  </si>
  <si>
    <t>A9-761-093</t>
  </si>
  <si>
    <t>A2-883-988</t>
  </si>
  <si>
    <t>By-pass (hilo grueso)</t>
  </si>
  <si>
    <t>A2-885-238</t>
  </si>
  <si>
    <t xml:space="preserve">Retenedor de aceite </t>
  </si>
  <si>
    <t>A6-363-633</t>
  </si>
  <si>
    <t>Retenedor de aceite 42X55X8</t>
  </si>
  <si>
    <t>A9-761-137</t>
  </si>
  <si>
    <t>A4-744-239</t>
  </si>
  <si>
    <t>Borne</t>
  </si>
  <si>
    <t>A5-116-381</t>
  </si>
  <si>
    <t>Rol trasero 6305</t>
  </si>
  <si>
    <t>C7-401-147</t>
  </si>
  <si>
    <t>Inserto de boquilla</t>
  </si>
  <si>
    <t>A4-769-000</t>
  </si>
  <si>
    <t>Disco</t>
  </si>
  <si>
    <t>A5-116-380</t>
  </si>
  <si>
    <t>Viela</t>
  </si>
  <si>
    <t>A9-751-008</t>
  </si>
  <si>
    <t>Oring de la chem</t>
  </si>
  <si>
    <t>A6-363-597</t>
  </si>
  <si>
    <t>Oring de la guía</t>
  </si>
  <si>
    <t>A6-363-449</t>
  </si>
  <si>
    <t>Pasador</t>
  </si>
  <si>
    <t>A9-761-077</t>
  </si>
  <si>
    <t>A5-769-082</t>
  </si>
  <si>
    <t>A6-363-435</t>
  </si>
  <si>
    <t>Bastago de viela</t>
  </si>
  <si>
    <t>A9-761-279</t>
  </si>
  <si>
    <t>Oring del inyector</t>
  </si>
  <si>
    <t>A6-362-384</t>
  </si>
  <si>
    <t>Set de bomba</t>
  </si>
  <si>
    <t>A2-885-377</t>
  </si>
  <si>
    <t>Retenedores de aceite 18X26X6/8</t>
  </si>
  <si>
    <t>A6-365-334</t>
  </si>
  <si>
    <t>Clavija de nodo</t>
  </si>
  <si>
    <t>A5-427-320</t>
  </si>
  <si>
    <t>A5-427-010.3</t>
  </si>
  <si>
    <t>A6-961-079</t>
  </si>
  <si>
    <t>Ceramica</t>
  </si>
  <si>
    <t>A9-761-071</t>
  </si>
  <si>
    <t>Piston</t>
  </si>
  <si>
    <t>A4-553-238</t>
  </si>
  <si>
    <t>A5-427-010-3</t>
  </si>
  <si>
    <t>Filtro de agua interna</t>
  </si>
  <si>
    <t>A5-731-059</t>
  </si>
  <si>
    <t>Arandela de tornillo</t>
  </si>
  <si>
    <t>A9-761-177</t>
  </si>
  <si>
    <t>Arandela</t>
  </si>
  <si>
    <t>A5-115-991</t>
  </si>
  <si>
    <t>A4-553-282</t>
  </si>
  <si>
    <t xml:space="preserve">Tabuladora </t>
  </si>
  <si>
    <t>A5-064-517</t>
  </si>
  <si>
    <t>Tapon de block</t>
  </si>
  <si>
    <t>A9-761-022</t>
  </si>
  <si>
    <t>Resorte del piston</t>
  </si>
  <si>
    <t>A5-332-187</t>
  </si>
  <si>
    <t>Oring de tabuladora</t>
  </si>
  <si>
    <t>A6-363-437</t>
  </si>
  <si>
    <t>Condensador 35µF</t>
  </si>
  <si>
    <t>A9-761-523</t>
  </si>
  <si>
    <t>A6-363-228</t>
  </si>
  <si>
    <t>Tuerca de entrada de agua</t>
  </si>
  <si>
    <t>A5-064-465</t>
  </si>
  <si>
    <t>Condensador 60µF</t>
  </si>
  <si>
    <t>A9-761-259</t>
  </si>
  <si>
    <t>Guía</t>
  </si>
  <si>
    <t>A5-060-936</t>
  </si>
  <si>
    <t>Boquilla triple</t>
  </si>
  <si>
    <t>A4-117-027</t>
  </si>
  <si>
    <t>Condensador 150µF</t>
  </si>
  <si>
    <t>A9-761-316</t>
  </si>
  <si>
    <t>Retenedor de aceite</t>
  </si>
  <si>
    <t>A6-365-052</t>
  </si>
  <si>
    <t>Interruptor principal</t>
  </si>
  <si>
    <t>A9-761-197</t>
  </si>
  <si>
    <t>Disco de bronce</t>
  </si>
  <si>
    <t>A5-115-537</t>
  </si>
  <si>
    <t>A6-365-380</t>
  </si>
  <si>
    <t>Embrilla</t>
  </si>
  <si>
    <t>A5-112-713</t>
  </si>
  <si>
    <t>Oring de embrilla</t>
  </si>
  <si>
    <t>A6-362-092</t>
  </si>
  <si>
    <t>Disco plastico</t>
  </si>
  <si>
    <t>A5-115-538</t>
  </si>
  <si>
    <t>A6-365-377</t>
  </si>
  <si>
    <t>Apollo de retenedor</t>
  </si>
  <si>
    <t>A6-365-378</t>
  </si>
  <si>
    <t>A2-883-902</t>
  </si>
  <si>
    <t>Set de válvulas</t>
  </si>
  <si>
    <t>A2-884-512</t>
  </si>
  <si>
    <t>Válvula roja</t>
  </si>
  <si>
    <t>A4-580-594</t>
  </si>
  <si>
    <t>Tornillo de Válvula Baja</t>
  </si>
  <si>
    <t>A5-583-177</t>
  </si>
  <si>
    <t>Tornillo de Válvula Alta</t>
  </si>
  <si>
    <t>A5-583-146</t>
  </si>
  <si>
    <t>Manometro</t>
  </si>
  <si>
    <t>A4-423-027</t>
  </si>
  <si>
    <t>Contenedor de aceite</t>
  </si>
  <si>
    <t>A5-070-604</t>
  </si>
  <si>
    <t>Tapa del contenedor de aceite</t>
  </si>
  <si>
    <t>A5-064-457</t>
  </si>
  <si>
    <t>Oring del contenedor de aceite</t>
  </si>
  <si>
    <t>A6-362-526</t>
  </si>
  <si>
    <t>Disco de presión axial</t>
  </si>
  <si>
    <t>A6-401-124</t>
  </si>
  <si>
    <t>Jaula de rodillos axial</t>
  </si>
  <si>
    <t>A6-401-123</t>
  </si>
  <si>
    <t>A6-401-122</t>
  </si>
  <si>
    <t>Anillo interior axial</t>
  </si>
  <si>
    <t>A6-401-121</t>
  </si>
  <si>
    <t>Plato distribuidor axial</t>
  </si>
  <si>
    <t>A4-120-212</t>
  </si>
  <si>
    <t xml:space="preserve">Rol cónico </t>
  </si>
  <si>
    <t>A6-401-225</t>
  </si>
  <si>
    <t>A7-367-009</t>
  </si>
  <si>
    <t xml:space="preserve">Anillo de tolerancia </t>
  </si>
  <si>
    <t>A6-343-010</t>
  </si>
  <si>
    <t>Retenedor de aceite de motor</t>
  </si>
  <si>
    <t>Roll trasero</t>
  </si>
  <si>
    <t>A6-401-253</t>
  </si>
  <si>
    <t>Condensador de 80 µF</t>
  </si>
  <si>
    <t>A6-661-254</t>
  </si>
  <si>
    <t>Condensador de 100 µF</t>
  </si>
  <si>
    <t>A6-661-274</t>
  </si>
  <si>
    <t>Contactor LC1-D18</t>
  </si>
  <si>
    <t>A6-632-356</t>
  </si>
  <si>
    <t>Tapa de caja electrica</t>
  </si>
  <si>
    <t>A5-064-237</t>
  </si>
  <si>
    <t>Carcasa inferior de caja electrica</t>
  </si>
  <si>
    <t>A5-062-146</t>
  </si>
  <si>
    <t>Caja electrica completa</t>
  </si>
  <si>
    <t>A2-885-154</t>
  </si>
  <si>
    <t>A6-630-467</t>
  </si>
  <si>
    <t>A6-630-272</t>
  </si>
  <si>
    <t>Tarjeta electrónica</t>
  </si>
  <si>
    <t>A6-682-965</t>
  </si>
  <si>
    <t>Transformador</t>
  </si>
  <si>
    <t>A6-622-280</t>
  </si>
  <si>
    <t>CÓDIGO_1.524_123</t>
  </si>
  <si>
    <t>CÓDIGO_1.524_902</t>
  </si>
  <si>
    <t>CÓDIGO_1.974_187</t>
  </si>
  <si>
    <t>CÓDIGO_1.514_134</t>
  </si>
  <si>
    <t>A4-069-413-3</t>
  </si>
  <si>
    <t>B9-340-555</t>
  </si>
  <si>
    <t>Tapa gris</t>
  </si>
  <si>
    <t>A5-069-442</t>
  </si>
  <si>
    <t>Protector del interruptor</t>
  </si>
  <si>
    <t>B9-340-554</t>
  </si>
  <si>
    <t>B9-385-057</t>
  </si>
  <si>
    <t>A5-050-258</t>
  </si>
  <si>
    <t>Condensador 60 µF</t>
  </si>
  <si>
    <t>B9-760-205</t>
  </si>
  <si>
    <t>A5-050-206</t>
  </si>
  <si>
    <t>Bastidor Trasero</t>
  </si>
  <si>
    <t>A5-050-431</t>
  </si>
  <si>
    <t xml:space="preserve">Carcasa Inferior </t>
  </si>
  <si>
    <t>B5-066-460</t>
  </si>
  <si>
    <t>A5-050-207</t>
  </si>
  <si>
    <t>A2-889-086</t>
  </si>
  <si>
    <t>Apollo del motor</t>
  </si>
  <si>
    <t>B9-340-609</t>
  </si>
  <si>
    <t>Tornillo de sujecion del motor</t>
  </si>
  <si>
    <t>9-386-215</t>
  </si>
  <si>
    <t>A6-343-168</t>
  </si>
  <si>
    <t>A4-515-320</t>
  </si>
  <si>
    <t>B9-312-121</t>
  </si>
  <si>
    <t>A5-105-413</t>
  </si>
  <si>
    <t>A5-105-399</t>
  </si>
  <si>
    <t>Estribo de Tanques</t>
  </si>
  <si>
    <t>A5-032-747</t>
  </si>
  <si>
    <t>B5-769-119</t>
  </si>
  <si>
    <t>A5-032-556</t>
  </si>
  <si>
    <t>A5-044-735</t>
  </si>
  <si>
    <t>Oring del Inyector</t>
  </si>
  <si>
    <t>A6-362-054</t>
  </si>
  <si>
    <t>A4-063-778</t>
  </si>
  <si>
    <t>A4-580-645</t>
  </si>
  <si>
    <t>B9-302-039</t>
  </si>
  <si>
    <t>A5-550-302</t>
  </si>
  <si>
    <t>Grapa para soporte de pistola</t>
  </si>
  <si>
    <t>A5-044-216</t>
  </si>
  <si>
    <t>Válvulas</t>
  </si>
  <si>
    <t>A2-884-916</t>
  </si>
  <si>
    <t>A4-550-804</t>
  </si>
  <si>
    <t>A4-550-033</t>
  </si>
  <si>
    <t>Arandela de piston</t>
  </si>
  <si>
    <t>B5-030-625</t>
  </si>
  <si>
    <t>Criba</t>
  </si>
  <si>
    <t>A6-414-252</t>
  </si>
  <si>
    <t>A4-481-237</t>
  </si>
  <si>
    <t>Resorte de piston</t>
  </si>
  <si>
    <t>B5-332-251</t>
  </si>
  <si>
    <t>Tabuladora</t>
  </si>
  <si>
    <t>A5-402-727</t>
  </si>
  <si>
    <t>Pin del By-pass</t>
  </si>
  <si>
    <t>A2-884-856</t>
  </si>
  <si>
    <t>B5-553-250</t>
  </si>
  <si>
    <t>A6-362-481</t>
  </si>
  <si>
    <t>Oring del By-pass</t>
  </si>
  <si>
    <t>A2-884-551</t>
  </si>
  <si>
    <t>Oring de Guía</t>
  </si>
  <si>
    <t>A6-362-471</t>
  </si>
  <si>
    <t>Entrada de agua plastica</t>
  </si>
  <si>
    <t>A5-064-230</t>
  </si>
  <si>
    <t>A4-591-054</t>
  </si>
  <si>
    <t>Guia de Empuje</t>
  </si>
  <si>
    <t>A5-060-349</t>
  </si>
  <si>
    <t>Entrada de agua de bronce</t>
  </si>
  <si>
    <t>A5-064-150</t>
  </si>
  <si>
    <t>Retenedor de Aceite</t>
  </si>
  <si>
    <t>A6-365-340</t>
  </si>
  <si>
    <t>Oring de entrada de agua plastica</t>
  </si>
  <si>
    <t>A5-365-284</t>
  </si>
  <si>
    <t>B9-340-378</t>
  </si>
  <si>
    <t>A4-591-038</t>
  </si>
  <si>
    <t>A4-483-001</t>
  </si>
  <si>
    <t>Retenedor de Agua</t>
  </si>
  <si>
    <t>A6-365-341</t>
  </si>
  <si>
    <t>Entrada de Agua</t>
  </si>
  <si>
    <t>A4-064-005</t>
  </si>
  <si>
    <t>A5-731-004</t>
  </si>
  <si>
    <t>Tapon de cierre</t>
  </si>
  <si>
    <t>A4-132-007</t>
  </si>
  <si>
    <t>A6-414-141</t>
  </si>
  <si>
    <t>Pin Accionante</t>
  </si>
  <si>
    <t>B9-302-043</t>
  </si>
  <si>
    <t>A2-884-501</t>
  </si>
  <si>
    <t>A4-423-024</t>
  </si>
  <si>
    <t>A6-631-807</t>
  </si>
  <si>
    <t>A4-744-195</t>
  </si>
  <si>
    <t>A5-600-060</t>
  </si>
  <si>
    <t>Oring de la Chem</t>
  </si>
  <si>
    <t>A4-744-201</t>
  </si>
  <si>
    <t>Anillo de Tolerancia</t>
  </si>
  <si>
    <t>A6-343-015</t>
  </si>
  <si>
    <t>A4-769-034</t>
  </si>
  <si>
    <t xml:space="preserve">Válvula de Retencion </t>
  </si>
  <si>
    <t>Rol 6304</t>
  </si>
  <si>
    <t>C7-401-155</t>
  </si>
  <si>
    <t>Pistones</t>
  </si>
  <si>
    <t>A4-553-237</t>
  </si>
  <si>
    <t xml:space="preserve">Inserto de Boquilla </t>
  </si>
  <si>
    <t>A2-884-852</t>
  </si>
  <si>
    <t>Rol 6202</t>
  </si>
  <si>
    <t>C7-401-128</t>
  </si>
  <si>
    <t>A5-061-018</t>
  </si>
  <si>
    <t>A4-769-052</t>
  </si>
  <si>
    <t>A6-964-098</t>
  </si>
  <si>
    <t>A6-363-077</t>
  </si>
  <si>
    <t>Axial</t>
  </si>
  <si>
    <t>A6-401-221</t>
  </si>
  <si>
    <t>A6-365-393</t>
  </si>
  <si>
    <t>A4-553-244</t>
  </si>
  <si>
    <t>Pistola Completa</t>
  </si>
  <si>
    <t>B9-311-032</t>
  </si>
  <si>
    <t>Disco de Bronce</t>
  </si>
  <si>
    <t>A5-116-093</t>
  </si>
  <si>
    <t>A5-061-083</t>
  </si>
  <si>
    <t>Pieza de Nudos</t>
  </si>
  <si>
    <t>B9-311-312</t>
  </si>
  <si>
    <t>Hembrilla</t>
  </si>
  <si>
    <t>A5-112-726</t>
  </si>
  <si>
    <t>A6-362-963</t>
  </si>
  <si>
    <t xml:space="preserve">Manguera </t>
  </si>
  <si>
    <t>B4--311-849.3</t>
  </si>
  <si>
    <t>Oring de la Embrilla</t>
  </si>
  <si>
    <t>A6-362-376</t>
  </si>
  <si>
    <t>A6-365-322</t>
  </si>
  <si>
    <t>Oring de Pieza de Nudos</t>
  </si>
  <si>
    <t>A6-362-167</t>
  </si>
  <si>
    <t>Disco Plastico</t>
  </si>
  <si>
    <t>A5-115-721</t>
  </si>
  <si>
    <t>A5-115-493</t>
  </si>
  <si>
    <t>Oring de Punta de Manguera</t>
  </si>
  <si>
    <t>B6-362-422</t>
  </si>
  <si>
    <t>A6-365-477</t>
  </si>
  <si>
    <t>Retenedor Intermedio</t>
  </si>
  <si>
    <t>A6-365-351</t>
  </si>
  <si>
    <t>Lanza</t>
  </si>
  <si>
    <t>B9-303-128</t>
  </si>
  <si>
    <t>Set de Bomba</t>
  </si>
  <si>
    <t>A2-883-997</t>
  </si>
  <si>
    <t>A5-112-402</t>
  </si>
  <si>
    <t xml:space="preserve">Boquilla Turbo </t>
  </si>
  <si>
    <t>A4-767-116</t>
  </si>
  <si>
    <t>A6-362-398</t>
  </si>
  <si>
    <t>Boquilla fija</t>
  </si>
  <si>
    <t>A2-883-803</t>
  </si>
  <si>
    <t>A5-115-492</t>
  </si>
  <si>
    <t>Cobertor</t>
  </si>
  <si>
    <t>A5-401-210</t>
  </si>
  <si>
    <t>Retenedor de Aceite de motor</t>
  </si>
  <si>
    <t>A7-367-001</t>
  </si>
  <si>
    <t>A6-365-408</t>
  </si>
  <si>
    <t>Chasis</t>
  </si>
  <si>
    <t>B9-313-039</t>
  </si>
  <si>
    <t>Rol Trasero</t>
  </si>
  <si>
    <t>A2-884-347</t>
  </si>
  <si>
    <t>B9-340-411</t>
  </si>
  <si>
    <t>Rol Cónico</t>
  </si>
  <si>
    <t>A6-401-399</t>
  </si>
  <si>
    <t>B9-340-217</t>
  </si>
  <si>
    <t>Contenedor de Aceite</t>
  </si>
  <si>
    <t>A5-070-639</t>
  </si>
  <si>
    <t>A4-120-214</t>
  </si>
  <si>
    <t>B6-435-125</t>
  </si>
  <si>
    <t>Oring del Contenedor</t>
  </si>
  <si>
    <t>A6-362-161</t>
  </si>
  <si>
    <t>A7-367-156</t>
  </si>
  <si>
    <t>B9-340-553</t>
  </si>
  <si>
    <t>Tapa del Contenedor</t>
  </si>
  <si>
    <t>A5-070-658</t>
  </si>
  <si>
    <t>Agarradera</t>
  </si>
  <si>
    <t>B9-311-771</t>
  </si>
  <si>
    <t>A4-744-269</t>
  </si>
  <si>
    <t>A6-362-722</t>
  </si>
  <si>
    <t xml:space="preserve">Condensador 30 µF
</t>
  </si>
  <si>
    <t>A6-661-237</t>
  </si>
  <si>
    <t>Tapa del Contenedor de aceite</t>
  </si>
  <si>
    <t>A6-343-171</t>
  </si>
  <si>
    <t>A6-401-285</t>
  </si>
  <si>
    <t>A5-600-046</t>
  </si>
  <si>
    <t xml:space="preserve">Contactor </t>
  </si>
  <si>
    <t>A6-632-281</t>
  </si>
  <si>
    <t>A6-661-290</t>
  </si>
  <si>
    <t xml:space="preserve">Condensador 40 µF
</t>
  </si>
  <si>
    <t>A6-661-298</t>
  </si>
  <si>
    <t>A6-631-811</t>
  </si>
  <si>
    <t>CÓDIGO_1.601_632</t>
  </si>
  <si>
    <t>CÓDIGO_1.601_850</t>
  </si>
  <si>
    <t>CÓDIGO_1.602_212</t>
  </si>
  <si>
    <t>CÓDIGO_1.602_105</t>
  </si>
  <si>
    <t>CÓDIGO_1.602_106</t>
  </si>
  <si>
    <t>CÓDIGO_1.601_990</t>
  </si>
  <si>
    <t>CÓDIGO_1.601_772</t>
  </si>
  <si>
    <t>CÓDIGO_1.180_643</t>
  </si>
  <si>
    <t>CÓDIGO_1.601_774</t>
  </si>
  <si>
    <t>A9-755-144</t>
  </si>
  <si>
    <t>A9-001-219</t>
  </si>
  <si>
    <t>A4-551-144</t>
  </si>
  <si>
    <t>A9-001-800</t>
  </si>
  <si>
    <t>Culata</t>
  </si>
  <si>
    <t>A9-755-020</t>
  </si>
  <si>
    <t>A9-755-295</t>
  </si>
  <si>
    <t>Culata sin guía</t>
  </si>
  <si>
    <t>A4-551-159.3</t>
  </si>
  <si>
    <t>Cabezal pin delgado</t>
  </si>
  <si>
    <t>A9-755-539</t>
  </si>
  <si>
    <t>A9-002-456</t>
  </si>
  <si>
    <t>Caja electrica</t>
  </si>
  <si>
    <t>A9-755-130</t>
  </si>
  <si>
    <t>A9-755-506</t>
  </si>
  <si>
    <t>A6-630-676</t>
  </si>
  <si>
    <t>A9-755-571</t>
  </si>
  <si>
    <t>A9-755-086</t>
  </si>
  <si>
    <t>Codo de alta presión</t>
  </si>
  <si>
    <t>A9-002-412</t>
  </si>
  <si>
    <t>A9-755-088</t>
  </si>
  <si>
    <t>Boquilla turbo</t>
  </si>
  <si>
    <t>A4-764-352.3</t>
  </si>
  <si>
    <t>A9-755-256</t>
  </si>
  <si>
    <t>Piñon satelital</t>
  </si>
  <si>
    <t>A5-352-093</t>
  </si>
  <si>
    <t>A9-755-365</t>
  </si>
  <si>
    <t>Codo de entrada de agua</t>
  </si>
  <si>
    <t>A9-001-886</t>
  </si>
  <si>
    <t>Boquilla ajustable</t>
  </si>
  <si>
    <t>A2-684-048</t>
  </si>
  <si>
    <t xml:space="preserve">Set de piezas de transmición </t>
  </si>
  <si>
    <t>A4-100-662</t>
  </si>
  <si>
    <t>A9-755-284</t>
  </si>
  <si>
    <t>A9-001-924</t>
  </si>
  <si>
    <t>C7-400-112</t>
  </si>
  <si>
    <t>A4-120-228</t>
  </si>
  <si>
    <t>Rol trasero</t>
  </si>
  <si>
    <t>A9-036-703</t>
  </si>
  <si>
    <t>A9-012-787</t>
  </si>
  <si>
    <t>A9-750-918</t>
  </si>
  <si>
    <t>Borne de motor</t>
  </si>
  <si>
    <t>A9-036-387</t>
  </si>
  <si>
    <t>Rol delantero 6204</t>
  </si>
  <si>
    <t>A7-306-151</t>
  </si>
  <si>
    <t>Retenedor de motor</t>
  </si>
  <si>
    <t>A6-367-095</t>
  </si>
  <si>
    <t>Cabezal (viejo)</t>
  </si>
  <si>
    <t>A9-755-084</t>
  </si>
  <si>
    <t>Manguera para enrollador (redonda)</t>
  </si>
  <si>
    <t>A9-755-214</t>
  </si>
  <si>
    <t>A6-964-099</t>
  </si>
  <si>
    <t>Guía completa</t>
  </si>
  <si>
    <t>A9-755-120</t>
  </si>
  <si>
    <t>A9-001-927</t>
  </si>
  <si>
    <t>Culata (viejo)</t>
  </si>
  <si>
    <t>Manguera para enrollador (con bisel)</t>
  </si>
  <si>
    <t>A9-755-213</t>
  </si>
  <si>
    <t>A9-755-397</t>
  </si>
  <si>
    <t>Soporte de pistola</t>
  </si>
  <si>
    <t>A9-760-430</t>
  </si>
  <si>
    <t xml:space="preserve">Soporte de Pistola </t>
  </si>
  <si>
    <t>A9-037-618</t>
  </si>
  <si>
    <t>A9-755-236</t>
  </si>
  <si>
    <t>Grapa de manguera</t>
  </si>
  <si>
    <t>A5-059-402</t>
  </si>
  <si>
    <t>A9-001-819</t>
  </si>
  <si>
    <t>A9-012-496</t>
  </si>
  <si>
    <t>Juego de ruedas</t>
  </si>
  <si>
    <t>A9-755-111</t>
  </si>
  <si>
    <t>A9-037-619</t>
  </si>
  <si>
    <t>A9-002-179</t>
  </si>
  <si>
    <t>A9-755-171</t>
  </si>
  <si>
    <t>Set de ruedas</t>
  </si>
  <si>
    <t>A5-515-397.3</t>
  </si>
  <si>
    <t>A5-321-904</t>
  </si>
  <si>
    <t>A9-755-146</t>
  </si>
  <si>
    <t>Kit de manguera y pistola plastico</t>
  </si>
  <si>
    <t>A2-643-910</t>
  </si>
  <si>
    <t>Retenedores de aceite</t>
  </si>
  <si>
    <t>A6-964-026</t>
  </si>
  <si>
    <t>Tapa cubos</t>
  </si>
  <si>
    <t>A9-760-521</t>
  </si>
  <si>
    <t>Kit de manguera y pistola matalico</t>
  </si>
  <si>
    <t>A2-643-908</t>
  </si>
  <si>
    <t>A9-755-147</t>
  </si>
  <si>
    <t>A4-515-325</t>
  </si>
  <si>
    <t>A4-515-292</t>
  </si>
  <si>
    <t>CÓDIGO_1.601_746</t>
  </si>
  <si>
    <t>CÓDIGO_1.994_880</t>
  </si>
  <si>
    <t>CÓDIGO_1.601_660</t>
  </si>
  <si>
    <t>CÓDIGO_1.601_911</t>
  </si>
  <si>
    <t>CÓDIGO_1.601_901</t>
  </si>
  <si>
    <t>CÓDIGO_1.603_320</t>
  </si>
  <si>
    <t>CÓDIGO_1.672_370</t>
  </si>
  <si>
    <t>CÓDIGO_1.602_224</t>
  </si>
  <si>
    <t>CÓDIGO_1.241_110</t>
  </si>
  <si>
    <t>A9-001-135</t>
  </si>
  <si>
    <t>A9-002-029</t>
  </si>
  <si>
    <t>A6-630-357</t>
  </si>
  <si>
    <t>A9-755-002</t>
  </si>
  <si>
    <t>Cabezal para caja especial</t>
  </si>
  <si>
    <t>A9-001-128</t>
  </si>
  <si>
    <t>Válvula de alta</t>
  </si>
  <si>
    <t>A4-580-285</t>
  </si>
  <si>
    <t>A4-550-579</t>
  </si>
  <si>
    <t>Cabezal salida corta</t>
  </si>
  <si>
    <t>Cabazal normal</t>
  </si>
  <si>
    <t>Válvula de baja</t>
  </si>
  <si>
    <t>A4-580-281</t>
  </si>
  <si>
    <t>A6-630-637</t>
  </si>
  <si>
    <t>A9-755-115</t>
  </si>
  <si>
    <t xml:space="preserve">Valvula chem </t>
  </si>
  <si>
    <t>A2-884-133</t>
  </si>
  <si>
    <t>Válvula de retención</t>
  </si>
  <si>
    <t>B9-302-013</t>
  </si>
  <si>
    <t>A9-755-347</t>
  </si>
  <si>
    <t>C7-401-010</t>
  </si>
  <si>
    <t>A4-063-690</t>
  </si>
  <si>
    <t>Codo corto</t>
  </si>
  <si>
    <t>A9-001-211</t>
  </si>
  <si>
    <t>Asiento de By-pass</t>
  </si>
  <si>
    <t>B9-302-058</t>
  </si>
  <si>
    <t>A4-120-193</t>
  </si>
  <si>
    <t>Guia Completa</t>
  </si>
  <si>
    <t>A9-755-018</t>
  </si>
  <si>
    <t>A9-001-102</t>
  </si>
  <si>
    <t>Bornes</t>
  </si>
  <si>
    <t>A9-340-140</t>
  </si>
  <si>
    <t>guia completa</t>
  </si>
  <si>
    <t>A9-001-834</t>
  </si>
  <si>
    <t>A9-755-009</t>
  </si>
  <si>
    <t>C7-401-122</t>
  </si>
  <si>
    <t>A6-362-875</t>
  </si>
  <si>
    <t>Manguera de alta presion</t>
  </si>
  <si>
    <t>A9-078-007</t>
  </si>
  <si>
    <t>Interruptor de caja electrica</t>
  </si>
  <si>
    <t>A9-385-057</t>
  </si>
  <si>
    <t>Grapa de manguera externa</t>
  </si>
  <si>
    <t>Interruptor del micro</t>
  </si>
  <si>
    <t>A9-085-016</t>
  </si>
  <si>
    <t>A9-001-750</t>
  </si>
  <si>
    <t>A9-001-388</t>
  </si>
  <si>
    <t>Condensador</t>
  </si>
  <si>
    <t>A9-760-205</t>
  </si>
  <si>
    <t>Manguera interna de alta presion</t>
  </si>
  <si>
    <t>A9-082-104</t>
  </si>
  <si>
    <t>Interruptor de caja especial</t>
  </si>
  <si>
    <t>A9-085-034</t>
  </si>
  <si>
    <t>A9-310-290</t>
  </si>
  <si>
    <t>A5-037-221</t>
  </si>
  <si>
    <t>A9-001-661</t>
  </si>
  <si>
    <t>A9-755-172</t>
  </si>
  <si>
    <t>Soporte de cable</t>
  </si>
  <si>
    <t>A9-037-622</t>
  </si>
  <si>
    <t>CÓDIGO_1.601_602</t>
  </si>
  <si>
    <t>CÓDIGO_1.601_513</t>
  </si>
  <si>
    <t>CÓDIGO_1.601_176</t>
  </si>
  <si>
    <t>CÓDIGO_1.601_653</t>
  </si>
  <si>
    <t>CÓDIGO_1.601_672</t>
  </si>
  <si>
    <t>CÓDIGO_1.601_105</t>
  </si>
  <si>
    <t>A9-755-040</t>
  </si>
  <si>
    <t>A9-755-054</t>
  </si>
  <si>
    <t>A9-755-196</t>
  </si>
  <si>
    <t>Guia completa</t>
  </si>
  <si>
    <t>A9-755-169</t>
  </si>
  <si>
    <t>A9-755-102</t>
  </si>
  <si>
    <t>A9-760-431</t>
  </si>
  <si>
    <t>A9-001-251</t>
  </si>
  <si>
    <t>Rol delantero 6203</t>
  </si>
  <si>
    <t>A9-755-383</t>
  </si>
  <si>
    <t>A9-755-342</t>
  </si>
  <si>
    <t>Guia completa (vieja)</t>
  </si>
  <si>
    <t>A9-755-036</t>
  </si>
  <si>
    <t>A9-001-302</t>
  </si>
  <si>
    <t>A9-078-008</t>
  </si>
  <si>
    <t>A6-661-196</t>
  </si>
  <si>
    <t>A9-755-119</t>
  </si>
  <si>
    <t>CÓDIGO_1.100_228</t>
  </si>
  <si>
    <t>Tapa completa tanque agua sucia</t>
  </si>
  <si>
    <t>A4-064-006</t>
  </si>
  <si>
    <t>Filtro anti-sonido</t>
  </si>
  <si>
    <t>A2-286-009</t>
  </si>
  <si>
    <t>Bomba agua versión antigua</t>
  </si>
  <si>
    <t>A6-473-531</t>
  </si>
  <si>
    <t>Bomba agua versión nueva</t>
  </si>
  <si>
    <t>A4-610-103</t>
  </si>
  <si>
    <t>A6-490-227</t>
  </si>
  <si>
    <t>Boquilla roscada conexión manguera de agua</t>
  </si>
  <si>
    <t>A4-409-001</t>
  </si>
  <si>
    <t xml:space="preserve">Interruptor </t>
  </si>
  <si>
    <t>Abrazadera manguera de agua boquilla</t>
  </si>
  <si>
    <t>A6-389-884</t>
  </si>
  <si>
    <t>Abrazadera manguera de agua</t>
  </si>
  <si>
    <t>A6-388-556</t>
  </si>
  <si>
    <t>Membrana del interruptor</t>
  </si>
  <si>
    <t>A5-394-461</t>
  </si>
  <si>
    <t>Codo de aspiración</t>
  </si>
  <si>
    <t>A4-130-000</t>
  </si>
  <si>
    <t>Válvula reparación codo (gatillo)</t>
  </si>
  <si>
    <t>A4-580-002</t>
  </si>
  <si>
    <t>Boquilla completa</t>
  </si>
  <si>
    <t>A4-130-001</t>
  </si>
  <si>
    <t>Manguera de aspiración (400mm)</t>
  </si>
  <si>
    <t>A6-394-375</t>
  </si>
  <si>
    <t>Manguera de aspiración (240mm)</t>
  </si>
  <si>
    <t>A6-394-826</t>
  </si>
  <si>
    <t>Acoplamiento manguera agua (accesorios)</t>
  </si>
  <si>
    <t>A4-446-023</t>
  </si>
  <si>
    <t xml:space="preserve">Tapa transparente de boquilla </t>
  </si>
  <si>
    <t>A5-130-020</t>
  </si>
  <si>
    <t>Boquilla inyectar agua</t>
  </si>
  <si>
    <t>A6-415-928</t>
  </si>
  <si>
    <t>Oring de boquilla</t>
  </si>
  <si>
    <t>A6-362-113</t>
  </si>
  <si>
    <t>Boquilla para alfombras</t>
  </si>
  <si>
    <t>A4-130-007</t>
  </si>
  <si>
    <t>CÓDIGO_1.027_350</t>
  </si>
  <si>
    <t>CÓDIGO_1.071_431</t>
  </si>
  <si>
    <t>Depósito de detergente</t>
  </si>
  <si>
    <t>A5-071-047</t>
  </si>
  <si>
    <t>A4-051-109</t>
  </si>
  <si>
    <t>Rodillo de Dirección</t>
  </si>
  <si>
    <t>A6-435-071</t>
  </si>
  <si>
    <t>A6-435-747</t>
  </si>
  <si>
    <t>A4-550-607</t>
  </si>
  <si>
    <t>A4-550-886</t>
  </si>
  <si>
    <t>Embolo de pin accionante</t>
  </si>
  <si>
    <t>A4-553-197</t>
  </si>
  <si>
    <t>Resorte del pin accionante</t>
  </si>
  <si>
    <t>A5-332-268</t>
  </si>
  <si>
    <t>A5-332-269</t>
  </si>
  <si>
    <t>Manguera del manometro</t>
  </si>
  <si>
    <t>A6-389-635</t>
  </si>
  <si>
    <t>Manguera amarilla</t>
  </si>
  <si>
    <t>A6-391-596</t>
  </si>
  <si>
    <t>A6-391-629</t>
  </si>
  <si>
    <t>Embolo del By-pass</t>
  </si>
  <si>
    <t>A4-553-198</t>
  </si>
  <si>
    <t>A4-553-287</t>
  </si>
  <si>
    <t>Perno de Válvula</t>
  </si>
  <si>
    <t>A5-584-114</t>
  </si>
  <si>
    <t>Resorte elicoidal</t>
  </si>
  <si>
    <t>A5-332-444</t>
  </si>
  <si>
    <t>Platillo de Válvula</t>
  </si>
  <si>
    <t>A5-582-121</t>
  </si>
  <si>
    <t>Balin</t>
  </si>
  <si>
    <t>A7-401-931</t>
  </si>
  <si>
    <t>A5-060-432</t>
  </si>
  <si>
    <t>A6-362-796</t>
  </si>
  <si>
    <t>A4-553-248</t>
  </si>
  <si>
    <t>A4-553-308</t>
  </si>
  <si>
    <t>Arandela de Pistón</t>
  </si>
  <si>
    <t>A5-115-539</t>
  </si>
  <si>
    <t>A6-365-525</t>
  </si>
  <si>
    <t>A6-365-053</t>
  </si>
  <si>
    <t>A5-112-420</t>
  </si>
  <si>
    <t>A5-112-832</t>
  </si>
  <si>
    <t>Oring de Embrilla</t>
  </si>
  <si>
    <t>A6-365-330</t>
  </si>
  <si>
    <t>A2-883-913</t>
  </si>
  <si>
    <t>A2-885-034</t>
  </si>
  <si>
    <t>Microinerruptor Superior</t>
  </si>
  <si>
    <t>A4-744-142</t>
  </si>
  <si>
    <t>A4-744-261</t>
  </si>
  <si>
    <t>Microinerruptor Inferior</t>
  </si>
  <si>
    <t>A4-744-248</t>
  </si>
  <si>
    <t>Rol 6305</t>
  </si>
  <si>
    <t>Retenedor 35x52x7</t>
  </si>
  <si>
    <t>Disco de rodadura</t>
  </si>
  <si>
    <t>A6-401-422</t>
  </si>
  <si>
    <t>Jaula de Rodillos</t>
  </si>
  <si>
    <t>A6-401-423</t>
  </si>
  <si>
    <t xml:space="preserve">Disco de Presión </t>
  </si>
  <si>
    <t>A6-401-424</t>
  </si>
  <si>
    <t>A5-070-048</t>
  </si>
  <si>
    <t>A4-070-841</t>
  </si>
  <si>
    <t>Oring del Contenedor de Aceite</t>
  </si>
  <si>
    <t>A6-362-168</t>
  </si>
  <si>
    <t>A5-600-080</t>
  </si>
  <si>
    <t>A2-644-230</t>
  </si>
  <si>
    <t>Embrague</t>
  </si>
  <si>
    <t>A5-471-097</t>
  </si>
  <si>
    <t>Anillo Cortante</t>
  </si>
  <si>
    <t>A6-389-263</t>
  </si>
  <si>
    <t>Racor</t>
  </si>
  <si>
    <t>A6-389-262</t>
  </si>
  <si>
    <t>Bomba</t>
  </si>
  <si>
    <t>A6-472-925</t>
  </si>
  <si>
    <t>A4-473-032</t>
  </si>
  <si>
    <t>Electroválvula</t>
  </si>
  <si>
    <t>A6-473-493</t>
  </si>
  <si>
    <t>A6-473-564</t>
  </si>
  <si>
    <t>Regulador de Temperatura</t>
  </si>
  <si>
    <t>A6-686-173</t>
  </si>
  <si>
    <t>A4-686-031</t>
  </si>
  <si>
    <t>Condensador 60 µF - 50 µF</t>
  </si>
  <si>
    <t>A6-661-257</t>
  </si>
  <si>
    <t>A6-661-304</t>
  </si>
  <si>
    <t>Condensador 30 µF - 40 µF</t>
  </si>
  <si>
    <t>A6-661-256</t>
  </si>
  <si>
    <t>A6-661-305</t>
  </si>
  <si>
    <t>Contactor</t>
  </si>
  <si>
    <t>A6-632-334</t>
  </si>
  <si>
    <t>Rele de Sobrecarga</t>
  </si>
  <si>
    <t>A6-633-514</t>
  </si>
  <si>
    <t>Transformador de Control</t>
  </si>
  <si>
    <t>A6-622-119</t>
  </si>
  <si>
    <t>A6-622-337</t>
  </si>
  <si>
    <t>Limitador de Temperatura</t>
  </si>
  <si>
    <t>A2-885-260</t>
  </si>
  <si>
    <t>A4-686-029</t>
  </si>
  <si>
    <t>Transformador de Encendido</t>
  </si>
  <si>
    <t>A6-622-185</t>
  </si>
  <si>
    <t>A4-622-034</t>
  </si>
  <si>
    <t>Boquilla de Combustible</t>
  </si>
  <si>
    <t>A6-415-595</t>
  </si>
  <si>
    <t>A6-415-539</t>
  </si>
  <si>
    <t>Electrodo</t>
  </si>
  <si>
    <t>A2-638-974</t>
  </si>
  <si>
    <t>Serpentin Inox</t>
  </si>
  <si>
    <t>A4-680-114</t>
  </si>
  <si>
    <t>A4-680-149</t>
  </si>
  <si>
    <t>Piedra Refractaria</t>
  </si>
  <si>
    <t>A2-889-061</t>
  </si>
  <si>
    <t>A4-655-048</t>
  </si>
  <si>
    <t>Cuerda</t>
  </si>
  <si>
    <t>A6-366-009</t>
  </si>
  <si>
    <t>A6-366-039</t>
  </si>
  <si>
    <t>Interruptor de láminas flexibles</t>
  </si>
  <si>
    <t>A2-880-000</t>
  </si>
  <si>
    <t>A2-885-240</t>
  </si>
  <si>
    <t>Embolo de Seguridad</t>
  </si>
  <si>
    <t>A4-553-033</t>
  </si>
  <si>
    <t>A4-551-058</t>
  </si>
  <si>
    <t>A6-421-170</t>
  </si>
  <si>
    <t>A4-423-020</t>
  </si>
  <si>
    <t>CÓDIGO_8G</t>
  </si>
  <si>
    <t>CÓDIGO_DENTAL_WT</t>
  </si>
  <si>
    <t>CÓDIGO__15G_20G_30G_2HP</t>
  </si>
  <si>
    <t>CÓDIGO__60G_3.7HP</t>
  </si>
  <si>
    <t>CÓDIGO_80G_1ETAPA_TQ_5HP</t>
  </si>
  <si>
    <t>CÓDIGO_80G_2ETAPAS_HS_Y_CE_5HP</t>
  </si>
  <si>
    <t>CÓDIGO__80G_2ETAPAS_TF_5HP</t>
  </si>
  <si>
    <t>CÓDIGO__80G_2ETAPAS_TF_7.5HP</t>
  </si>
  <si>
    <t>CÓDIGO_CABEZAL_VT49</t>
  </si>
  <si>
    <t>CÓDIGO_CABEZAL_TQ</t>
  </si>
  <si>
    <t>CÓDIGO_CABEZAL_HS</t>
  </si>
  <si>
    <t>CÓDIGO_CABEZAL_TF</t>
  </si>
  <si>
    <t>CÓDIGO_CABEZAL_TX</t>
  </si>
  <si>
    <t>VALVULA CHECK</t>
  </si>
  <si>
    <t xml:space="preserve">HX001000AV </t>
  </si>
  <si>
    <t>BOMBA-MOTOR</t>
  </si>
  <si>
    <t>WL302800AV</t>
  </si>
  <si>
    <t>MOTOR ELECTRICO 127/230V</t>
  </si>
  <si>
    <t>MC037100AV</t>
  </si>
  <si>
    <t xml:space="preserve">MOTOR ELECTRICO 230V   </t>
  </si>
  <si>
    <t>MC019700IP</t>
  </si>
  <si>
    <t>MOTOR ELECTRICO 5 HP 208/230V   1 FASE</t>
  </si>
  <si>
    <t xml:space="preserve">MC035700IP  </t>
  </si>
  <si>
    <t>MOTOR ELECTRICO 5 HP 208-208-230V   1 FASE</t>
  </si>
  <si>
    <t>MC022393IP</t>
  </si>
  <si>
    <t>MOTOR ELECTRICO 7.5 HP     208-230 1 FASES (BALDOR)</t>
  </si>
  <si>
    <t>MC024500IP</t>
  </si>
  <si>
    <t>BIELA CON EXTREMO INFERIOR, CONEXION Y TORNILLOS</t>
  </si>
  <si>
    <t>TQ010901AJ</t>
  </si>
  <si>
    <t>ENSAMBLAJE DEL PLATO DE VALVULAS (BAJA PRESION)</t>
  </si>
  <si>
    <t>HS050064AV</t>
  </si>
  <si>
    <t>ENSAMBLAJE DE LA BIELA</t>
  </si>
  <si>
    <t>TF057800AJ</t>
  </si>
  <si>
    <t>ENSAMBLAJE DE LA BIELA SIN EL CUCHARON (ALTA PRESION)</t>
  </si>
  <si>
    <t>FILTRO</t>
  </si>
  <si>
    <t xml:space="preserve">HL018200AV </t>
  </si>
  <si>
    <t>WL055800AV</t>
  </si>
  <si>
    <t>CABEZAL O BOMBA</t>
  </si>
  <si>
    <t xml:space="preserve">VT4823            </t>
  </si>
  <si>
    <t>VT4923</t>
  </si>
  <si>
    <t>CABEZAL O BOMBA 4 PISTONES</t>
  </si>
  <si>
    <t xml:space="preserve">TQ3010  </t>
  </si>
  <si>
    <t>MOTOR ELECTRICO 5 HP        208-230/460V   3 FASES</t>
  </si>
  <si>
    <t xml:space="preserve">MC024800AV  </t>
  </si>
  <si>
    <t>MOTOR ELECTRICO 5 HP 208-230/460V   3 FASES (WEG)</t>
  </si>
  <si>
    <t>MC033500SJ</t>
  </si>
  <si>
    <t>MOTOR ELECTRICO 7.5 HP 208/230/460V   3 FASES</t>
  </si>
  <si>
    <t>MC033600SJ</t>
  </si>
  <si>
    <t>JGO. DE EMPAQUES</t>
  </si>
  <si>
    <t>VT490900AV</t>
  </si>
  <si>
    <t>TQ901001AJ</t>
  </si>
  <si>
    <t>ENSAMBLAJE DEL PLATO DE VALVULAS (ALTA PRESION)</t>
  </si>
  <si>
    <t>HS050075AV</t>
  </si>
  <si>
    <t>TF061600AJ</t>
  </si>
  <si>
    <t>ENSAMBLAJE DE LA BIELA CON EL CUCHARON (BAJA PRESION)</t>
  </si>
  <si>
    <t>TF057801AJ</t>
  </si>
  <si>
    <t>MANOMETRO</t>
  </si>
  <si>
    <t xml:space="preserve">GA016718AV </t>
  </si>
  <si>
    <t>PRESOSTATO</t>
  </si>
  <si>
    <t>CW212301AV</t>
  </si>
  <si>
    <t>PRESOSTATO 100/135 PSI</t>
  </si>
  <si>
    <t xml:space="preserve">CW209000AV  </t>
  </si>
  <si>
    <t>PRESOSTATO 135 PSI</t>
  </si>
  <si>
    <t>CW209300AV</t>
  </si>
  <si>
    <t xml:space="preserve">PRESOSTATO </t>
  </si>
  <si>
    <t>CW212201AV</t>
  </si>
  <si>
    <t>HS7101</t>
  </si>
  <si>
    <t>TF2101</t>
  </si>
  <si>
    <t>CABEZAL O BOMBA 7.5 HP</t>
  </si>
  <si>
    <t>TF2111</t>
  </si>
  <si>
    <t>KIT DE PLACA DE VALVULAS</t>
  </si>
  <si>
    <t>VT491100AV</t>
  </si>
  <si>
    <t>VT470800AJ</t>
  </si>
  <si>
    <t>ENSAMBLAJE DE LA BIELA  (BAJA PRESION)</t>
  </si>
  <si>
    <t>HS050048AV</t>
  </si>
  <si>
    <t>TF066300AJ</t>
  </si>
  <si>
    <t>ENSAMBLAJE DE PLACA DE VALVULAS</t>
  </si>
  <si>
    <t>REGULADOR</t>
  </si>
  <si>
    <t>RE206203AV</t>
  </si>
  <si>
    <t>WTS00100AV</t>
  </si>
  <si>
    <t xml:space="preserve">GA016300AV  </t>
  </si>
  <si>
    <t>MANOMETRO 300 PSI  2”</t>
  </si>
  <si>
    <t xml:space="preserve">GA031900AV  </t>
  </si>
  <si>
    <t>MANOMETRO 2”</t>
  </si>
  <si>
    <t>GA031900AV</t>
  </si>
  <si>
    <t>PRESOSTATO 135-175 PSI</t>
  </si>
  <si>
    <t>CW207561AV</t>
  </si>
  <si>
    <t>JGO. DE ANILLOS DEL PISTON</t>
  </si>
  <si>
    <t>VT911200AV</t>
  </si>
  <si>
    <t>ENSAMBLAJE DE LA BIELA  (ALTA PRESION)</t>
  </si>
  <si>
    <t>HS050047AV</t>
  </si>
  <si>
    <t>JGO. DE ANILLOS DE LOS PISTONES</t>
  </si>
  <si>
    <t>TF006900AJ</t>
  </si>
  <si>
    <t>KIT DEL PISTON (BIELA, ANILLO Y CILINDRO)</t>
  </si>
  <si>
    <t>WL055700AV</t>
  </si>
  <si>
    <t xml:space="preserve">RE300000AJ  </t>
  </si>
  <si>
    <t>VALVULA DE SEGURIDAD ASME</t>
  </si>
  <si>
    <t>V-215105AV</t>
  </si>
  <si>
    <t>BANDA O CORREA  A-62</t>
  </si>
  <si>
    <t xml:space="preserve">BT009701AV  </t>
  </si>
  <si>
    <t xml:space="preserve">MANOMETRO </t>
  </si>
  <si>
    <t>GA031901AV</t>
  </si>
  <si>
    <t>CIGUEÑAL</t>
  </si>
  <si>
    <t>VT047000AV</t>
  </si>
  <si>
    <t>TQ900201AJ</t>
  </si>
  <si>
    <t>JUEGO DE ANILLOS DEL PISTON (BAJA PRESION)</t>
  </si>
  <si>
    <t>HS050060AV</t>
  </si>
  <si>
    <t>TF053701AJ</t>
  </si>
  <si>
    <t>TX034400AJ</t>
  </si>
  <si>
    <t>VALVULA DE DRENAJE</t>
  </si>
  <si>
    <t>D-1403</t>
  </si>
  <si>
    <t>JGO DEL PLATO DE VALVULAS</t>
  </si>
  <si>
    <t>WL055500AV</t>
  </si>
  <si>
    <t xml:space="preserve">V-215105AV    </t>
  </si>
  <si>
    <t>VALVULA DE RETENCION</t>
  </si>
  <si>
    <t>CV221502AV</t>
  </si>
  <si>
    <t>CV223300AV</t>
  </si>
  <si>
    <t xml:space="preserve">V-215200AV   </t>
  </si>
  <si>
    <t>BANDA O CORREA  B-67</t>
  </si>
  <si>
    <t>BT022000AV</t>
  </si>
  <si>
    <t>BANDA O CORREA  BX-66</t>
  </si>
  <si>
    <t>BT008501AV</t>
  </si>
  <si>
    <t>VOLANTE</t>
  </si>
  <si>
    <t>PU015901SJ</t>
  </si>
  <si>
    <t>PU017100AV</t>
  </si>
  <si>
    <t>JUEGO DE ANILLOS DEL PISTON (ALTA PRESION)</t>
  </si>
  <si>
    <t>HS050063AV</t>
  </si>
  <si>
    <t>VOLANTE DE 16”</t>
  </si>
  <si>
    <t>PU016700AJ</t>
  </si>
  <si>
    <t>VOLANTE 10 HP</t>
  </si>
  <si>
    <t>TAPA O CUBIERTA</t>
  </si>
  <si>
    <t>HX000700AV</t>
  </si>
  <si>
    <t>CV221500SJ</t>
  </si>
  <si>
    <t>TUBO DE DESCARGA</t>
  </si>
  <si>
    <t>VT043300AP</t>
  </si>
  <si>
    <t>TQ901600AP</t>
  </si>
  <si>
    <t xml:space="preserve">CV221503SJ  </t>
  </si>
  <si>
    <t>V-215200AV</t>
  </si>
  <si>
    <t>MIRILLA DE NIVEL DE ACEITE</t>
  </si>
  <si>
    <t>ST191700AV</t>
  </si>
  <si>
    <t>VH901000AV</t>
  </si>
  <si>
    <t>JUEGO DE JUNTA, SELLO DE ACEITE Y ANILLO EN O</t>
  </si>
  <si>
    <t>HS050068AV</t>
  </si>
  <si>
    <t>TF050101AV</t>
  </si>
  <si>
    <t>VOLANTE 15 HP</t>
  </si>
  <si>
    <t>TX034800AV</t>
  </si>
  <si>
    <t>JGO. DEL PLATO DE VALVULAS</t>
  </si>
  <si>
    <t>HX002000AV</t>
  </si>
  <si>
    <t xml:space="preserve">VT043300AP </t>
  </si>
  <si>
    <t xml:space="preserve">HS015200AP  </t>
  </si>
  <si>
    <t>CV003205AV</t>
  </si>
  <si>
    <t>CILINDRO</t>
  </si>
  <si>
    <t>VT040915AV</t>
  </si>
  <si>
    <t xml:space="preserve">DP400045AV </t>
  </si>
  <si>
    <t>TF058000AG</t>
  </si>
  <si>
    <t>JGO. DE JUNTAS Y ANILLOS</t>
  </si>
  <si>
    <t>HX002100AV</t>
  </si>
  <si>
    <t>ELEMENTO DEL FILTRO</t>
  </si>
  <si>
    <t xml:space="preserve">VH901800AV </t>
  </si>
  <si>
    <t>KIT PROTECTOR DE CORREA DE ALAMBRE</t>
  </si>
  <si>
    <t>BG313700SJ</t>
  </si>
  <si>
    <t>KIT DE PROTECTOR DE BANDA INCLUYE LAS DOS PARTES</t>
  </si>
  <si>
    <t>BG307700SJ</t>
  </si>
  <si>
    <t xml:space="preserve">ST127700AV   </t>
  </si>
  <si>
    <t>TF069000AJ</t>
  </si>
  <si>
    <t>PISTON</t>
  </si>
  <si>
    <t>VT050915AV</t>
  </si>
  <si>
    <t>PISTON CON JUEGO DE ANILLOS</t>
  </si>
  <si>
    <t>TQ901700AV</t>
  </si>
  <si>
    <t>ENSAMBLAJE DEL RESPIRADERO</t>
  </si>
  <si>
    <t>HS050070AV</t>
  </si>
  <si>
    <t>PISTON DE BAJA PRESION CON ANILLOS</t>
  </si>
  <si>
    <t>TF002400AJ</t>
  </si>
  <si>
    <t>JGO. DEL VISOR DE VIDRIO</t>
  </si>
  <si>
    <t>HX002600AV</t>
  </si>
  <si>
    <t>VH901700AV</t>
  </si>
  <si>
    <t>VARILLA DEL RESPIRADERO</t>
  </si>
  <si>
    <t xml:space="preserve">VH901100AV </t>
  </si>
  <si>
    <t>GUARDA BANDA FRONTAL</t>
  </si>
  <si>
    <t xml:space="preserve">BG307500AV   </t>
  </si>
  <si>
    <t>ST073903AV</t>
  </si>
  <si>
    <t>TF060504AV</t>
  </si>
  <si>
    <t>VH901800AV</t>
  </si>
  <si>
    <t>VOLANTE CON LLAVE</t>
  </si>
  <si>
    <t>HS050041AV</t>
  </si>
  <si>
    <t>PISTON DE ALTA PRESION CON ANILLOS</t>
  </si>
  <si>
    <t>TF002300AJ</t>
  </si>
  <si>
    <t>JGO. DE RESPIRACION</t>
  </si>
  <si>
    <t>HX002500AV</t>
  </si>
  <si>
    <t xml:space="preserve">D-1403           </t>
  </si>
  <si>
    <t>MIRILLA O VISOR</t>
  </si>
  <si>
    <t xml:space="preserve">ST191700AV </t>
  </si>
  <si>
    <t>GUARDA BANDA INTERIOR</t>
  </si>
  <si>
    <t xml:space="preserve">BG307400AV   </t>
  </si>
  <si>
    <t>FILTRO 5 HP</t>
  </si>
  <si>
    <t>TF060500AV</t>
  </si>
  <si>
    <t>FILTRO 7.5 HP</t>
  </si>
  <si>
    <t>TF060501AV</t>
  </si>
  <si>
    <t>ENSAMBLAJE DE LA CAJA DEL CIGUEÑAL CON COJINETES</t>
  </si>
  <si>
    <t>HS050043AV</t>
  </si>
  <si>
    <t>VT041702AJ</t>
  </si>
  <si>
    <t>JGO. DE ENSAMBLE DEL PISTON</t>
  </si>
  <si>
    <t>HX002200AV</t>
  </si>
  <si>
    <t>BG313700AV</t>
  </si>
  <si>
    <t>FILTRO METALICO 4”</t>
  </si>
  <si>
    <t xml:space="preserve">HS050070AV   </t>
  </si>
  <si>
    <t>ST127700AV</t>
  </si>
  <si>
    <t>VH901100AV</t>
  </si>
  <si>
    <t>DP500056AV</t>
  </si>
  <si>
    <t>JGO DEL CONDENSADOR</t>
  </si>
  <si>
    <t>HX002700AV</t>
  </si>
  <si>
    <t xml:space="preserve">CW218000AV  </t>
  </si>
  <si>
    <t>BG217000AV</t>
  </si>
  <si>
    <t>JGO. DEL VENTILADOR</t>
  </si>
  <si>
    <t>HX002400AV</t>
  </si>
  <si>
    <t>BG217100AV</t>
  </si>
  <si>
    <t>CÓDIGO_1.107_383</t>
  </si>
  <si>
    <t>CÓDIGO_1.107_331</t>
  </si>
  <si>
    <t>Tronillos completos agarradera</t>
  </si>
  <si>
    <t>A9-803-869</t>
  </si>
  <si>
    <t>Bomba completa</t>
  </si>
  <si>
    <t>A8-925-069</t>
  </si>
  <si>
    <t>A9-139-372</t>
  </si>
  <si>
    <t>By-pass (Canal de carga)</t>
  </si>
  <si>
    <t>A9-175-005</t>
  </si>
  <si>
    <t>Set de válvulas superior</t>
  </si>
  <si>
    <t>Tapon de cierre válvulas</t>
  </si>
  <si>
    <t>Set de válvulas interior</t>
  </si>
  <si>
    <t>A9-139-376</t>
  </si>
  <si>
    <t>Oring de balín succión de detergente</t>
  </si>
  <si>
    <t>Guía de pistones</t>
  </si>
  <si>
    <t>Pistón completo</t>
  </si>
  <si>
    <t>A9-139-370</t>
  </si>
  <si>
    <t>Oring guía de pistones</t>
  </si>
  <si>
    <t>Reten de aceite</t>
  </si>
  <si>
    <t>Arandela de apoyo de hembrilla (borne)</t>
  </si>
  <si>
    <t>A9-134-016</t>
  </si>
  <si>
    <t>Reten intermedio</t>
  </si>
  <si>
    <t>A6-363-058</t>
  </si>
  <si>
    <t>Hembrilla metálica</t>
  </si>
  <si>
    <t>A9-155-011</t>
  </si>
  <si>
    <t>Oring hembrilla</t>
  </si>
  <si>
    <t>A6-362-833</t>
  </si>
  <si>
    <t>Disco del retenedor de agua</t>
  </si>
  <si>
    <t>A9-177-310</t>
  </si>
  <si>
    <t>A9-177-301</t>
  </si>
  <si>
    <t>Oring pequeño guía</t>
  </si>
  <si>
    <t>A6-363-626</t>
  </si>
  <si>
    <t>Adaptador conexión de agua</t>
  </si>
  <si>
    <t>A9-154-044</t>
  </si>
  <si>
    <t>Adaptador con rosca para guía</t>
  </si>
  <si>
    <t>A9-134-019</t>
  </si>
  <si>
    <t>Oring para adaptador con rosca</t>
  </si>
  <si>
    <t>A6-362-390</t>
  </si>
  <si>
    <t>Empaque con filtro conexión agua</t>
  </si>
  <si>
    <t>A9-181-005</t>
  </si>
  <si>
    <t>Rol de accionamiento</t>
  </si>
  <si>
    <t>A9-165-356</t>
  </si>
  <si>
    <t>Retenedor de accionamiento</t>
  </si>
  <si>
    <t>A9-177-314</t>
  </si>
  <si>
    <t>Rodamiento axial</t>
  </si>
  <si>
    <t>A9-165-355</t>
  </si>
  <si>
    <t>Carburador</t>
  </si>
  <si>
    <t>A8-756-219</t>
  </si>
  <si>
    <t>Mufla</t>
  </si>
  <si>
    <t>A8-756-234</t>
  </si>
  <si>
    <t>Cobertor mufla</t>
  </si>
  <si>
    <t>A8-756-236</t>
  </si>
  <si>
    <t>Tanque de combustible</t>
  </si>
  <si>
    <t>A8-756-225</t>
  </si>
  <si>
    <t xml:space="preserve">Bobina </t>
  </si>
  <si>
    <t>A8-756-240</t>
  </si>
  <si>
    <t>Bujía</t>
  </si>
  <si>
    <t>A8-756-241</t>
  </si>
  <si>
    <t>Retenedor motor</t>
  </si>
  <si>
    <t>A8-756-247</t>
  </si>
  <si>
    <t>Filtro de aire</t>
  </si>
  <si>
    <t>A8-756-233</t>
  </si>
  <si>
    <t>Arrancador completo</t>
  </si>
  <si>
    <t>A8-756-237</t>
  </si>
  <si>
    <t xml:space="preserve">Pistola </t>
  </si>
  <si>
    <t>A8-758-046</t>
  </si>
  <si>
    <t xml:space="preserve">Lanza </t>
  </si>
  <si>
    <t>A9-112-533</t>
  </si>
  <si>
    <t>Manguera alta presión</t>
  </si>
  <si>
    <t>A8-753-423</t>
  </si>
  <si>
    <t>Kit de boquillas</t>
  </si>
  <si>
    <t>A8-757-263</t>
  </si>
  <si>
    <t>PUZZI_8_1</t>
  </si>
  <si>
    <t>A_2004</t>
  </si>
  <si>
    <t>Cable electrico</t>
  </si>
  <si>
    <t>Enchufe 110 V</t>
  </si>
  <si>
    <t>C0-000-005</t>
  </si>
  <si>
    <t>A2-863-308</t>
  </si>
  <si>
    <t>Extensión (tubo)</t>
  </si>
  <si>
    <t>C0-000-211</t>
  </si>
  <si>
    <t>A_2204</t>
  </si>
  <si>
    <t>Cierre del contenedor</t>
  </si>
  <si>
    <t>A9-001-284</t>
  </si>
  <si>
    <t>A9-037-076</t>
  </si>
  <si>
    <t>A6-195-241</t>
  </si>
  <si>
    <t>Tapa de accesorios</t>
  </si>
  <si>
    <t>A5-195-199</t>
  </si>
  <si>
    <t>Filtro de de espuma (tapa)</t>
  </si>
  <si>
    <t>Filtro de de espuma (turbina)</t>
  </si>
  <si>
    <t>Rueda delantera</t>
  </si>
  <si>
    <t>Rueda trasera</t>
  </si>
  <si>
    <t>A4-195-220</t>
  </si>
  <si>
    <t>A4-195-219</t>
  </si>
  <si>
    <t>DS_5500</t>
  </si>
  <si>
    <t>A2-324-006</t>
  </si>
  <si>
    <t>Rueda trasera Gris</t>
  </si>
  <si>
    <t>Rueda trasera Amarilla</t>
  </si>
  <si>
    <t>A2-324-019</t>
  </si>
  <si>
    <t>A2-324-015</t>
  </si>
  <si>
    <t>A2-234-012</t>
  </si>
  <si>
    <t>Palpador de interruptor</t>
  </si>
  <si>
    <t>A2-007-003</t>
  </si>
  <si>
    <t>Tapa trasera con filtrp de espuma</t>
  </si>
  <si>
    <t>A4-195-152</t>
  </si>
  <si>
    <t>DS_5600</t>
  </si>
  <si>
    <t>T_10_1</t>
  </si>
  <si>
    <t>A6-286-505</t>
  </si>
  <si>
    <t>Filtro Antisonido (granes)</t>
  </si>
  <si>
    <t>Filtro Antisonido (largo, trasero)</t>
  </si>
  <si>
    <t>A2-889-003</t>
  </si>
  <si>
    <t>A6-906-618</t>
  </si>
  <si>
    <t>Manguera de aspiración (con codo)</t>
  </si>
  <si>
    <t>B9-302-537</t>
  </si>
  <si>
    <t>B9-390-031</t>
  </si>
  <si>
    <t>B9-310-092</t>
  </si>
  <si>
    <t>B9-302-581</t>
  </si>
  <si>
    <t>B9-302-536</t>
  </si>
  <si>
    <t>B9-302-706</t>
  </si>
  <si>
    <t>B9-340-271</t>
  </si>
  <si>
    <t>B9-340-268</t>
  </si>
  <si>
    <t>B9-340-269</t>
  </si>
  <si>
    <t>A9-001-857</t>
  </si>
  <si>
    <t>A9-002-914</t>
  </si>
  <si>
    <t>Prensas de carcasa</t>
  </si>
  <si>
    <t>A9-001-793</t>
  </si>
  <si>
    <t>VC_1800</t>
  </si>
  <si>
    <t>VC_5.100</t>
  </si>
  <si>
    <t>A6-959-378</t>
  </si>
  <si>
    <t>WD_1</t>
  </si>
  <si>
    <t>WD_2</t>
  </si>
  <si>
    <t>WD_3</t>
  </si>
  <si>
    <t>WD_3200</t>
  </si>
  <si>
    <t>NT_72_2</t>
  </si>
  <si>
    <t>NT_70_2</t>
  </si>
  <si>
    <t>NT_48_1</t>
  </si>
  <si>
    <t>CÓDIGO_1.428_623</t>
  </si>
  <si>
    <t>CÓDIGO_1.667_106</t>
  </si>
  <si>
    <t>CÓDIGO_1.667_200</t>
  </si>
  <si>
    <t>BV_5_1_BP</t>
  </si>
  <si>
    <t>CÓDIGO_1.394_224</t>
  </si>
  <si>
    <t>BV_5_1_Ep</t>
  </si>
  <si>
    <t>CÓDIGO_1.394_215</t>
  </si>
  <si>
    <t xml:space="preserve">Turbina </t>
  </si>
  <si>
    <t>Filtro de membrana</t>
  </si>
  <si>
    <t>Filtro de turbina</t>
  </si>
  <si>
    <t>A9-412-452</t>
  </si>
  <si>
    <t>A6-414-917</t>
  </si>
  <si>
    <t>Filtro plano</t>
  </si>
  <si>
    <t>Carcasa de filtro plano</t>
  </si>
  <si>
    <t>A5-731-632</t>
  </si>
  <si>
    <t>A6-414-080</t>
  </si>
  <si>
    <t>CV_30_1</t>
  </si>
  <si>
    <t>CÓDIGO_1.023_113</t>
  </si>
  <si>
    <t>NT_30_1</t>
  </si>
  <si>
    <t>CÓDIGO_1_148_206</t>
  </si>
  <si>
    <t>NT_35_1</t>
  </si>
  <si>
    <t>NT_38_1</t>
  </si>
  <si>
    <t>CÓDIGO_1.428_537</t>
  </si>
  <si>
    <t>NT_65_2</t>
  </si>
  <si>
    <t>CÓDIGO_1._325_104</t>
  </si>
  <si>
    <t>NT_90_2</t>
  </si>
  <si>
    <t>CÓDIGO_1.667_708</t>
  </si>
  <si>
    <t>T_15_1</t>
  </si>
  <si>
    <t>CÓDIGO_1.355_228</t>
  </si>
  <si>
    <t>NÚMERO DE BOLETA</t>
  </si>
  <si>
    <t>TIPO DE MÁQUINA</t>
  </si>
  <si>
    <t>MODELO</t>
  </si>
  <si>
    <t>BUSCAR CÓDIGO</t>
  </si>
  <si>
    <t>Prensas de la carcasa</t>
  </si>
  <si>
    <t>A5-034-103</t>
  </si>
  <si>
    <t>Seguro de manguera</t>
  </si>
  <si>
    <t>A5-343-022</t>
  </si>
  <si>
    <t>A6-630-827</t>
  </si>
  <si>
    <t>Sistema de control</t>
  </si>
  <si>
    <t>A4-683-079.3</t>
  </si>
  <si>
    <t>A6-490-123</t>
  </si>
  <si>
    <t>Filtro plano HEPA</t>
  </si>
  <si>
    <t>Filtro aislante</t>
  </si>
  <si>
    <t>A6-286-548</t>
  </si>
  <si>
    <t>Bolsas de papel</t>
  </si>
  <si>
    <t>A6-904-403</t>
  </si>
  <si>
    <t>Bolsas de poliester</t>
  </si>
  <si>
    <t>A6-904-335</t>
  </si>
  <si>
    <t>Boquilla de piso pequeña</t>
  </si>
  <si>
    <t>A2-889-129</t>
  </si>
  <si>
    <t>A6-905-998</t>
  </si>
  <si>
    <t>Tubo telescópico</t>
  </si>
  <si>
    <t>A2-862-008</t>
  </si>
  <si>
    <t>A2-889-132</t>
  </si>
  <si>
    <t>Bolsa de tela</t>
  </si>
  <si>
    <t>A6-904-425</t>
  </si>
  <si>
    <t>Cargador</t>
  </si>
  <si>
    <t>Batería</t>
  </si>
  <si>
    <t>A4-654-016</t>
  </si>
  <si>
    <t>A6-654-358</t>
  </si>
  <si>
    <t>A5-032-568</t>
  </si>
  <si>
    <t>A6-414-802</t>
  </si>
  <si>
    <t>Tapa de filtro plano</t>
  </si>
  <si>
    <t>A5-033-650</t>
  </si>
  <si>
    <t>A2-889-224</t>
  </si>
  <si>
    <t>A6-903-402</t>
  </si>
  <si>
    <t>A6-903-524</t>
  </si>
  <si>
    <t>A9-418-507</t>
  </si>
  <si>
    <t>C7-401-190</t>
  </si>
  <si>
    <t>Manguera de arriba</t>
  </si>
  <si>
    <t>A6-391-934</t>
  </si>
  <si>
    <t>Seguro de Manguera</t>
  </si>
  <si>
    <t>A5-031-011</t>
  </si>
  <si>
    <t>Tubo de aspiración</t>
  </si>
  <si>
    <t>A5-129-046</t>
  </si>
  <si>
    <t>Mangura pequeña de abajo</t>
  </si>
  <si>
    <t>A6-391-115</t>
  </si>
  <si>
    <t>A6-906-240</t>
  </si>
  <si>
    <t>A6-630-678</t>
  </si>
  <si>
    <t>Enchuffe 110 V</t>
  </si>
  <si>
    <t>Cubierta de cepillos</t>
  </si>
  <si>
    <t>A5-059-140</t>
  </si>
  <si>
    <t>A4-063-774</t>
  </si>
  <si>
    <t>A</t>
  </si>
  <si>
    <t>Cubierta de cepillo</t>
  </si>
  <si>
    <t>Acople de cepillo (lado de la faja)</t>
  </si>
  <si>
    <t>Cepillo</t>
  </si>
  <si>
    <t>A4-063-892</t>
  </si>
  <si>
    <t>A6-906-642</t>
  </si>
  <si>
    <t>Carcasa inferior de cepillos</t>
  </si>
  <si>
    <t>Carcasa superior de cepillos</t>
  </si>
  <si>
    <t>A4-060-697</t>
  </si>
  <si>
    <t>A5-062-429</t>
  </si>
  <si>
    <t>A4-515-335</t>
  </si>
  <si>
    <t>Set de rueda de ajuste de nivel</t>
  </si>
  <si>
    <t>Perilla de nivel de cepillo</t>
  </si>
  <si>
    <t>A4-515335</t>
  </si>
  <si>
    <t>A4-470-022</t>
  </si>
  <si>
    <t>Juego de correas</t>
  </si>
  <si>
    <t>A2-884-274</t>
  </si>
  <si>
    <t>A4-060-591</t>
  </si>
  <si>
    <t>Piñon de la turbina</t>
  </si>
  <si>
    <t>A5-352-085</t>
  </si>
  <si>
    <t>Filtro blanco</t>
  </si>
  <si>
    <t>A5-731-611</t>
  </si>
  <si>
    <t>A2-889-286</t>
  </si>
  <si>
    <t>A6-414-765</t>
  </si>
  <si>
    <t>A5-731-614</t>
  </si>
  <si>
    <t>Carcas del filtro de espuma</t>
  </si>
  <si>
    <t>Filtro de espuma completo</t>
  </si>
  <si>
    <t>Kit de filtros de espuma</t>
  </si>
  <si>
    <t>A6-904-294</t>
  </si>
  <si>
    <t>Bolsa de tela (lavable)</t>
  </si>
  <si>
    <t>A6-904-301</t>
  </si>
  <si>
    <t>A6-904-305</t>
  </si>
  <si>
    <t>CÓDIGO</t>
  </si>
  <si>
    <t>DESCRIPCIÓN</t>
  </si>
  <si>
    <t>CANTIDAD</t>
  </si>
  <si>
    <t>UBICACIÓN</t>
  </si>
  <si>
    <t>ERROR</t>
  </si>
  <si>
    <t>#ERROR</t>
  </si>
  <si>
    <t>A6-630-806</t>
  </si>
  <si>
    <t>Perilla de encendido</t>
  </si>
  <si>
    <t>A5-744-001</t>
  </si>
  <si>
    <t>A4-071-276</t>
  </si>
  <si>
    <t>Set de espumas de la carcasa superior</t>
  </si>
  <si>
    <t>A4-070-384</t>
  </si>
  <si>
    <t>A6-490-310</t>
  </si>
  <si>
    <t>Seguro de carcasa</t>
  </si>
  <si>
    <t>A4-071-275</t>
  </si>
  <si>
    <t>Soporte de accesorios</t>
  </si>
  <si>
    <t>A5-033-038</t>
  </si>
  <si>
    <t>A6-907-662</t>
  </si>
  <si>
    <t>A6-435-894</t>
  </si>
  <si>
    <t>A5-515-377</t>
  </si>
  <si>
    <t>Seguro de Rueda</t>
  </si>
  <si>
    <t>Filtro de mambrana</t>
  </si>
  <si>
    <t>A2-889-281</t>
  </si>
  <si>
    <t>Bolsas</t>
  </si>
  <si>
    <t>A2-889-158</t>
  </si>
  <si>
    <t>Boquilla de pisos</t>
  </si>
  <si>
    <t>A2-889-152</t>
  </si>
  <si>
    <t>A2-889-145</t>
  </si>
  <si>
    <t>Boquilla de ranuras</t>
  </si>
  <si>
    <t>A2-889-159</t>
  </si>
  <si>
    <t>CÓDIGO_1.184_854</t>
  </si>
  <si>
    <t>A5-033-256</t>
  </si>
  <si>
    <t>Interruptor de limpiador de filtro</t>
  </si>
  <si>
    <t>A6-630-416</t>
  </si>
  <si>
    <t>A4-066-372</t>
  </si>
  <si>
    <t>A4-682-105</t>
  </si>
  <si>
    <t>A6-904-367</t>
  </si>
  <si>
    <t>Empaque del tanque</t>
  </si>
  <si>
    <t>A6-273-192</t>
  </si>
  <si>
    <t>Valvula de limpieza de filtro</t>
  </si>
  <si>
    <t>A2-885-004</t>
  </si>
  <si>
    <t>Soporte de boquuillas</t>
  </si>
  <si>
    <t>A5-033-912</t>
  </si>
  <si>
    <t>Tanque completo</t>
  </si>
  <si>
    <t>A4-070-948</t>
  </si>
  <si>
    <t>Set de ruedas delanteras</t>
  </si>
  <si>
    <t>A9-771-116</t>
  </si>
  <si>
    <t>A9-755-262</t>
  </si>
  <si>
    <t>A9-755-260</t>
  </si>
  <si>
    <t>Mariposa del filtro</t>
  </si>
  <si>
    <t>A9-770-689</t>
  </si>
  <si>
    <t>A9-770-622</t>
  </si>
  <si>
    <t>A6-490-269</t>
  </si>
  <si>
    <t>A9-755-261</t>
  </si>
  <si>
    <t>A9-770-713</t>
  </si>
  <si>
    <t>A9-755-263</t>
  </si>
  <si>
    <t>Adaptador de manguera - boquilla</t>
  </si>
  <si>
    <t>A9-770-582</t>
  </si>
  <si>
    <t>Manguito de manguera - tanque</t>
  </si>
  <si>
    <t>A9-770-583</t>
  </si>
  <si>
    <t>A9-770-645</t>
  </si>
  <si>
    <t>A9-755-289</t>
  </si>
  <si>
    <t>A9-770-584</t>
  </si>
  <si>
    <t>A9-770-581</t>
  </si>
  <si>
    <t>A6-286-433</t>
  </si>
  <si>
    <t>A4-066-391</t>
  </si>
  <si>
    <t>A4-070-807</t>
  </si>
  <si>
    <t>A5-033-941</t>
  </si>
  <si>
    <t>A6-435-370</t>
  </si>
  <si>
    <t>A6-906-103</t>
  </si>
  <si>
    <t>A9-481-704</t>
  </si>
  <si>
    <t>A4-515-323</t>
  </si>
  <si>
    <t>A6-490-177</t>
  </si>
  <si>
    <t>Kit de filtros</t>
  </si>
  <si>
    <t>A6-414-789</t>
  </si>
  <si>
    <t>A5-585-038</t>
  </si>
  <si>
    <t>A6-904-290</t>
  </si>
  <si>
    <t>Manguera</t>
  </si>
  <si>
    <t>A4-440-626</t>
  </si>
  <si>
    <t>Manguera (con codo)</t>
  </si>
  <si>
    <t>A5-031-718</t>
  </si>
  <si>
    <t>A6-906-154</t>
  </si>
  <si>
    <t>A2-889-118</t>
  </si>
  <si>
    <t>Tuerca del filtro</t>
  </si>
  <si>
    <t>A9-411-954</t>
  </si>
  <si>
    <t>ENCONTRAR</t>
  </si>
  <si>
    <t># PARTE</t>
  </si>
  <si>
    <t>BUSCAR PALABRA</t>
  </si>
  <si>
    <t>DATOS PARA LA LISTA DESPLEGABLE</t>
  </si>
  <si>
    <t>Sacudidor de filtros</t>
  </si>
  <si>
    <t>Set de reparacion de sacudidor</t>
  </si>
  <si>
    <t>A6-904-283</t>
  </si>
  <si>
    <t>Filtro atmosferico</t>
  </si>
  <si>
    <t>A5-032-261</t>
  </si>
  <si>
    <t>Estribo de ruedas</t>
  </si>
  <si>
    <t>A5-034-659</t>
  </si>
  <si>
    <t>A6-435-384</t>
  </si>
  <si>
    <t>Tuerca de rueda</t>
  </si>
  <si>
    <t>Tapa de la tuerca de rueda</t>
  </si>
  <si>
    <t>A5-032-466</t>
  </si>
  <si>
    <t>Tornillo estribo - tanque</t>
  </si>
  <si>
    <t>Tuerca estribo - tanque</t>
  </si>
  <si>
    <t>Arandela estribo - tanque</t>
  </si>
  <si>
    <t>A6-303-285</t>
  </si>
  <si>
    <t>A7-312-004</t>
  </si>
  <si>
    <t>A5-110-922</t>
  </si>
  <si>
    <t>A6-435-196</t>
  </si>
  <si>
    <t>A2-889-072</t>
  </si>
  <si>
    <t>Boquilla del sacudidor</t>
  </si>
  <si>
    <t>A6-900-275</t>
  </si>
  <si>
    <t>A5-032-260</t>
  </si>
  <si>
    <t>A5-365-326</t>
  </si>
  <si>
    <t>Arandela de rueda delantera</t>
  </si>
  <si>
    <t>Tuerca de rueda delantera</t>
  </si>
  <si>
    <t>Manguera de desague</t>
  </si>
  <si>
    <t>A9-770-923</t>
  </si>
  <si>
    <t>Sporte de accesorios</t>
  </si>
  <si>
    <t>A9-771-117</t>
  </si>
  <si>
    <t>Juego de cerdas para boquilla</t>
  </si>
  <si>
    <t>A6-905-878</t>
  </si>
  <si>
    <t>A6-391-001</t>
  </si>
  <si>
    <t>Empaque de manguera</t>
  </si>
  <si>
    <t>A9-411-023</t>
  </si>
  <si>
    <t>Arandela de Manguera</t>
  </si>
  <si>
    <t>A6-363-250</t>
  </si>
  <si>
    <t>Tuerca</t>
  </si>
  <si>
    <t>A6-394-832</t>
  </si>
  <si>
    <t>A5-031-940</t>
  </si>
  <si>
    <t>A6-902-081</t>
  </si>
  <si>
    <t>Sacudidor</t>
  </si>
  <si>
    <t>A9-770-922</t>
  </si>
  <si>
    <t>Filtro HEPA</t>
  </si>
  <si>
    <t>Tapa trasera</t>
  </si>
  <si>
    <t>A4-069-030</t>
  </si>
  <si>
    <t>Filtro de canasta</t>
  </si>
  <si>
    <t>A5-731-640</t>
  </si>
  <si>
    <t>A6-435-707</t>
  </si>
  <si>
    <t>A4-515-324</t>
  </si>
  <si>
    <t>A4-440-911</t>
  </si>
  <si>
    <t>A6-907-410</t>
  </si>
  <si>
    <t>A6-907-019</t>
  </si>
  <si>
    <t>A6-907-017</t>
  </si>
  <si>
    <t>Tubo telescopico</t>
  </si>
  <si>
    <t>A4-070-810</t>
  </si>
  <si>
    <t>CÓDIGO_1.055_506</t>
  </si>
  <si>
    <t>CÓDIGO_1.055_300</t>
  </si>
  <si>
    <t>CÓDIGO_2.533_201.2</t>
  </si>
  <si>
    <t>CÓDIGO_2.533_201</t>
  </si>
  <si>
    <t>CÓDIGO_1.533_210.2</t>
  </si>
  <si>
    <t>CÓDIGO_1.533_210</t>
  </si>
  <si>
    <t>CÓDIGO_1.384_020.2</t>
  </si>
  <si>
    <t>CÓDIGO_1.384_020</t>
  </si>
  <si>
    <t>BR_55/60</t>
  </si>
  <si>
    <t>CÓDIGO_1.384_211</t>
  </si>
  <si>
    <t>CÓDIGO_1.246_008</t>
  </si>
  <si>
    <t>CÓDIGO_1.246_020.2</t>
  </si>
  <si>
    <t>CÓDIGO_1.246_020</t>
  </si>
  <si>
    <t>BR_75/140</t>
  </si>
  <si>
    <t>CÓDIGO_1.246_171</t>
  </si>
  <si>
    <t>CÓDIGO_1.480_230.2</t>
  </si>
  <si>
    <t>CÓDIGO_1.480_231.2</t>
  </si>
  <si>
    <t>CÓDIGO_1.127_006</t>
  </si>
  <si>
    <t>CÓDIGO_1.127_003</t>
  </si>
  <si>
    <t>CÓDIGO_1.161_071</t>
  </si>
  <si>
    <t>BR_30/4</t>
  </si>
  <si>
    <t>CÓDIGO_1.783_221</t>
  </si>
  <si>
    <t>BR_35/12</t>
  </si>
  <si>
    <t>CÓDIGO_1.783_470</t>
  </si>
  <si>
    <t>CÓDIGO_1_783_454</t>
  </si>
  <si>
    <t xml:space="preserve">BR_40/25 </t>
  </si>
  <si>
    <t>CÓDIGO_1.515_106</t>
  </si>
  <si>
    <t xml:space="preserve">B_80/100 </t>
  </si>
  <si>
    <t>CÓDIGO_1.127_028</t>
  </si>
  <si>
    <t>Recipiente de agua sucia</t>
  </si>
  <si>
    <t>A4-055-030</t>
  </si>
  <si>
    <t>A6-654-370.3</t>
  </si>
  <si>
    <t>Filtro de agua limpia</t>
  </si>
  <si>
    <t>A5-035-376</t>
  </si>
  <si>
    <t>Electroválvula 24V</t>
  </si>
  <si>
    <t>A6-472-007.3</t>
  </si>
  <si>
    <t>Empaque del tanque de agua sucia</t>
  </si>
  <si>
    <t>A6-366-043</t>
  </si>
  <si>
    <t>Interruptor de la bocina</t>
  </si>
  <si>
    <t>A6-632-475</t>
  </si>
  <si>
    <t>Motor de elevación del cabezal de cepillos</t>
  </si>
  <si>
    <t>A4-035-571</t>
  </si>
  <si>
    <t>Tarjeta panel</t>
  </si>
  <si>
    <t>A4-841-161</t>
  </si>
  <si>
    <t>Manguera de desagüe</t>
  </si>
  <si>
    <t>A4-035-197</t>
  </si>
  <si>
    <t>Banco de baterías</t>
  </si>
  <si>
    <t>A2-815-091</t>
  </si>
  <si>
    <t>Microinterruptor cepillo</t>
  </si>
  <si>
    <t>A9-763-065</t>
  </si>
  <si>
    <t>Filtro tanque agua limpia</t>
  </si>
  <si>
    <t>Interruptor de encendido</t>
  </si>
  <si>
    <t>A6-630-385</t>
  </si>
  <si>
    <t>Tapa del depósito de agua sucia</t>
  </si>
  <si>
    <t>A4-037-000</t>
  </si>
  <si>
    <t>Empaque tapa agua sucia</t>
  </si>
  <si>
    <t>A2-815-092</t>
  </si>
  <si>
    <t xml:space="preserve">Base </t>
  </si>
  <si>
    <t>A5-055-483</t>
  </si>
  <si>
    <t>Cepillos (amarillo)</t>
  </si>
  <si>
    <t>A2-055-006</t>
  </si>
  <si>
    <t>A4-035-285</t>
  </si>
  <si>
    <t>A4-035-189</t>
  </si>
  <si>
    <t>Empaque del tapón de agua limpia</t>
  </si>
  <si>
    <t>A6-363-214</t>
  </si>
  <si>
    <t>Interruptor de desplazamiento</t>
  </si>
  <si>
    <t>A6-632-482</t>
  </si>
  <si>
    <t>Motor de elevación de la barra de aspiración</t>
  </si>
  <si>
    <t>A4-035-617</t>
  </si>
  <si>
    <t>Perilla del selector</t>
  </si>
  <si>
    <t>A4-035-608</t>
  </si>
  <si>
    <t>Empaque de tanque agua sucia</t>
  </si>
  <si>
    <t>A4-035-580</t>
  </si>
  <si>
    <t xml:space="preserve">A9-755-646 </t>
  </si>
  <si>
    <t>Microinterruptor motor de aspiración</t>
  </si>
  <si>
    <t>A6-630-398</t>
  </si>
  <si>
    <t>Interruptor de bomba de agua</t>
  </si>
  <si>
    <t>A6-632-493</t>
  </si>
  <si>
    <t>Cierre de tapa de agua sucia</t>
  </si>
  <si>
    <t>A5-037-299</t>
  </si>
  <si>
    <t>Motor de aspiración</t>
  </si>
  <si>
    <t>A4-035-055</t>
  </si>
  <si>
    <t xml:space="preserve">Cargador </t>
  </si>
  <si>
    <t>A6-654-436</t>
  </si>
  <si>
    <t>Filtro</t>
  </si>
  <si>
    <t>A4-055-110</t>
  </si>
  <si>
    <t>Cepillos (gris)</t>
  </si>
  <si>
    <t>A2-055-007</t>
  </si>
  <si>
    <t xml:space="preserve">Manguera de aspiración </t>
  </si>
  <si>
    <t>A6-392-471</t>
  </si>
  <si>
    <t xml:space="preserve">Sujeción de barra de aspiración </t>
  </si>
  <si>
    <t>A5-005-005</t>
  </si>
  <si>
    <t>Empaque de la turbina</t>
  </si>
  <si>
    <t>A5-363-195</t>
  </si>
  <si>
    <t>Filtro de agua</t>
  </si>
  <si>
    <t>Filtro de tanque agua sucia</t>
  </si>
  <si>
    <t>A6-904-080</t>
  </si>
  <si>
    <t>Microinterruptor del panel</t>
  </si>
  <si>
    <t>A9-763-051</t>
  </si>
  <si>
    <t>A9-763-037</t>
  </si>
  <si>
    <t>A6-366-058</t>
  </si>
  <si>
    <t>Tarjeta de control</t>
  </si>
  <si>
    <t>A6-682-974</t>
  </si>
  <si>
    <t>Empaque de la tapa de agua sucia</t>
  </si>
  <si>
    <t>A5-037-527</t>
  </si>
  <si>
    <t>Empaque motor aspiración</t>
  </si>
  <si>
    <t>A5-363-574</t>
  </si>
  <si>
    <t>A9-753-111</t>
  </si>
  <si>
    <t xml:space="preserve">Tapa de canal admisión cepillos </t>
  </si>
  <si>
    <t>A2-055-019</t>
  </si>
  <si>
    <t>Base</t>
  </si>
  <si>
    <t>A5-055-555</t>
  </si>
  <si>
    <t>Palanca de barra de aspiración metálica</t>
  </si>
  <si>
    <t>A4-013-010.3</t>
  </si>
  <si>
    <t>Soporte de barra de aspiración</t>
  </si>
  <si>
    <t>A4-037-137.3</t>
  </si>
  <si>
    <t>A6-490-036</t>
  </si>
  <si>
    <t>Tarjeta del panel</t>
  </si>
  <si>
    <t>AA4-841-161</t>
  </si>
  <si>
    <t>A6-490-304</t>
  </si>
  <si>
    <t>A9-755-646</t>
  </si>
  <si>
    <t>A9-763-008</t>
  </si>
  <si>
    <t>A4-039-340.3</t>
  </si>
  <si>
    <t>Válvula del depósito de agua limpia</t>
  </si>
  <si>
    <t>A4-190-029</t>
  </si>
  <si>
    <t>Boya (flotador)</t>
  </si>
  <si>
    <t>A2-639-292</t>
  </si>
  <si>
    <t>A6-391-307</t>
  </si>
  <si>
    <t>A9-763-480</t>
  </si>
  <si>
    <t>Cubierta de mangueras aspiración</t>
  </si>
  <si>
    <t>A5-055-425</t>
  </si>
  <si>
    <t>Motor de cepillos</t>
  </si>
  <si>
    <t>A4-071-568</t>
  </si>
  <si>
    <t xml:space="preserve">Electroválvula </t>
  </si>
  <si>
    <t>A6-472-002.3</t>
  </si>
  <si>
    <t>Palanca de barra de aspiración metálico</t>
  </si>
  <si>
    <t>Rueda de tracción</t>
  </si>
  <si>
    <t>A6-435-367</t>
  </si>
  <si>
    <t xml:space="preserve">Tarjeta de limpieza </t>
  </si>
  <si>
    <t>AA6-683-174</t>
  </si>
  <si>
    <t>A6-630-663</t>
  </si>
  <si>
    <t>Tarjeta de limpieza</t>
  </si>
  <si>
    <t>A6-683-174</t>
  </si>
  <si>
    <t>A6-391-594</t>
  </si>
  <si>
    <t>A9-755-482</t>
  </si>
  <si>
    <t>A4-490-243</t>
  </si>
  <si>
    <t>A6-490-312</t>
  </si>
  <si>
    <t>A6-391-474</t>
  </si>
  <si>
    <t>A4-035-006</t>
  </si>
  <si>
    <t>Mangueras de aspiración</t>
  </si>
  <si>
    <t>A6-901-002</t>
  </si>
  <si>
    <t>Depósito de agua sucia</t>
  </si>
  <si>
    <t>A4-055-121</t>
  </si>
  <si>
    <t>A4-035-422</t>
  </si>
  <si>
    <t xml:space="preserve">Sujeción barra aspiración </t>
  </si>
  <si>
    <t>A6-392-333</t>
  </si>
  <si>
    <t>Tarjeta de desplazamiento</t>
  </si>
  <si>
    <t>A4-686-036</t>
  </si>
  <si>
    <t>Interruptor de bocina</t>
  </si>
  <si>
    <t>Tarjeta de tracción</t>
  </si>
  <si>
    <t>Motor de elevación barra de aspiración</t>
  </si>
  <si>
    <t>A6-613-330.3</t>
  </si>
  <si>
    <t>A9-753-102</t>
  </si>
  <si>
    <t xml:space="preserve">Motor de aspiración </t>
  </si>
  <si>
    <t>Piñón turbina</t>
  </si>
  <si>
    <t>A5-033-263</t>
  </si>
  <si>
    <t>A6-654-423</t>
  </si>
  <si>
    <t xml:space="preserve">Empalme de manguera </t>
  </si>
  <si>
    <t>A5-055-432</t>
  </si>
  <si>
    <t>Tapa de contenedor de agua</t>
  </si>
  <si>
    <t>A9-002-554</t>
  </si>
  <si>
    <t>A4-390-004</t>
  </si>
  <si>
    <t>Tarjeta de elevación</t>
  </si>
  <si>
    <t>A6-682-747</t>
  </si>
  <si>
    <t>Interruptor desplazamiento</t>
  </si>
  <si>
    <t>Motor de elevación de cabezal</t>
  </si>
  <si>
    <t>A6-613-364.3</t>
  </si>
  <si>
    <t>A9-755-488</t>
  </si>
  <si>
    <t>A6-039-026.3</t>
  </si>
  <si>
    <t>Bomba de agua</t>
  </si>
  <si>
    <t>A6-473-535</t>
  </si>
  <si>
    <t>A6-654-003</t>
  </si>
  <si>
    <t>A4-435-006</t>
  </si>
  <si>
    <t xml:space="preserve">Labio </t>
  </si>
  <si>
    <t>A5-055-410</t>
  </si>
  <si>
    <t xml:space="preserve">Sujeción de barra aspiración </t>
  </si>
  <si>
    <t>Palanca de barra aspiración metálica</t>
  </si>
  <si>
    <t>A4-841-158</t>
  </si>
  <si>
    <t>Fusible 150A</t>
  </si>
  <si>
    <t>A6-644-333</t>
  </si>
  <si>
    <t>Tarjeta principal</t>
  </si>
  <si>
    <t>A4-035-011</t>
  </si>
  <si>
    <t>Bocina</t>
  </si>
  <si>
    <t>A6-630-158</t>
  </si>
  <si>
    <t>Motor de tracción</t>
  </si>
  <si>
    <t>A6-613-145</t>
  </si>
  <si>
    <t>A9-753-101</t>
  </si>
  <si>
    <t>Fajas (set)</t>
  </si>
  <si>
    <t>A4-348-450</t>
  </si>
  <si>
    <t>A6-473-580</t>
  </si>
  <si>
    <t>Interruptor accionamiento</t>
  </si>
  <si>
    <t>A6-630-408</t>
  </si>
  <si>
    <t>Rueda guía</t>
  </si>
  <si>
    <t>A9-763-608</t>
  </si>
  <si>
    <t xml:space="preserve">Cabezal completo </t>
  </si>
  <si>
    <t>A4-055-218</t>
  </si>
  <si>
    <t>Depósito de agua limpia</t>
  </si>
  <si>
    <t>A5-055-525</t>
  </si>
  <si>
    <t>A4.037-137.3</t>
  </si>
  <si>
    <t>Llave kik amarilla</t>
  </si>
  <si>
    <t>A5-035-344</t>
  </si>
  <si>
    <t>Perilla selectora</t>
  </si>
  <si>
    <t xml:space="preserve">Tarjeta de abajo </t>
  </si>
  <si>
    <t>A6-682-661</t>
  </si>
  <si>
    <t>Fusible 125A</t>
  </si>
  <si>
    <t>A6-644-360</t>
  </si>
  <si>
    <t>Empaque del tanque de desagüe</t>
  </si>
  <si>
    <t>Rueda del motor de tracción</t>
  </si>
  <si>
    <t>A6-435-813</t>
  </si>
  <si>
    <t>A9-755-484</t>
  </si>
  <si>
    <t>Labio anti-salpicadura</t>
  </si>
  <si>
    <t>A9-763-700</t>
  </si>
  <si>
    <t>Llave de encendido</t>
  </si>
  <si>
    <t>A6-600-210</t>
  </si>
  <si>
    <t>A4-470-043</t>
  </si>
  <si>
    <t xml:space="preserve">Bomba de agua (versión nueva) </t>
  </si>
  <si>
    <t>A6-473-059</t>
  </si>
  <si>
    <t>Faja de cepillos</t>
  </si>
  <si>
    <t>A6-348-417</t>
  </si>
  <si>
    <t>Tarjeta de potencia</t>
  </si>
  <si>
    <t>A4-683-188</t>
  </si>
  <si>
    <t>Mariposas de barra aspiración</t>
  </si>
  <si>
    <t>A5-305-008</t>
  </si>
  <si>
    <t>Llave kik gris</t>
  </si>
  <si>
    <t>A5-035-348</t>
  </si>
  <si>
    <t>Relé</t>
  </si>
  <si>
    <t>A6-633-044</t>
  </si>
  <si>
    <t>A6-654-180</t>
  </si>
  <si>
    <t>A4-686-037</t>
  </si>
  <si>
    <t>A6-390-829</t>
  </si>
  <si>
    <t>Rueda del motor de tracción supergrip</t>
  </si>
  <si>
    <t>A6-435-855</t>
  </si>
  <si>
    <t>Cepillo rojo</t>
  </si>
  <si>
    <t>A4-905-026</t>
  </si>
  <si>
    <t>Arnés de cables de control</t>
  </si>
  <si>
    <t>A4-822-987</t>
  </si>
  <si>
    <t>Piñón giro de cepillo</t>
  </si>
  <si>
    <t>A3-763-098</t>
  </si>
  <si>
    <t>A2-816-212</t>
  </si>
  <si>
    <t>Cepillo rojo (rodillo)</t>
  </si>
  <si>
    <t>A4-762-003</t>
  </si>
  <si>
    <t>A6-633-058.3</t>
  </si>
  <si>
    <t>Labios de aspiración resistente aceite</t>
  </si>
  <si>
    <t>A6-273-207</t>
  </si>
  <si>
    <t>Cable azul y rojo del cargador</t>
  </si>
  <si>
    <t>A6-683-592</t>
  </si>
  <si>
    <t>A6-633-389</t>
  </si>
  <si>
    <t>A6-632-394</t>
  </si>
  <si>
    <t>A6-391-593</t>
  </si>
  <si>
    <t>Labios de aspiración</t>
  </si>
  <si>
    <t>A4-762-005</t>
  </si>
  <si>
    <t>A4-037-032</t>
  </si>
  <si>
    <t>Labio de aspiración</t>
  </si>
  <si>
    <t>A6-273-354</t>
  </si>
  <si>
    <t>A9-763-457</t>
  </si>
  <si>
    <t>Manguera de agua limpia</t>
  </si>
  <si>
    <t>A6-055-429</t>
  </si>
  <si>
    <t>Rueda guía de apoyo</t>
  </si>
  <si>
    <t>A4-035-281</t>
  </si>
  <si>
    <t>Tarjeta electrónica del panel</t>
  </si>
  <si>
    <t>A4-683-311.3</t>
  </si>
  <si>
    <t>Relé versión antigua</t>
  </si>
  <si>
    <t>Cepillo de rodillo rojo</t>
  </si>
  <si>
    <t>A5-762-348</t>
  </si>
  <si>
    <t>Banco de baterías 24V 400AH</t>
  </si>
  <si>
    <t>A6-654-052</t>
  </si>
  <si>
    <t>Empaque de turbina</t>
  </si>
  <si>
    <t>Rueda guía cepillo</t>
  </si>
  <si>
    <t>A9-753-006</t>
  </si>
  <si>
    <t>Rueda guía de barra de aspiración</t>
  </si>
  <si>
    <t>Rueda de tracción versión 1 (verificar versión que trae)</t>
  </si>
  <si>
    <t>A4-435-000</t>
  </si>
  <si>
    <t>Labio de aspiración resistente a aceite</t>
  </si>
  <si>
    <t>A4-777-324</t>
  </si>
  <si>
    <t>Interruptor de accionamiento</t>
  </si>
  <si>
    <t>A6-631-818</t>
  </si>
  <si>
    <t>A4-905-000</t>
  </si>
  <si>
    <t>Motor aspiración</t>
  </si>
  <si>
    <t>A4-055-131</t>
  </si>
  <si>
    <t>Cepillo rojo D43</t>
  </si>
  <si>
    <t>A4-905-022</t>
  </si>
  <si>
    <t>Cepillo rojo D51</t>
  </si>
  <si>
    <t xml:space="preserve">Relé </t>
  </si>
  <si>
    <t>A4-633-110</t>
  </si>
  <si>
    <t>Rueda de tracción versión plástica</t>
  </si>
  <si>
    <t>Cepillo de disco rojo</t>
  </si>
  <si>
    <t>A6-906-563</t>
  </si>
  <si>
    <t>Banco de baterías 24V 240AH</t>
  </si>
  <si>
    <t>A6-654-112</t>
  </si>
  <si>
    <t>A4-035-138</t>
  </si>
  <si>
    <t>A6-490-308</t>
  </si>
  <si>
    <t>A6-632-024</t>
  </si>
  <si>
    <t>Rueda de tracción versión 2 (verificar versión que trae)</t>
  </si>
  <si>
    <t>Articulación plástica columna de dirección</t>
  </si>
  <si>
    <t>A5-037-337</t>
  </si>
  <si>
    <t>Microinterruptor de accionamiento</t>
  </si>
  <si>
    <t>Enganche rápido mango agarradera</t>
  </si>
  <si>
    <t>A5-055-239</t>
  </si>
  <si>
    <t>A5-035-416</t>
  </si>
  <si>
    <t>A5-035-695.3</t>
  </si>
  <si>
    <t>Tarjeta electrónica mando</t>
  </si>
  <si>
    <t>A4-683-075</t>
  </si>
  <si>
    <t>Rueda de tracción versión metálica</t>
  </si>
  <si>
    <t xml:space="preserve">Labios de aspiración </t>
  </si>
  <si>
    <t>A4-036-129</t>
  </si>
  <si>
    <t>Motor de elevación de barra de aspiración</t>
  </si>
  <si>
    <t>A6-613-300</t>
  </si>
  <si>
    <t>Tarjeta de panel</t>
  </si>
  <si>
    <t>A4-036-006</t>
  </si>
  <si>
    <t>Cuña para rueda de tracción L=28mm</t>
  </si>
  <si>
    <t>A7-318-031</t>
  </si>
  <si>
    <t>Anillo seguridad de perno para articulación</t>
  </si>
  <si>
    <t>A7-343-014</t>
  </si>
  <si>
    <t>A6-273-000</t>
  </si>
  <si>
    <t>Roll rueda guía 6202</t>
  </si>
  <si>
    <t>A6-683-119</t>
  </si>
  <si>
    <t>Borne con fusible de batería</t>
  </si>
  <si>
    <t>A4-643-009.3</t>
  </si>
  <si>
    <t>A4-035-316</t>
  </si>
  <si>
    <t>A6-273-208</t>
  </si>
  <si>
    <t>A4-683-129</t>
  </si>
  <si>
    <t>Cuña para rueda de tracción L=36mm</t>
  </si>
  <si>
    <t>A7-318-111</t>
  </si>
  <si>
    <t>Perno columna de dirección</t>
  </si>
  <si>
    <t>A5-037-318</t>
  </si>
  <si>
    <t>Rueda guía de apoyo cepillo</t>
  </si>
  <si>
    <t>A9-763-063</t>
  </si>
  <si>
    <t>A6-613-512.3</t>
  </si>
  <si>
    <t>Mariposa de barra de aspiración</t>
  </si>
  <si>
    <t>A6-435-729</t>
  </si>
  <si>
    <t>Motor de elevación cabezal</t>
  </si>
  <si>
    <t>A6-613-333</t>
  </si>
  <si>
    <t>A6-682-911</t>
  </si>
  <si>
    <t xml:space="preserve">Motor de tracción versión </t>
  </si>
  <si>
    <t>A4-039-281</t>
  </si>
  <si>
    <t>A4-037-031</t>
  </si>
  <si>
    <t>Mariposas de barra de aspiración</t>
  </si>
  <si>
    <t>Freno electromagnético</t>
  </si>
  <si>
    <t>A6-613-402</t>
  </si>
  <si>
    <t>A5-762-285</t>
  </si>
  <si>
    <t>A6-682-994</t>
  </si>
  <si>
    <t>Microinterruptor de cepillo</t>
  </si>
  <si>
    <t>Microinterruptor accionamiento turbina</t>
  </si>
  <si>
    <t>A6-630-438</t>
  </si>
  <si>
    <t>Labios de aspiración resistentes al aceite</t>
  </si>
  <si>
    <t>Protector del freno</t>
  </si>
  <si>
    <t>A6-613-464</t>
  </si>
  <si>
    <t>A6-633-431</t>
  </si>
  <si>
    <t>A5-039-141.3</t>
  </si>
  <si>
    <t>Cajón de barrido</t>
  </si>
  <si>
    <t>A5-037-457</t>
  </si>
  <si>
    <t xml:space="preserve">Conjunto de baterías </t>
  </si>
  <si>
    <t>A4-464-032.3</t>
  </si>
  <si>
    <t>Bomba agua</t>
  </si>
  <si>
    <t>A4-540-032.3</t>
  </si>
  <si>
    <t>A6-630-752</t>
  </si>
  <si>
    <t>Rol 6002 caja de transmisión</t>
  </si>
  <si>
    <t>A7-401-115</t>
  </si>
  <si>
    <t>Electroválvula de agua</t>
  </si>
  <si>
    <t>Cableado bus y control</t>
  </si>
  <si>
    <t>A4-822-675</t>
  </si>
  <si>
    <t>Tarjeta potencia</t>
  </si>
  <si>
    <t>A5-039-156</t>
  </si>
  <si>
    <t>Faja de transmisión</t>
  </si>
  <si>
    <t>A6-348-480</t>
  </si>
  <si>
    <t>A4-905-014</t>
  </si>
  <si>
    <t>A4-905-010</t>
  </si>
  <si>
    <t>A4-654-000</t>
  </si>
  <si>
    <t>A4-823-025</t>
  </si>
  <si>
    <t>A4-037-127</t>
  </si>
  <si>
    <t>Cepillo natural B60</t>
  </si>
  <si>
    <t>A4-905-016</t>
  </si>
  <si>
    <t>A4-905-012</t>
  </si>
  <si>
    <t>A6-467-000</t>
  </si>
  <si>
    <t>Barra de aspiración completo</t>
  </si>
  <si>
    <t>A4-777-402</t>
  </si>
  <si>
    <t>A6-273-252</t>
  </si>
  <si>
    <t>A4-683-085</t>
  </si>
  <si>
    <t>Labio anti-salpicadura estándar</t>
  </si>
  <si>
    <t>A4-071-228</t>
  </si>
  <si>
    <t>Protector de suciedad para freno</t>
  </si>
  <si>
    <t>A6-467-039</t>
  </si>
  <si>
    <t>A6-273-016</t>
  </si>
  <si>
    <t>Labios de aspiración linatex</t>
  </si>
  <si>
    <t>A4-181-010</t>
  </si>
  <si>
    <t>Relé de potencia</t>
  </si>
  <si>
    <t>Labio anti-salpicadura reforzado</t>
  </si>
  <si>
    <t>A4-071-003</t>
  </si>
  <si>
    <t xml:space="preserve">Motor de elevación barra de aspiración </t>
  </si>
  <si>
    <t>Mariposas de sujeción de la barra</t>
  </si>
  <si>
    <t>BARRA DE ASPIRACION RECTA 850mm</t>
  </si>
  <si>
    <t>A4-777-401</t>
  </si>
  <si>
    <t>Rueda guía completa incluye roll</t>
  </si>
  <si>
    <t>A9-753-044</t>
  </si>
  <si>
    <t>Seguro superior del balancín del cabezal</t>
  </si>
  <si>
    <t>A7-343-302</t>
  </si>
  <si>
    <t xml:space="preserve">Motor de elevación del cabezal de cepillos </t>
  </si>
  <si>
    <t>A6-613-341</t>
  </si>
  <si>
    <t>Labios anti-salpicadura</t>
  </si>
  <si>
    <t>A5-036-713</t>
  </si>
  <si>
    <t xml:space="preserve">Seguros inferior del balancín del cabezal </t>
  </si>
  <si>
    <t>A7-343-047</t>
  </si>
  <si>
    <t xml:space="preserve">Seguro inferior del balancín del cabezal </t>
  </si>
  <si>
    <t>Barra de aspiración completa</t>
  </si>
  <si>
    <t>Cepillos rojos</t>
  </si>
  <si>
    <t>Mariposas sujeción squeege</t>
  </si>
  <si>
    <t>A4-654-001.7</t>
  </si>
  <si>
    <t>Rueda guía squeege</t>
  </si>
  <si>
    <t xml:space="preserve">Mariposa de sujeción de la barra de aspiración </t>
  </si>
  <si>
    <t xml:space="preserve">Barra de aspiración en v </t>
  </si>
  <si>
    <t>A4-777-079.7</t>
  </si>
  <si>
    <t>Rueda guía barra de aspiración</t>
  </si>
  <si>
    <t>Motor de cepillo</t>
  </si>
  <si>
    <t>A4-035-200</t>
  </si>
  <si>
    <t>Caja reductora</t>
  </si>
  <si>
    <t>A6-454-198.3</t>
  </si>
  <si>
    <t>Labios de aspiración 900mm</t>
  </si>
  <si>
    <t>A6-273-023</t>
  </si>
  <si>
    <t>Cuña pequeña del motor de los cepillos</t>
  </si>
  <si>
    <t>A7-318-070</t>
  </si>
  <si>
    <t>Árbol de la caja reductora</t>
  </si>
  <si>
    <t>A5-100-566</t>
  </si>
  <si>
    <t xml:space="preserve">Cuña del árbol </t>
  </si>
  <si>
    <t>A7-318-030</t>
  </si>
  <si>
    <t>Rol de la brida metálica</t>
  </si>
  <si>
    <t>A7-400-112</t>
  </si>
  <si>
    <t>A4-905-018</t>
  </si>
  <si>
    <t>A4-905-003</t>
  </si>
  <si>
    <t>Cepillos versión nueva</t>
  </si>
  <si>
    <t>A4-905-020</t>
  </si>
  <si>
    <t>K5</t>
  </si>
  <si>
    <t>K_5</t>
  </si>
  <si>
    <t>K_2</t>
  </si>
  <si>
    <t>K_4</t>
  </si>
  <si>
    <t>K2.68</t>
  </si>
  <si>
    <t>K2_BASIC</t>
  </si>
  <si>
    <t>K2_COMPACT</t>
  </si>
  <si>
    <t>K3.68</t>
  </si>
  <si>
    <t>K3.40</t>
  </si>
  <si>
    <t>K2.150</t>
  </si>
  <si>
    <t>K5.68</t>
  </si>
  <si>
    <t>K5.690</t>
  </si>
  <si>
    <t>K3.000</t>
  </si>
  <si>
    <t>K5.540</t>
  </si>
  <si>
    <t>K_3.690</t>
  </si>
  <si>
    <t>K3.450</t>
  </si>
  <si>
    <t>K2.00_PLUS</t>
  </si>
  <si>
    <t>K2_PLUS</t>
  </si>
  <si>
    <t>K2.01</t>
  </si>
  <si>
    <t>K2.26</t>
  </si>
  <si>
    <t>K2.19</t>
  </si>
  <si>
    <t>K2.27</t>
  </si>
  <si>
    <t>K2.050</t>
  </si>
  <si>
    <t>K2.250</t>
  </si>
  <si>
    <t xml:space="preserve">K2.93 </t>
  </si>
  <si>
    <t>HD_7_12</t>
  </si>
  <si>
    <t>HD_585</t>
  </si>
  <si>
    <t>HD_5_12</t>
  </si>
  <si>
    <t>HD_3.5</t>
  </si>
  <si>
    <t>HD_10_25</t>
  </si>
  <si>
    <t>HD_4_9</t>
  </si>
  <si>
    <t>HD_6_15</t>
  </si>
  <si>
    <t>HDS_3.5_30</t>
  </si>
  <si>
    <t>G_2700</t>
  </si>
  <si>
    <t>DIAGNOSTICO</t>
  </si>
  <si>
    <t>DIAGNOSTICO_ASPIRADORA</t>
  </si>
  <si>
    <t>DIAGNOSTICO_BARREDORA</t>
  </si>
  <si>
    <t>DIAGNOSTICO_CEPILLO_PULIDOR</t>
  </si>
  <si>
    <t>DIAGNOSTICO_COMPRESOR</t>
  </si>
  <si>
    <t>DIAGNOSTICO_ESCOBA</t>
  </si>
  <si>
    <t>DIAGNOSTICO_FREGADORA</t>
  </si>
  <si>
    <t>DIAGNOSTICO_HIDROLAVADORA_ESTÁCIONARIA</t>
  </si>
  <si>
    <t>DIAGNOSTICO_HIDROLAVADORA_GASOLINA</t>
  </si>
  <si>
    <t>DIAGNOSTICO_HIDROLAVADORA_HD</t>
  </si>
  <si>
    <t>DIAGNOSTICO_HIDROLAVADORA_HDS</t>
  </si>
  <si>
    <t>DIAGNOSTICO_TRAPP</t>
  </si>
  <si>
    <t>DIAGNOSTICO_IROBOT</t>
  </si>
  <si>
    <t>DIAGNOSTICO_VAPORIZADOR</t>
  </si>
  <si>
    <t>NO ENCONTRADO</t>
  </si>
  <si>
    <t>Revisar el diagnostico</t>
  </si>
  <si>
    <t>TURBINA/BUENA</t>
  </si>
  <si>
    <t>El ventilador de la turbina está saturado de basuras y pelos, esto genera un fuerte sonido (no se están utilizado los accesorios adecuadamente) se limpió y funciona correctamente</t>
  </si>
  <si>
    <t>PARACHOQUES</t>
  </si>
  <si>
    <t>El parachoques está roto</t>
  </si>
  <si>
    <t>El cabezal tiene reventada la faja de la transmision (los cepillos no giran)</t>
  </si>
  <si>
    <t>TANQUE</t>
  </si>
  <si>
    <t>El tanque de combustible oxidado</t>
  </si>
  <si>
    <t>CARCASA</t>
  </si>
  <si>
    <t>Las llantas están ponchadas</t>
  </si>
  <si>
    <t>RUEDA</t>
  </si>
  <si>
    <t>Las ruedas están quebradas</t>
  </si>
  <si>
    <t>MOTOR</t>
  </si>
  <si>
    <t>La grasa está muy quemada</t>
  </si>
  <si>
    <t>LA CALDERA ESTÁ CALCIFICADA</t>
  </si>
  <si>
    <t>TURBINA</t>
  </si>
  <si>
    <t>La turbina presenta desgaste en el colector de los carbones</t>
  </si>
  <si>
    <t>No trae el parachoques</t>
  </si>
  <si>
    <t>El tanque de combustible está deforme</t>
  </si>
  <si>
    <t>Una de las llantas está ponchada</t>
  </si>
  <si>
    <t>Una de las ruedas está quebrada</t>
  </si>
  <si>
    <t>La grasa está muy quemada (sobre uso)</t>
  </si>
  <si>
    <t>LA ROSCA DEL TAPON DE LA CALDERA ESTÁ CALCIFICADO</t>
  </si>
  <si>
    <t>La turbina está saturada de polvo muy fino (no se están utilizado los accesorios adecuadamente).</t>
  </si>
  <si>
    <t>TRANSMISIÓN</t>
  </si>
  <si>
    <t xml:space="preserve">El rol de la transmisión tiene desgaste en los balines </t>
  </si>
  <si>
    <t>El labio del cabezal se desprendio y está provocando que los cepillos se queden pegados</t>
  </si>
  <si>
    <t>El tanque de combustible está roto</t>
  </si>
  <si>
    <t>Le falta un seguro de rueda</t>
  </si>
  <si>
    <t>La rueda está deforme (al avanzar el equipo "brinca" levemente)</t>
  </si>
  <si>
    <t>El aceite del motor está muy quemado</t>
  </si>
  <si>
    <t>LA MANGUERA ESTÁ ROTA</t>
  </si>
  <si>
    <t>La turbina no tiene la tuerca del ventilador (esto provocó que se dañara el ventilador)</t>
  </si>
  <si>
    <t>El rol de la transmisión tiene desgaste en los balines (esto genera un fuerte sonido en el accionamiento)</t>
  </si>
  <si>
    <t>El equipo no inyecta agua porque tiene obstruidos los ductos de agua con pelos (se deben limpiar despues de cada uso por parte del cliente)</t>
  </si>
  <si>
    <t>El filtro del tanque está saturado</t>
  </si>
  <si>
    <t>Le faltan los seguros de las ruedas</t>
  </si>
  <si>
    <t>La rueda está muy desgastada</t>
  </si>
  <si>
    <t>El aceite del motor está muy quemado (sobre uso)</t>
  </si>
  <si>
    <t>EL TRANSFORMADOR ESTÁ QUEMADO (NO HAY VOLTAJE EN LA SALIDA)</t>
  </si>
  <si>
    <t>Los carbones están quemados</t>
  </si>
  <si>
    <t>El acople de engranaje está desgastado</t>
  </si>
  <si>
    <t>Le falta el accionamiento del deposito de agua limpia, por esta razon no inyecta agua</t>
  </si>
  <si>
    <t>CARBURADOR</t>
  </si>
  <si>
    <t>Se encontraron rastros de oxido en el carburador</t>
  </si>
  <si>
    <t>El equipo no trae el soporte del cable de alimentación</t>
  </si>
  <si>
    <t>El rodillo de dirección está deforme (al avanzar el equipo "brinca" levemente)</t>
  </si>
  <si>
    <t>SONIDO MOTOR</t>
  </si>
  <si>
    <t>Los rodamientos presentan desgaste en los balines, esto ocasiona un sonido anormal en el funcionamiento del equipo.</t>
  </si>
  <si>
    <t>LA PISTOLA NO SELA EL PASO DE VAPOR</t>
  </si>
  <si>
    <t>El bobinado de la turbina está abierto (no tiene continuidad)</t>
  </si>
  <si>
    <t>La arandela guía del acople de engranaje está desgastada</t>
  </si>
  <si>
    <t xml:space="preserve">El carburador tiene fuga </t>
  </si>
  <si>
    <t>El equipo no trae el soporte de la boquilla</t>
  </si>
  <si>
    <t>El rodillo de dirección está muy desgastado</t>
  </si>
  <si>
    <t>El disco axial tiene desgastada la balinera esto genera un fuerte sonido en el motor</t>
  </si>
  <si>
    <t>LA PISTOLA ESTÁ QUEBRADA</t>
  </si>
  <si>
    <t>El ventilador de la turbina está oxidado (esto es provocado por humedad)</t>
  </si>
  <si>
    <t>El acople de la transmisión (metálico) está desgastado (se debe rellenar en el torno)</t>
  </si>
  <si>
    <t>El carburador tiene quebrada la palanca del paso de combustible</t>
  </si>
  <si>
    <t>La tapa del motor está quebrada</t>
  </si>
  <si>
    <t>El disco axial tiene desgastado el plato, esto genera un fuerte sonido en el motor</t>
  </si>
  <si>
    <t>El ventilador de la turbina está saturado de basuras y pelos, esto genera un fuerte sonido (no se están utilizado los accesorios adecuadamente)</t>
  </si>
  <si>
    <t>Los piñones de la transmisión están desgastados, se debe reemplazar completa</t>
  </si>
  <si>
    <t>El carburador tiene quebrada la palanca del chock</t>
  </si>
  <si>
    <t>El equipo no trae la tapa del motor</t>
  </si>
  <si>
    <t>El disco axial tiene quebrada la balinera esto genera un fuerte sonido en el motor</t>
  </si>
  <si>
    <t>La turbina presenta humedad esto provoco que se desmontara el rotor internamente (fuerte sonido)</t>
  </si>
  <si>
    <t>El cuadro rectificador de voltaje está quemado</t>
  </si>
  <si>
    <t>El carburador no tiene la palanca del chock</t>
  </si>
  <si>
    <t>El equipo no trae la tuerca de la tapa del motor</t>
  </si>
  <si>
    <t>El capo está quebrado</t>
  </si>
  <si>
    <t>El colector está muy desgastado esto genera un sonido anormal en el equipo</t>
  </si>
  <si>
    <t>TURBINA (2)</t>
  </si>
  <si>
    <t>Las turbinas presentan desgaste en el colector de los carbones</t>
  </si>
  <si>
    <t>El interruptor centrifugo está quebrado</t>
  </si>
  <si>
    <t>NO SUCCIONA</t>
  </si>
  <si>
    <t>A el tanque de agua sucia le falta el empaque de la parte superior, por esta razon el equipo no aspira</t>
  </si>
  <si>
    <t>RESORTE DE ACELERACIÓN</t>
  </si>
  <si>
    <t>El equipo no tiene el resorte de aceleración</t>
  </si>
  <si>
    <t>El equipo no trae el tornillo de la tapa del motor</t>
  </si>
  <si>
    <t>El tanque de el detergente está quebrado</t>
  </si>
  <si>
    <t>MOTOR PEGADO</t>
  </si>
  <si>
    <t>El eje presenta desgaste en el alojamiento del rollo cual generó que el rotor se “arrecostara” al estátor y por consecuencia el motor no gira. (no arranca, se escucha un sonido anormal)</t>
  </si>
  <si>
    <t>Las turbinas están saturadas de polvo muy fino (no se están utilizado los accesorios adecuadamente).</t>
  </si>
  <si>
    <t>El bobinado del motor está abierto (no tiene continuidad)</t>
  </si>
  <si>
    <t>ELECTROVÁLVULA</t>
  </si>
  <si>
    <t>La electroválvula presenta sarro en sus paredes lo cual genera que no pase agual (esto es provocado por el tipo de detergente utilizado)</t>
  </si>
  <si>
    <t>El resorte de aceleración está torcido</t>
  </si>
  <si>
    <t>La carcasa delantera está quebrada</t>
  </si>
  <si>
    <t>El taque del diésel está quebrado</t>
  </si>
  <si>
    <t>El condensador está descargado (no arranca, se escucha un sonido anormal)</t>
  </si>
  <si>
    <t>El eje del motor está desgastado (se debe rellenar en el torno)</t>
  </si>
  <si>
    <t>TARJETA</t>
  </si>
  <si>
    <t>El equipo no soporta la carga debido a cortocircuito interno en la tarjeta electrónica.</t>
  </si>
  <si>
    <t>ESCAPE</t>
  </si>
  <si>
    <t>El escape no tiene el empaque que sella con el motor</t>
  </si>
  <si>
    <t>La carcasa trasera está quebrada</t>
  </si>
  <si>
    <t>El tanque del depósito de agua está roto</t>
  </si>
  <si>
    <t>El condensador está reventado (no arranca, se escucha un sonido anormal)</t>
  </si>
  <si>
    <t>El bobinado de las turbinas está abierto (no tienen continuidad)</t>
  </si>
  <si>
    <t>El motor tiene desgastado el colector de delgas</t>
  </si>
  <si>
    <t>La tarjeta elecronica tiene recalentada una de las pistas</t>
  </si>
  <si>
    <t>La carcasa de protección del escape está quebrada</t>
  </si>
  <si>
    <t>CAJA ELECTRICA</t>
  </si>
  <si>
    <t>El condensador está descargado</t>
  </si>
  <si>
    <t>El tanque del depósito de agua está roto (se podría intentar sellar con silicón, pero no tiene garantía)</t>
  </si>
  <si>
    <t>OLOR A QUEMADO</t>
  </si>
  <si>
    <t>El equipo tiene aceite en el bobinado (el oring de la transmisión fuga)</t>
  </si>
  <si>
    <t>El ventilador de las turbinas está oxidado (esto es provocado por humedad)</t>
  </si>
  <si>
    <t>El motor estába lleno de polvo (se limpió y trabaja adecuadamente)</t>
  </si>
  <si>
    <t>CABLEADO</t>
  </si>
  <si>
    <t>Una de las lineas no permite el paso de voltaje (no enciende el equipo)</t>
  </si>
  <si>
    <t>El equipo no trae la carcasa de protección del escape</t>
  </si>
  <si>
    <t>El condensador está reventado</t>
  </si>
  <si>
    <t>El equipo tiene aceite en el bobinado (el retenedor de la transmisión fuga)</t>
  </si>
  <si>
    <t>El ventilador de las turbinas está saturado de basuras y pelos, esto genera un fuerte sonido (no se están utilizado los accesorios adecuadamente)</t>
  </si>
  <si>
    <t>El rol de la tapa del motor presenta desgaste en los balines</t>
  </si>
  <si>
    <t xml:space="preserve">MOTOR DE TRACCION </t>
  </si>
  <si>
    <t>El motor de traccion presenta un sonido anormal en el desplazamiento, esto es provocado por desgaste en los balines de los rodamientos</t>
  </si>
  <si>
    <t>El motor fuga por el retenedor central del cigüeñal</t>
  </si>
  <si>
    <t>El transformador tiene quemado el fusible</t>
  </si>
  <si>
    <t xml:space="preserve">El colector de los carbones está muy desgastado </t>
  </si>
  <si>
    <t>Una de las turbinas no tiene continuidad en el bobinado (se deben sustituir ambas turbinas)</t>
  </si>
  <si>
    <t>El rol de la tapa del motor presenta desgaste en los balines (esto genera un fuerte sonido en el accionamiento)</t>
  </si>
  <si>
    <t>El neumatico del motor de traccion esta desprendido del aro</t>
  </si>
  <si>
    <t>El motor tiene fuga de aceite por la tapa trasera</t>
  </si>
  <si>
    <t>El transformador no le envía voltaje a la tarjeta electrónica</t>
  </si>
  <si>
    <t>Los condensadores están descargados</t>
  </si>
  <si>
    <t>CHISPA</t>
  </si>
  <si>
    <t>Los carbones generan mucha chispa (deterioro en el colector de delgas)</t>
  </si>
  <si>
    <t>Una de las turbinas tiene quemado el colector (se deben sustituir ambas turbinas)</t>
  </si>
  <si>
    <t>El rol de la base del motor presenta desgaste en los balines</t>
  </si>
  <si>
    <t>El neumatico del motor de traccion presenta desgaste por uso</t>
  </si>
  <si>
    <t>Los anillos del motor están quebrados</t>
  </si>
  <si>
    <t>La tarjeta electrónica tiene quemado el fusible</t>
  </si>
  <si>
    <t>Los condensadores están reventados</t>
  </si>
  <si>
    <t>FUGA CABEZAL</t>
  </si>
  <si>
    <t>El cabezal tiene reventado el canal de la válvula de detergente.</t>
  </si>
  <si>
    <t>BOLSA</t>
  </si>
  <si>
    <t>No trae bolsa</t>
  </si>
  <si>
    <t>El rol de la base del motor presenta desgaste en los balines (esto genera un fuerte sonido en el accionamiento)</t>
  </si>
  <si>
    <t>Los carbones del motor de traccion presentan desgaste por por uso</t>
  </si>
  <si>
    <t>Los anillos del motor están quebrados (mala lubricación, falta de mantenimiento)</t>
  </si>
  <si>
    <t>La tarjeta electrónica presenta humedad en sus terminales de conexión</t>
  </si>
  <si>
    <t>AMPERAJE MOTOR</t>
  </si>
  <si>
    <t>El bobinado está ligado (el motor consume más amperaje del normal)</t>
  </si>
  <si>
    <t>La bolsa está rota</t>
  </si>
  <si>
    <t>El freno magnetico tiene desgaste en la pastilla de freno</t>
  </si>
  <si>
    <t>El cigüeñal del motor está quebrado</t>
  </si>
  <si>
    <t>El contactor tiene quemada la bobina</t>
  </si>
  <si>
    <t>La bolsa está llena</t>
  </si>
  <si>
    <t>FUGA</t>
  </si>
  <si>
    <t>El retenedor de la transmisión está fugando</t>
  </si>
  <si>
    <t>La bobina del freno magnetico no genera suficiente campo (el equipo no frena)</t>
  </si>
  <si>
    <t>El cigüeñal del motor está quebrado (mala lubricación, falta de mantenimiento)</t>
  </si>
  <si>
    <t>El contactor tiene oxidación los contactos</t>
  </si>
  <si>
    <t>La bolsa está mojada (mala manipulación del equipo)</t>
  </si>
  <si>
    <t>CABLE</t>
  </si>
  <si>
    <t>Una de las terminales del cable de alimentación se soltó del interruptor principal</t>
  </si>
  <si>
    <t>La guia del volante esta desgastada</t>
  </si>
  <si>
    <t>El motor se utilizó sin aceite (esto ocasionó que se pegara el cigüeñal por falta de lubricación)</t>
  </si>
  <si>
    <t>El interruptor tiene oxidación en las terminales de conexión</t>
  </si>
  <si>
    <t>El bobinado está recalentado</t>
  </si>
  <si>
    <t>El filtro de aire está saturado de polvo</t>
  </si>
  <si>
    <t>Las terminales del cable de alimentación se soltaron del interruptor principal</t>
  </si>
  <si>
    <t>Los roles del volante presentan desgaste en los balines</t>
  </si>
  <si>
    <t>El motor se utilizó sin aceite (esto ocasionó que se quebrara le biela)</t>
  </si>
  <si>
    <t>El interruptor no permite el paso de voltaje</t>
  </si>
  <si>
    <t>El eje presenta desgaste en el alojamiento del rol lo cual generó que el rotor se “arrecostara” al estátor y por consecuencia el motor no gira.</t>
  </si>
  <si>
    <t>El equipo no trae filtro de aire</t>
  </si>
  <si>
    <t>El cable de alimentación no permite el paso de voltaje</t>
  </si>
  <si>
    <t>Se debe reemplazar en conjunto con los roles del volante</t>
  </si>
  <si>
    <t>El motor se utilizó sin aceite (esto ocasionó que se pegara el pistón)</t>
  </si>
  <si>
    <t>El interruptor tiene los contactos recalentados (funciona, pero se recomienda sustituirlo)</t>
  </si>
  <si>
    <t>NO ENCIENDE</t>
  </si>
  <si>
    <t xml:space="preserve">El interruptor de la caja eléctrica tiene los contactos quemados </t>
  </si>
  <si>
    <t>El filtro de aire está roto</t>
  </si>
  <si>
    <t>El cable de alimentación está empalmado</t>
  </si>
  <si>
    <t>TARJETA ELECTRONICA</t>
  </si>
  <si>
    <t>La tarjeta elecronica esta saturada de polvo (se realizó mantenimiento y funciona adecuadamente)</t>
  </si>
  <si>
    <t>El interruptor de apagado no funciona</t>
  </si>
  <si>
    <t>El microinterruptor no deja pasar la corriente (equipo no enciende)</t>
  </si>
  <si>
    <t>El pin del cabezal se quedó pegado y mantiene accionado el interruptor de la caja eléctrica en la posición de apagado</t>
  </si>
  <si>
    <t>El filtro está saturado, esto provoca que el equipo se caliente excesivamente y se apague el equipo.</t>
  </si>
  <si>
    <t>INTERRUPTOR</t>
  </si>
  <si>
    <t>El interruptor está quemado</t>
  </si>
  <si>
    <t>La tarjeta elecronica esta saturada de polvo (esto ocacionó corto circuito entre los componentes internos)</t>
  </si>
  <si>
    <t>La bobina no genera chispa</t>
  </si>
  <si>
    <t>El microinterruptor está quebrado</t>
  </si>
  <si>
    <t>La protección térmica está quemada</t>
  </si>
  <si>
    <t>El filtro está saturado, esto provoca que el equipo no aspire</t>
  </si>
  <si>
    <t>Los molex de una de las tarjetas estaban flojos, se ajustaron y el equipo trabaja adecuadamente.</t>
  </si>
  <si>
    <t>Las revoluciones del motor están muy altas</t>
  </si>
  <si>
    <t>El bobinado del motor no tiene continuidad</t>
  </si>
  <si>
    <t>El filtro presenta humedad</t>
  </si>
  <si>
    <t>La tarjeta electronica presenta cortocircuito interno.</t>
  </si>
  <si>
    <t>El sensor de aceite del motor no funciona</t>
  </si>
  <si>
    <t>El cable de alimentación no permite el paso de voltaje (está recalentado internamente)</t>
  </si>
  <si>
    <t>El motor está quemado</t>
  </si>
  <si>
    <t>MEMBRANA</t>
  </si>
  <si>
    <t>La membrana está rota</t>
  </si>
  <si>
    <t>ENCHUFE</t>
  </si>
  <si>
    <t>El enchufe no tiene la terminal de tierra</t>
  </si>
  <si>
    <t>Se actualizó el software de la tarjeta electronica</t>
  </si>
  <si>
    <t>Los roles del motor tienen desgaste en los balines (genera fuerte sonido)</t>
  </si>
  <si>
    <t>El cable de alimentación no permite el paso de voltaje (está sulfatado internamente)</t>
  </si>
  <si>
    <t>La membrana está saturada de polvo</t>
  </si>
  <si>
    <t>A el enchufe le falta una terminal de alimentación</t>
  </si>
  <si>
    <t>PANEL</t>
  </si>
  <si>
    <t>El interruptor de desplazamiento tiene rota la funda antipolvo</t>
  </si>
  <si>
    <t xml:space="preserve">El motor presenta desgaste en el asiento de la cuña </t>
  </si>
  <si>
    <t>La electroválvula no está generando campo magnético</t>
  </si>
  <si>
    <t>MANGUERA</t>
  </si>
  <si>
    <t>La manguera de aspiración está rota</t>
  </si>
  <si>
    <t>El enchufe tiene recalentadas las terminales</t>
  </si>
  <si>
    <t>El interruptor principal 1/0 tiene rota la funda antipolvo</t>
  </si>
  <si>
    <t>MANTENIMIENTO MOTOR</t>
  </si>
  <si>
    <t>Se calibrarán las válvulas</t>
  </si>
  <si>
    <t>El cable de alimentación no tiene continuidad</t>
  </si>
  <si>
    <t>El sensor reef no está enviando la señal de voltaje a la tarjeta</t>
  </si>
  <si>
    <t>El cable de alimentación no tenía continuidad en un tramo (se corto está sección)</t>
  </si>
  <si>
    <t>La manguera estaba saturada internamente (se limpió)</t>
  </si>
  <si>
    <t>El enchufe no deja pasar el voltaje a el interruptor</t>
  </si>
  <si>
    <t>El interruptor de la bocina tiene rota la funda antipolvo</t>
  </si>
  <si>
    <t>Se cambiará el aceite del motor</t>
  </si>
  <si>
    <t>El rol cónico presenta desgaste en los balines</t>
  </si>
  <si>
    <t>El sensor del diésel no está enviando la señal a la tarjeta de tanque vacío</t>
  </si>
  <si>
    <t>La carcasa está quebrada</t>
  </si>
  <si>
    <t>El tanque está roto</t>
  </si>
  <si>
    <t>RELÉ</t>
  </si>
  <si>
    <t>El relé principal no está permitiendo el paso del voltaje a la tarjeta electronica (bobina auxiliar quemada)</t>
  </si>
  <si>
    <t>Se limpiará el carburador, el cilindro, el cabezote y la bujía</t>
  </si>
  <si>
    <t>El rol trasero presenta desgaste en los balines</t>
  </si>
  <si>
    <t>Se borraron los contadores de horas de la tarjeta electrónica</t>
  </si>
  <si>
    <t>La válvula de dosificación no sella el paso del agua</t>
  </si>
  <si>
    <t>El relé principal tenia uno de los postes flojos esto provocó recalentamiento en el cableado y en el relé</t>
  </si>
  <si>
    <t>Se cambiará el aceite de la bomba</t>
  </si>
  <si>
    <t>El bobinado del motor está quemado</t>
  </si>
  <si>
    <t>El sensor de temperatura no está indicándole adecuadamente la temperatura a la tarjeta electrónica</t>
  </si>
  <si>
    <t>PALANCA</t>
  </si>
  <si>
    <t>La palanca de ajuste de altura tiene floja la tuerca.</t>
  </si>
  <si>
    <t>CABEZAL</t>
  </si>
  <si>
    <t>El cabezal de los cepillos tiene quebrada la carcasa protectora</t>
  </si>
  <si>
    <t>Se realizará mantenimiento general del motor</t>
  </si>
  <si>
    <t>El retenedor central del motor está fugando</t>
  </si>
  <si>
    <t>El sensor de temperatura está roto</t>
  </si>
  <si>
    <t>El cable de alimentación no tenía continuidad en un tramo (se cortó está sección)</t>
  </si>
  <si>
    <t>Se lubrico la palanca de ajuste de altura</t>
  </si>
  <si>
    <t>Los labios antisalpicadura están rotos</t>
  </si>
  <si>
    <t>DEPURADOR</t>
  </si>
  <si>
    <t>El depurador está quebrado</t>
  </si>
  <si>
    <t>El disco está desgastado (poroso)</t>
  </si>
  <si>
    <t>Se recomienda sustituir el sensor de temperatura por mantenimiento preventivo</t>
  </si>
  <si>
    <t>CULATA</t>
  </si>
  <si>
    <t>La culata presenta desgaste en el asiento de las válvulas.</t>
  </si>
  <si>
    <t>PROTECCIÓN</t>
  </si>
  <si>
    <t>La protección térmica del motor está disparada</t>
  </si>
  <si>
    <t>Se realizará mantenimiento general en el cabezal (cambio de aceite de las cajas reductoras y limpieza de los motores de los cepillos)</t>
  </si>
  <si>
    <t>El depurador este derretido</t>
  </si>
  <si>
    <t>La jaula de rodillos del axial tiene desgaste en los balines</t>
  </si>
  <si>
    <t>El limitador de temperatura está roto</t>
  </si>
  <si>
    <t>La culata está fugando por los retenedores de agua.</t>
  </si>
  <si>
    <t>El interruptor no permite el paso de voltaje en una de sus líneas</t>
  </si>
  <si>
    <t>La protección térmica del motor está quemada</t>
  </si>
  <si>
    <t>Una de las cajas reductoras está quebrada internamente</t>
  </si>
  <si>
    <t>FILTRO DE AIRE</t>
  </si>
  <si>
    <t>El filtro de aire saturado de polvo</t>
  </si>
  <si>
    <t>DEPOSITO DE ACEITE</t>
  </si>
  <si>
    <t>El depósito de aceite está reventado</t>
  </si>
  <si>
    <t>IMAN</t>
  </si>
  <si>
    <t>El imán del cartucho de seguridad se queda pegado</t>
  </si>
  <si>
    <t>La culata está reventada (se debe recomendar al cliente evitar dejar el equipo presurizado).</t>
  </si>
  <si>
    <t>Las ruedas están flojas</t>
  </si>
  <si>
    <t>Las cajas reductoras están quebradas internamente</t>
  </si>
  <si>
    <t>El equipo no tiene el filtro de aire</t>
  </si>
  <si>
    <t>El depósito de aceite está manchado</t>
  </si>
  <si>
    <t>La culata tiene una de las válvulas quebradas</t>
  </si>
  <si>
    <t>La tarjeta electrónica no permite el paso de voltaje internamente</t>
  </si>
  <si>
    <t>Las ruedas están flojas (esto genera sonido anormal en el equipo)</t>
  </si>
  <si>
    <t>Los cepillos presentan desgaste por uso.</t>
  </si>
  <si>
    <t>El filtro de aire está lleno de aceite</t>
  </si>
  <si>
    <t>El oring del depósito de aceite está desgastado (fuga)</t>
  </si>
  <si>
    <t>Los bornes de la culata están derretidos</t>
  </si>
  <si>
    <t>Una de las guias del cabezal esta suelta (esto ocurre cuando golpean el cabezal contra un objeto solido)</t>
  </si>
  <si>
    <t>ARRANCADOR</t>
  </si>
  <si>
    <t>El arrancador tiene quebrado el resorte que devuelve la cuerda</t>
  </si>
  <si>
    <t>El equipo no trae la tapa del depósito de aceite</t>
  </si>
  <si>
    <t>El oring de la culata está picado (esto genera fuga)</t>
  </si>
  <si>
    <t>La tarjeta está saturada de polvo</t>
  </si>
  <si>
    <t>MOTOR DE ELEVACION</t>
  </si>
  <si>
    <t>El motor de elevacion del cabezal presenta desgaste interno en el accionamiento</t>
  </si>
  <si>
    <t>La cuerda del arrancador está reventada</t>
  </si>
  <si>
    <t>El tapón del depósito de aceite está quebrado</t>
  </si>
  <si>
    <t>El oring de la culata está roto (esto genera fuga)</t>
  </si>
  <si>
    <t>La rueda está quebrada</t>
  </si>
  <si>
    <t>BUJIA</t>
  </si>
  <si>
    <t>La bujía está llena de aceite</t>
  </si>
  <si>
    <t>GUIA</t>
  </si>
  <si>
    <t>Uno de los resortes de la guía de pistones está quebrada</t>
  </si>
  <si>
    <t>Los retenedores están quemados (sobre uso)</t>
  </si>
  <si>
    <t>ESTRIBO</t>
  </si>
  <si>
    <t>Los tornillos del estribo están flojos</t>
  </si>
  <si>
    <t>ASIENTO</t>
  </si>
  <si>
    <t>Se cambiará la bujía por mantenimiento</t>
  </si>
  <si>
    <t>Los resortes de la guía de pistones están quebrados</t>
  </si>
  <si>
    <t>La culata tiene fuga interna</t>
  </si>
  <si>
    <t>Le falta un tornillo al estribo</t>
  </si>
  <si>
    <t>La bujía está llena de hollín</t>
  </si>
  <si>
    <t>Los pistones presentan desgaste (rebaba)</t>
  </si>
  <si>
    <t>El cabezal tiene reventada la válvula chem</t>
  </si>
  <si>
    <t>El estribo está quebrado</t>
  </si>
  <si>
    <t>No trae los tornillos del estribo</t>
  </si>
  <si>
    <t>La bujía no genera chispa</t>
  </si>
  <si>
    <t>Los pistones presentan desgaste (poroso)</t>
  </si>
  <si>
    <t>El cabezal presenta desgaste en la válvula de retención</t>
  </si>
  <si>
    <t>El tanque este quebrado</t>
  </si>
  <si>
    <t>CHASIS</t>
  </si>
  <si>
    <t>El chasis está quebrado</t>
  </si>
  <si>
    <t>BLOCK</t>
  </si>
  <si>
    <t>El cigüeñal está muy rayado (falta de mantenimiento)</t>
  </si>
  <si>
    <t>La cerámica de los pistones está agrietada</t>
  </si>
  <si>
    <t>El cabezal presenta tiene la válvula de retención quebrada</t>
  </si>
  <si>
    <t>ENROLLADOR</t>
  </si>
  <si>
    <t>El resorte del enrollador está desgastado (no recoge bien el cable)</t>
  </si>
  <si>
    <t>Se deberá pintar el chasis</t>
  </si>
  <si>
    <t>Se quebró una de las bielas del block</t>
  </si>
  <si>
    <t>La cerámica de los pistones está quebrada</t>
  </si>
  <si>
    <t>El cabezal presenta tiene el oring de la válvula de retención roto</t>
  </si>
  <si>
    <t>El resorte del enrollador está quebrado (no recoge el cable)</t>
  </si>
  <si>
    <t>El block de la bomba tiene quebradas las bielas</t>
  </si>
  <si>
    <t>El pistón se quedó pegado en la guía (mala lubricación, falta de mantenimiento)</t>
  </si>
  <si>
    <t>El cabezal presenta fuga interna</t>
  </si>
  <si>
    <t>El cable del enrollador no permite el paso de voltaje (el equipo no enciende)</t>
  </si>
  <si>
    <t>El block tiene torcida la guía del pistón</t>
  </si>
  <si>
    <t>La guía de los pistones está calcificada</t>
  </si>
  <si>
    <t>El cabezal tiene pegado el by-pass</t>
  </si>
  <si>
    <t>El cable del enrollador tiene empalmes</t>
  </si>
  <si>
    <t>El block está reventado</t>
  </si>
  <si>
    <t>La guía de pistones tiene rayada la camisa del pistón</t>
  </si>
  <si>
    <t>El cabezal tiene rotos los orings del by-pass</t>
  </si>
  <si>
    <t>El daño de la biela provocó que se dañara el cigüeñal (muy rayado)</t>
  </si>
  <si>
    <t>RETENEDORES</t>
  </si>
  <si>
    <t>Los retenedores de aceite de la bomba están fugando</t>
  </si>
  <si>
    <t>El cabezal tiene desgastados los orings del by-pass</t>
  </si>
  <si>
    <t>VISOR</t>
  </si>
  <si>
    <t>El visor de aceite está manchado</t>
  </si>
  <si>
    <t>Los retenedores de aceite de la bomba están fugando (se mezcla el aceite con el agua)</t>
  </si>
  <si>
    <t>El cabezal tiene barrida la rosca de la salida de alta presión</t>
  </si>
  <si>
    <t>El visor de aceite fuga por el empaque</t>
  </si>
  <si>
    <t>Los retenedores de agua están fugando</t>
  </si>
  <si>
    <t>El codo de entrada de agua tiene barrida la rosca</t>
  </si>
  <si>
    <t>El visor del block está quebrado</t>
  </si>
  <si>
    <t>Los retenedores intermedios están fugando</t>
  </si>
  <si>
    <t>El codo de alta presión tiene barrida la rosca</t>
  </si>
  <si>
    <t>BOQUILLA</t>
  </si>
  <si>
    <t>La boquilla de ranuras presenta desgaste</t>
  </si>
  <si>
    <t>ROL/BLOCK</t>
  </si>
  <si>
    <t>El rol delantero presenta desgaste en los balines (genera fuerte sonido)</t>
  </si>
  <si>
    <t xml:space="preserve">Los orings de la hembrilla están rotos </t>
  </si>
  <si>
    <t>El codo de entrada de agua está reventado</t>
  </si>
  <si>
    <t>La boquilla de ranuras está quebrada</t>
  </si>
  <si>
    <t>Los tornillos de las bielas están flojos</t>
  </si>
  <si>
    <t>Los orings de los tapones de las válvulas presentan desgaste</t>
  </si>
  <si>
    <t>El codo de alta presión está reventado</t>
  </si>
  <si>
    <t>La boquilla de pisos presenta desgaste</t>
  </si>
  <si>
    <t>El pistón está rayado (desgastado)</t>
  </si>
  <si>
    <t>En general los retenedores de la bomba presentan desgaste por uso</t>
  </si>
  <si>
    <t>La boquilla de pisos está quebrada</t>
  </si>
  <si>
    <t>El retenedor delantero del rol actualmente no fuga, se recomienda sustituirlo por mantenimiento</t>
  </si>
  <si>
    <t>En general los retenedores de la bomba y las válvulas presentan desgaste por uso</t>
  </si>
  <si>
    <t>El acople rápido de la salida de alta presión se queda pegado</t>
  </si>
  <si>
    <t>La boquilla de pisos está obstruida</t>
  </si>
  <si>
    <t>ACCIONAMIENTO</t>
  </si>
  <si>
    <t>El disco oscilante presenta desgaste en los balines</t>
  </si>
  <si>
    <t>Actualmente los retenedores no están fugando pero se recomienda sustituirlos por mantenimiento preventivo</t>
  </si>
  <si>
    <t>FILTRO DE AGUA</t>
  </si>
  <si>
    <t>El filtro de agua está saturado (se recomienda instalar filtro de agua domestico)</t>
  </si>
  <si>
    <t>ACCESORIOS</t>
  </si>
  <si>
    <t>Le falta un tubo</t>
  </si>
  <si>
    <t>El disco oscilante presenta desgaste en el disco</t>
  </si>
  <si>
    <t>VALVUAS</t>
  </si>
  <si>
    <t>Las canastas de las válvulas están quebradas</t>
  </si>
  <si>
    <t>El filtro de agua está roto (se recomienda instalar filtro de agua domestico)</t>
  </si>
  <si>
    <t>El tubo está obstruido de basura</t>
  </si>
  <si>
    <t>Los resortes de los pistones están quebrados</t>
  </si>
  <si>
    <t>Las válvulas presentan desgaste en el asiento (no sellan)</t>
  </si>
  <si>
    <t>TRANSMISION</t>
  </si>
  <si>
    <t>Los piñones satelitales están quebrados</t>
  </si>
  <si>
    <t>El codo de presenta desgaste</t>
  </si>
  <si>
    <t>Uno de los resortes de los pistones está quebrado</t>
  </si>
  <si>
    <t>Se encontró basura en las válvulas</t>
  </si>
  <si>
    <t>TARNSMISION</t>
  </si>
  <si>
    <t>La transmisión presenta desgaste en el vástago donde acopla el plato de distribución</t>
  </si>
  <si>
    <t>El codo está quebrado</t>
  </si>
  <si>
    <t>Los pistones están trabados en la guía (mala lubricación, falta de cambio de aceite)</t>
  </si>
  <si>
    <t>La válvula de retención no sella</t>
  </si>
  <si>
    <t>Los pistones están desgastados</t>
  </si>
  <si>
    <t>PALPADOR</t>
  </si>
  <si>
    <t>El palpador no está limpiando el filtro</t>
  </si>
  <si>
    <t>Los pistones presentan desgaste</t>
  </si>
  <si>
    <t>Para sacar las válvulas es necesario dañar los tapones de las válvulas</t>
  </si>
  <si>
    <t>La guía está calcificada en el asiento de las válvulas</t>
  </si>
  <si>
    <t>BY-PASS</t>
  </si>
  <si>
    <t>Los orings del by-pass están desgastados</t>
  </si>
  <si>
    <t>El oring del contenedor de aceite está picado</t>
  </si>
  <si>
    <t>Los orings del by-pass están rotos</t>
  </si>
  <si>
    <t>Fuga por el oring de la guía de los pistones</t>
  </si>
  <si>
    <t>El oring de la guía no sella (fuga aceite)</t>
  </si>
  <si>
    <t>El by-pass físicamente se ve bien pero no sella con el canal de carga (fuga interna)</t>
  </si>
  <si>
    <t>Fuga por los retenedores de la guía de pistones</t>
  </si>
  <si>
    <t>El by-pass presenta desgaste en el vástago</t>
  </si>
  <si>
    <t>La boquilla tira el chorro directo (inyector interno desgastado).</t>
  </si>
  <si>
    <t>FUGA BOMBA</t>
  </si>
  <si>
    <t>El retenedor del cigüeñal de la bomba está fugando</t>
  </si>
  <si>
    <t>El by-pass tiene quebrado el resorte del pin</t>
  </si>
  <si>
    <t>El chorro de la boquilla no es uniforme (desgaste en el inyector).</t>
  </si>
  <si>
    <t>El by-pass no tiene la baquelita</t>
  </si>
  <si>
    <t>El inyector de la boquilla tiene suciedad</t>
  </si>
  <si>
    <t>Los retenedores de agua de la bomba están fugando</t>
  </si>
  <si>
    <t>El by-pass se queda pegado en el canal de carga</t>
  </si>
  <si>
    <t>Actualmente los retenedores no están fugando, pero se recomienda sustituirlos por mantenimiento preventivo</t>
  </si>
  <si>
    <t xml:space="preserve">La boquilla fuga por el oring en el acople de la pistola </t>
  </si>
  <si>
    <t>Los retenedores intermedios de la bomba están fugando</t>
  </si>
  <si>
    <t>El asiento del by-pass presenta desgaste</t>
  </si>
  <si>
    <t xml:space="preserve">La boquilla fuga por el oring de la cabeza </t>
  </si>
  <si>
    <t>Los orings de la hembrilla de la bomba están rotos (fuga de agua)</t>
  </si>
  <si>
    <t>El cabezal presenta desgaste en el canal de carga, pero aún tiene vida útil aprovechable</t>
  </si>
  <si>
    <t>La boquilla no genera la presión adecuada del equipo</t>
  </si>
  <si>
    <t>Los orings de los tapones de las válvulas están rotos (fuga de agua)</t>
  </si>
  <si>
    <t>El canal de carga está rayado (esto ocasiona que los orings del by-pass se rompan)</t>
  </si>
  <si>
    <t>La boquilla tiene obstruido el inyector esto genera un alto consumo en el amperaje del equipo</t>
  </si>
  <si>
    <t>Las cerámicas están agrietadas</t>
  </si>
  <si>
    <t>PIN ACCIONANTE</t>
  </si>
  <si>
    <t>El pin accionante tiene quebrado el resorte</t>
  </si>
  <si>
    <t>La manguera está reventada</t>
  </si>
  <si>
    <t>Las cerámicas están quebradas</t>
  </si>
  <si>
    <t>El pin accionante fuga</t>
  </si>
  <si>
    <t>El embolo del by-pass tiene desgaste en los orings</t>
  </si>
  <si>
    <t xml:space="preserve">La manguera tiene picado el oring </t>
  </si>
  <si>
    <t>Las cerámicas estában sucias (se limpiaron y funciona adecuadamente)</t>
  </si>
  <si>
    <t>El pin accionante no tiene el gorrito plástico</t>
  </si>
  <si>
    <t>El resorte del by-pass está oxidado</t>
  </si>
  <si>
    <t>La manguera no tiene el oring</t>
  </si>
  <si>
    <t>Las arandelas de los pistones están desgastadas</t>
  </si>
  <si>
    <t>INYECTOR</t>
  </si>
  <si>
    <t xml:space="preserve">El inyector tiene rotos los orings </t>
  </si>
  <si>
    <t>El equipo no tiene el balín del plato de válvulas</t>
  </si>
  <si>
    <t>La rosca de la manguera está barrida</t>
  </si>
  <si>
    <t>El inyector está obstruido</t>
  </si>
  <si>
    <t>PISTOLA</t>
  </si>
  <si>
    <t>La pistola no sella el flujo de agua</t>
  </si>
  <si>
    <t>La válvula de alivio está fugando</t>
  </si>
  <si>
    <t>El inyector está pegado, para sacarlo hay que dañarlo</t>
  </si>
  <si>
    <t>Los resortes del pin accionante están quebrados</t>
  </si>
  <si>
    <t>La pistola presenta fuga</t>
  </si>
  <si>
    <t>FUGA INTERNA, BOMBA</t>
  </si>
  <si>
    <t>Los orings del by-pass están muy desgastados</t>
  </si>
  <si>
    <t>RETENCION</t>
  </si>
  <si>
    <t>La válvula de retención tiene roto el oring</t>
  </si>
  <si>
    <t>Los resortes del pin accionante están desgastados</t>
  </si>
  <si>
    <t>La carcasa de la pistola está quebrada</t>
  </si>
  <si>
    <t>La válvula de retención está desgastada</t>
  </si>
  <si>
    <t>Los oring del pin accionante fugan</t>
  </si>
  <si>
    <t>El gatillo de la pistola está muy duro</t>
  </si>
  <si>
    <t>CHEM</t>
  </si>
  <si>
    <t>La válvula chem tiene desgastado el oring (fuga)</t>
  </si>
  <si>
    <t>El gatillo de la pistola se queda pegado</t>
  </si>
  <si>
    <t>La válvula chem está quebrada</t>
  </si>
  <si>
    <t>MANGUERA DE ALTA</t>
  </si>
  <si>
    <t>La manguera que va del cabezal a la clavija de nudos está reventada</t>
  </si>
  <si>
    <t>El by-pass tiene rebaba en el pin que sella con el asiento</t>
  </si>
  <si>
    <t>BORNE</t>
  </si>
  <si>
    <t>Los bornes están desgastados</t>
  </si>
  <si>
    <t>La manguera que va del cabezal a la clavija de nudos está oxidada</t>
  </si>
  <si>
    <t>El asiento presentad desgaste</t>
  </si>
  <si>
    <t>El manómetro no tiene glicerina</t>
  </si>
  <si>
    <t>La manguera que va del cabezal a la clavija de nudos está fuga por el oring</t>
  </si>
  <si>
    <t>Los orings del asiento de las válvulas están rotos</t>
  </si>
  <si>
    <t>El manómetro está reventado</t>
  </si>
  <si>
    <t>La manguera del manómetro no tiene la arandela</t>
  </si>
  <si>
    <t>La válvula de retención está muy desgastada</t>
  </si>
  <si>
    <t>El manómetro tiene manchada la caratula</t>
  </si>
  <si>
    <t>La manguera del manómetro está reventada</t>
  </si>
  <si>
    <t>La válvula de retención tiene roto el oring que sella con el cabezal</t>
  </si>
  <si>
    <t>ENTRADA DE AGUA</t>
  </si>
  <si>
    <t>La entrada de agua está quebrada</t>
  </si>
  <si>
    <t>A la válvula de retención le falta el resorte</t>
  </si>
  <si>
    <t>Fuga por la entrada de agua</t>
  </si>
  <si>
    <t>La válvula de retención está deformada</t>
  </si>
  <si>
    <t>Se recomienda utilizar filtro de agua</t>
  </si>
  <si>
    <t>La válvula chem presenta fugas</t>
  </si>
  <si>
    <t>VALVULAS</t>
  </si>
  <si>
    <t>Las válvulas están quebradas</t>
  </si>
  <si>
    <t>El filtro de agua está roto</t>
  </si>
  <si>
    <t>Las válvulas presentan desgaste en el asiento</t>
  </si>
  <si>
    <t>A el filtro de agua le falta un empaque (genera fuga)</t>
  </si>
  <si>
    <t>El filtro de agua está saturado</t>
  </si>
  <si>
    <t>DAÑO EN TRANSMISIÓN</t>
  </si>
  <si>
    <t>El block de la bomba tiene torcidas la guía de los pistones</t>
  </si>
  <si>
    <t>CONTROL DE REVOLUCIONES</t>
  </si>
  <si>
    <t>El control de revoluciones tiene rota la funda</t>
  </si>
  <si>
    <t>La manguera tiene varios empalmes (se recomienda sustituirla)</t>
  </si>
  <si>
    <t>Fuga por el control de revoluciones</t>
  </si>
  <si>
    <t>Los acoples de la manguera están fugando (se deben cambiar los orings)</t>
  </si>
  <si>
    <t>La manguera tiene el forro metálico expuesto (es peligroso manipularla y está propensa a reventarse</t>
  </si>
  <si>
    <t>La entrada de agua tiene barrida la rosca</t>
  </si>
  <si>
    <t>En la entrada de agua le falta el filtro de malla</t>
  </si>
  <si>
    <t>A el filtro de agua le falta un empaque (genera perdida de presión por entrada de aire)</t>
  </si>
  <si>
    <t>LANZA</t>
  </si>
  <si>
    <t>La lanza presenta fuga en la punta</t>
  </si>
  <si>
    <t>La lanza está fugando en la parte que acopla con la pistola</t>
  </si>
  <si>
    <t>La lanza está torcida</t>
  </si>
  <si>
    <t>La boquilla que trae el equipo no es la adecuada (genera un consumo excesivo de amperaje)</t>
  </si>
  <si>
    <t>El equipo no trae boquilla</t>
  </si>
  <si>
    <t>BOMBA</t>
  </si>
  <si>
    <t>La bomba de combustible no tiene presión</t>
  </si>
  <si>
    <t>La boquilla turbo tira el chorro directo (el inyector está malo)</t>
  </si>
  <si>
    <t>ELECTRO</t>
  </si>
  <si>
    <t>La electroválvula tiene saturado el filtro de combustible</t>
  </si>
  <si>
    <t>La boquilla presenta desgaste, ya no genera la presión normal del equipo</t>
  </si>
  <si>
    <t>FILTRO DIESEL</t>
  </si>
  <si>
    <t>El filtro de combustible está roto</t>
  </si>
  <si>
    <t>La lanza presenta fugas</t>
  </si>
  <si>
    <t>El filtro de combustible está saturado de suciedad (se deberá lavar el tanque)</t>
  </si>
  <si>
    <t>El equipo no trae el filtro de combustible</t>
  </si>
  <si>
    <t>El acople de las boquillas está fugando (le falta el oring)</t>
  </si>
  <si>
    <t>CALDERA</t>
  </si>
  <si>
    <t>La tubería de combustible está torcida</t>
  </si>
  <si>
    <t>El acople de las boquillas está fugando (el oring está picado)</t>
  </si>
  <si>
    <t>La tubería de combustible presenta fuga (por el racor)</t>
  </si>
  <si>
    <t xml:space="preserve">Le falta una de las boquillas </t>
  </si>
  <si>
    <t>La tubería de combustible presenta fuga (por la tuerca)</t>
  </si>
  <si>
    <t xml:space="preserve">El equipo no trae las boquillas </t>
  </si>
  <si>
    <t>El inyector tiene el filtro saturado</t>
  </si>
  <si>
    <t>Las boquillas presentan desgaste</t>
  </si>
  <si>
    <t>Se recomienda sustituir el inyector por mantenimiento preventivo</t>
  </si>
  <si>
    <t>La boquilla que trae el equipo no es la adecuada</t>
  </si>
  <si>
    <t xml:space="preserve">El electrodo no genera chispa </t>
  </si>
  <si>
    <t>Se recomienda sustituir el electrodo por mantenimiento preventivo</t>
  </si>
  <si>
    <t>SERPENTIN</t>
  </si>
  <si>
    <t>El serpentín está botando virutas de herrumbre (los minerales se adhieren a las paredes y corroen la célula)</t>
  </si>
  <si>
    <t>El serpentín está calcificado (el diámetro de la tubería se reduce por la formación de calcio en las paredes de la tubería)</t>
  </si>
  <si>
    <t>El serpentín está saturado de hollín, se deberá lavar con rm 31</t>
  </si>
  <si>
    <t>SUELO</t>
  </si>
  <si>
    <t>La piedra refractaria de la caldera está agrietada</t>
  </si>
  <si>
    <t>La cuerda de la caldera está rota</t>
  </si>
  <si>
    <t>Se recomienda sustituir la cuerda del suelo de la caldera por mantenimiento preventivo</t>
  </si>
  <si>
    <t>El suelo de la caldera está saturado de diésel</t>
  </si>
  <si>
    <t>TRANSFORMADOR</t>
  </si>
  <si>
    <t>El transformador de ignición no genera chispa</t>
  </si>
  <si>
    <t>El transformador de ignición tiene agrietada la masa</t>
  </si>
  <si>
    <t>RM 110</t>
  </si>
  <si>
    <t>Protege el serpentín de calefacción de forma eficaz contra la calcificación ph = 9</t>
  </si>
  <si>
    <t>RM 111</t>
  </si>
  <si>
    <t>Protege el serpentín contra aguas negras (formación de óxido en el serpentín con agua blanda) ph = 12,3</t>
  </si>
  <si>
    <t>RM 101</t>
  </si>
  <si>
    <t>Producto de servicio para la descalcificación del serpentín ph = 0</t>
  </si>
  <si>
    <t>DIAGNOSTICO_HIDROLAVADORA_K</t>
  </si>
  <si>
    <t>BUSCAR:</t>
  </si>
  <si>
    <t>Número de artículo</t>
  </si>
  <si>
    <t>Descripción del artículo</t>
  </si>
  <si>
    <t>Código de almacén</t>
  </si>
  <si>
    <t>LOCALIZACION</t>
  </si>
  <si>
    <t>En stock</t>
  </si>
  <si>
    <t>A8-631-273</t>
  </si>
  <si>
    <t>Interruptor MANUAL p/ BRC 38 / 30 C</t>
  </si>
  <si>
    <t>CAJA 2</t>
  </si>
  <si>
    <t>A9-761-200</t>
  </si>
  <si>
    <t>REGLETA DE BORNES HD 6/15</t>
  </si>
  <si>
    <t>CAJA 9</t>
  </si>
  <si>
    <t>A5-029-020</t>
  </si>
  <si>
    <t>Tubo de Cilindro BARREDOR p/ KMR 1700****</t>
  </si>
  <si>
    <t>GAV 491</t>
  </si>
  <si>
    <t>SEGURO p/ HD 855S HD 658 HD 5/12</t>
  </si>
  <si>
    <t>GAV 424</t>
  </si>
  <si>
    <t>A6-310-066</t>
  </si>
  <si>
    <t>Mango ESTRELLADO p/ KMR 1700</t>
  </si>
  <si>
    <t>GAV 587</t>
  </si>
  <si>
    <t>A8-751-195</t>
  </si>
  <si>
    <t>Bomba para HD 3.8/35</t>
  </si>
  <si>
    <t>FF4</t>
  </si>
  <si>
    <t>A8-751-216</t>
  </si>
  <si>
    <t>Guía p/ HD 3.4</t>
  </si>
  <si>
    <t>II4</t>
  </si>
  <si>
    <t>C0-000-035</t>
  </si>
  <si>
    <t>Arrancador Completo GX 160</t>
  </si>
  <si>
    <t>O4</t>
  </si>
  <si>
    <t>D1-112-979</t>
  </si>
  <si>
    <t>INTERRPTOR DE 20A</t>
  </si>
  <si>
    <t>GAV 948</t>
  </si>
  <si>
    <t>D2-122-307</t>
  </si>
  <si>
    <t>SARANDA 1.5 PARA TRF 300</t>
  </si>
  <si>
    <t>-</t>
  </si>
  <si>
    <t>A2-645-018</t>
  </si>
  <si>
    <t>Acople Rápido Metálico con AquaStop en 3/4"</t>
  </si>
  <si>
    <t>D3</t>
  </si>
  <si>
    <t>A5-035-810</t>
  </si>
  <si>
    <t>Manguito para B60</t>
  </si>
  <si>
    <t>GAV 500</t>
  </si>
  <si>
    <t>Guía de Pistones p/ HD 7/12</t>
  </si>
  <si>
    <t>B2</t>
  </si>
  <si>
    <t>Oring 9.0 X 1.5 p/ HD 1050</t>
  </si>
  <si>
    <t>GAV 2</t>
  </si>
  <si>
    <t>A6-362-386</t>
  </si>
  <si>
    <t>Oring 5.0 X 1.5 p/ HD 1000CHD 651HDS 1055HDS 557CIHDS 558HDS 655HDS 695HDS 895 - 7/11</t>
  </si>
  <si>
    <t>GAV 86</t>
  </si>
  <si>
    <t>A6-362-079</t>
  </si>
  <si>
    <t>ORING 18.0 x 2.5 PARA HDS 500CIHDS 655HDS 700BHDS 895 - 7/11</t>
  </si>
  <si>
    <t>GAV 590</t>
  </si>
  <si>
    <t>a9-802-164</t>
  </si>
  <si>
    <t>Adaptador hembra de 1/4</t>
  </si>
  <si>
    <t>T3</t>
  </si>
  <si>
    <t>A4-055-229</t>
  </si>
  <si>
    <t>Tapa frontal para FC 5</t>
  </si>
  <si>
    <t>RR1</t>
  </si>
  <si>
    <t>A5-195-350</t>
  </si>
  <si>
    <t>Empaque de ConTENEDOR  p/ DS 5.800</t>
  </si>
  <si>
    <t>M1</t>
  </si>
  <si>
    <t>B9-391-007</t>
  </si>
  <si>
    <t>FILTRO DE DETERGENTE PARA HD 585</t>
  </si>
  <si>
    <t>CAJA 14</t>
  </si>
  <si>
    <t>A4-060-820</t>
  </si>
  <si>
    <t>Guía de Pistones P/ HD 801 - 830 BS - 525</t>
  </si>
  <si>
    <t>A3</t>
  </si>
  <si>
    <t>A6-343-187</t>
  </si>
  <si>
    <t>SEGURO p/ CW 50</t>
  </si>
  <si>
    <t>GAV 149</t>
  </si>
  <si>
    <t>Interruptor p/ BR 30/4</t>
  </si>
  <si>
    <t>GAV 1672</t>
  </si>
  <si>
    <t>A8-634-380</t>
  </si>
  <si>
    <t>Soporte de SQUEEGEE</t>
  </si>
  <si>
    <t>CAJA 5</t>
  </si>
  <si>
    <t>A8-754-864</t>
  </si>
  <si>
    <t>FLANGER p/ HD 3.4</t>
  </si>
  <si>
    <t>I4651500</t>
  </si>
  <si>
    <t>Rueda Izquierda para Roomba S9</t>
  </si>
  <si>
    <t>DDD1</t>
  </si>
  <si>
    <t>Deposito de agua limpia para FC 3</t>
  </si>
  <si>
    <t>K2</t>
  </si>
  <si>
    <t>A5-032-286</t>
  </si>
  <si>
    <t>Pieza de SUJECION p/ Rueda NT 65/2</t>
  </si>
  <si>
    <t>GAV 812</t>
  </si>
  <si>
    <t>A5-645-676</t>
  </si>
  <si>
    <t>TERMINAL de BloqueO p/ HD 4/9 C</t>
  </si>
  <si>
    <t>L4</t>
  </si>
  <si>
    <t>A6-362-377</t>
  </si>
  <si>
    <t>Oring de Bornerp/ HD 9/50 GE</t>
  </si>
  <si>
    <t>GAV 313</t>
  </si>
  <si>
    <t>A6-367-039</t>
  </si>
  <si>
    <t>RETENEDOR 35 X 52   HDS 1055</t>
  </si>
  <si>
    <t>4.8 A</t>
  </si>
  <si>
    <t>A7-312-153</t>
  </si>
  <si>
    <t>Arandela KM 70/20</t>
  </si>
  <si>
    <t>GAV 925</t>
  </si>
  <si>
    <t>A8-621-970</t>
  </si>
  <si>
    <t>PERRILLA p/ CARACOL WIND HANDLE</t>
  </si>
  <si>
    <t>GAV 1168</t>
  </si>
  <si>
    <t>B9-389-340</t>
  </si>
  <si>
    <t>Manguera p/ HD 585 VERSION NUEVA</t>
  </si>
  <si>
    <t>Z4</t>
  </si>
  <si>
    <t>A9-751-050</t>
  </si>
  <si>
    <t>Manguera de 20 MTRS p/ HD 6/15</t>
  </si>
  <si>
    <t>Y2</t>
  </si>
  <si>
    <t>B9-302-301</t>
  </si>
  <si>
    <t>Borner de APOYO</t>
  </si>
  <si>
    <t>GAV 486</t>
  </si>
  <si>
    <t>A2-645-156</t>
  </si>
  <si>
    <t>Manguera de Alimentación de 3/4" de 10 mts (con acoples)</t>
  </si>
  <si>
    <t>A5-321-307</t>
  </si>
  <si>
    <t>Asidero p/ HD 855</t>
  </si>
  <si>
    <t>CAJA 7</t>
  </si>
  <si>
    <t>A8-621-748</t>
  </si>
  <si>
    <t>Cubierta Turbina de Aspiración CARACOL AB</t>
  </si>
  <si>
    <t>T2</t>
  </si>
  <si>
    <t>a4-553-249</t>
  </si>
  <si>
    <t>Pistón p/ HDS 1055 Y 655</t>
  </si>
  <si>
    <t>J4</t>
  </si>
  <si>
    <t>A8-635-958</t>
  </si>
  <si>
    <t>Labio p/ CHARIORT 3</t>
  </si>
  <si>
    <t>D4-112-022</t>
  </si>
  <si>
    <t>EJE PARA ES 650</t>
  </si>
  <si>
    <t>GAV 1113</t>
  </si>
  <si>
    <t>a8-621-611</t>
  </si>
  <si>
    <t>CepilloInferior CV 66/2</t>
  </si>
  <si>
    <t>NN1</t>
  </si>
  <si>
    <t>A8-634-534</t>
  </si>
  <si>
    <t>Squeegee Blade, WET/DRY VAC RECOVERY 18</t>
  </si>
  <si>
    <t>D1</t>
  </si>
  <si>
    <t>A5-115-796</t>
  </si>
  <si>
    <t>ARANDELA PARA HDS 558 655 895  - 7/11</t>
  </si>
  <si>
    <t>GAV 36</t>
  </si>
  <si>
    <t>A6-294-008</t>
  </si>
  <si>
    <t>RM KLEEN MCT 511 4X1LT</t>
  </si>
  <si>
    <t>LL2</t>
  </si>
  <si>
    <t>A6-421-216</t>
  </si>
  <si>
    <t>MANOMETRO PARA PISTOLA A4.775-296 Y LAS SIMILARES A ELLA</t>
  </si>
  <si>
    <t>CAJA 3</t>
  </si>
  <si>
    <t>A6-631-081</t>
  </si>
  <si>
    <t>Interruptor (HDS 895 / HDS 655)</t>
  </si>
  <si>
    <t>L2</t>
  </si>
  <si>
    <t>A8-619-871</t>
  </si>
  <si>
    <t>Set de Carbones p/ VAC PAC 6</t>
  </si>
  <si>
    <t>T4</t>
  </si>
  <si>
    <t>A2-643-242</t>
  </si>
  <si>
    <t>Boquilla Ajustable p/ K 520M k 620</t>
  </si>
  <si>
    <t>C2</t>
  </si>
  <si>
    <t>A5-111-316</t>
  </si>
  <si>
    <t>Manguito DISTANCIADOR p/ B 60</t>
  </si>
  <si>
    <t>GAV 830</t>
  </si>
  <si>
    <t>A4-760-468</t>
  </si>
  <si>
    <t>Boquilla Espátula P/K2.050</t>
  </si>
  <si>
    <t>C3</t>
  </si>
  <si>
    <t>A6-414-954</t>
  </si>
  <si>
    <t>Contenedor para lanza de espuma industrial amarilla.</t>
  </si>
  <si>
    <t>EEE3</t>
  </si>
  <si>
    <t>Filtro HEPA p/ DS 5500 - DS 5600</t>
  </si>
  <si>
    <t>S3</t>
  </si>
  <si>
    <t>A9-763-068</t>
  </si>
  <si>
    <t>Manguera INDICADORA de NIVEL de Agua</t>
  </si>
  <si>
    <t>GAV 1187</t>
  </si>
  <si>
    <t>A2-112-011</t>
  </si>
  <si>
    <t>Boquilla p/ Lanza Innofoam p/ Easy Lock</t>
  </si>
  <si>
    <t>O3</t>
  </si>
  <si>
    <t>A5-110-955</t>
  </si>
  <si>
    <t>MANGUITO</t>
  </si>
  <si>
    <t>GAV 103</t>
  </si>
  <si>
    <t>A8-622-256</t>
  </si>
  <si>
    <t>Pin p/ BDP 51/1500</t>
  </si>
  <si>
    <t>GAV 443</t>
  </si>
  <si>
    <t>Set de TapaS de Rueda p/ HD 5/12</t>
  </si>
  <si>
    <t>N4</t>
  </si>
  <si>
    <t>A5-035-868</t>
  </si>
  <si>
    <t>Soporte rodillo de rechazo</t>
  </si>
  <si>
    <t>CAJA 8</t>
  </si>
  <si>
    <t>Retenedor Intermedio p/ HD 1090, HD 10/25</t>
  </si>
  <si>
    <t>6.3 B</t>
  </si>
  <si>
    <t>B9-302-306</t>
  </si>
  <si>
    <t>GAV 184</t>
  </si>
  <si>
    <t>Embolo  p/ HD 5/12 C</t>
  </si>
  <si>
    <t>J3</t>
  </si>
  <si>
    <t>A6-476-047</t>
  </si>
  <si>
    <t>Filtro de Bomba de Aire p/ km 105</t>
  </si>
  <si>
    <t>GAV 826</t>
  </si>
  <si>
    <t>A8-754-219</t>
  </si>
  <si>
    <t>Tapón p/ HD 3.4</t>
  </si>
  <si>
    <t>5.3 A</t>
  </si>
  <si>
    <t>A5-050-415</t>
  </si>
  <si>
    <t>Empaque de Aspiración p/ BR 40-10, BR 35/12</t>
  </si>
  <si>
    <t>A9-112-014</t>
  </si>
  <si>
    <t>Pistola G 2500</t>
  </si>
  <si>
    <t>B3</t>
  </si>
  <si>
    <t>B9-385-245</t>
  </si>
  <si>
    <t>CONTACTOR 32A/220V PARA HDC 24/15</t>
  </si>
  <si>
    <t>D1-110-539</t>
  </si>
  <si>
    <t>PUÑO PARA ES 650</t>
  </si>
  <si>
    <t>OO2</t>
  </si>
  <si>
    <t>A6-321-152</t>
  </si>
  <si>
    <t>Mango de Cable de ConEXION p/ B40</t>
  </si>
  <si>
    <t>A6-363-372</t>
  </si>
  <si>
    <t>Oring 13 X 2</t>
  </si>
  <si>
    <t>GAV 1032</t>
  </si>
  <si>
    <t>A6-630-763</t>
  </si>
  <si>
    <t>Interruptor de NIVEL p/ SGV 6/5</t>
  </si>
  <si>
    <t>GAV 892</t>
  </si>
  <si>
    <t>A9-002-188</t>
  </si>
  <si>
    <t>Culata p/ K 5</t>
  </si>
  <si>
    <t>P4</t>
  </si>
  <si>
    <t>A9-765-801</t>
  </si>
  <si>
    <t>MicroInterruptor VC 4S</t>
  </si>
  <si>
    <t>N2</t>
  </si>
  <si>
    <t>A7-306-040</t>
  </si>
  <si>
    <t>Tornillo p/ HDC 24/15</t>
  </si>
  <si>
    <t>GAV 572</t>
  </si>
  <si>
    <t>A8-613-909</t>
  </si>
  <si>
    <t>Tapón p/ AXCESS 12</t>
  </si>
  <si>
    <t>4.5 C</t>
  </si>
  <si>
    <t>B9-340-267</t>
  </si>
  <si>
    <t>Tubo de Aspiración con Seguro p/ VC 5100</t>
  </si>
  <si>
    <t>EE2</t>
  </si>
  <si>
    <t>A5-035-666</t>
  </si>
  <si>
    <t>Manguera PERFILADA p/ B 150 R</t>
  </si>
  <si>
    <t>Empaque de Tapa (MTS) p/ BR 530 TORNADO BR 45/40 BR 40/25 BR 75/140 B 60 - KM 100/100</t>
  </si>
  <si>
    <t>M4</t>
  </si>
  <si>
    <t>D1-111-269</t>
  </si>
  <si>
    <t>ROL 6303Z</t>
  </si>
  <si>
    <t>G2</t>
  </si>
  <si>
    <t>A2-889-005</t>
  </si>
  <si>
    <t>Boquilla de Suelos para SGV 6/5</t>
  </si>
  <si>
    <t>MM3</t>
  </si>
  <si>
    <t>B9-302-298</t>
  </si>
  <si>
    <t>Borner</t>
  </si>
  <si>
    <t>GAV 185</t>
  </si>
  <si>
    <t>C7-401-151</t>
  </si>
  <si>
    <t>ROLL 62201-2RSI</t>
  </si>
  <si>
    <t>4.7 A</t>
  </si>
  <si>
    <t>D2-121-159</t>
  </si>
  <si>
    <t>EMBUDO PARA TRF 70</t>
  </si>
  <si>
    <t>UU4</t>
  </si>
  <si>
    <t>A6-386-575</t>
  </si>
  <si>
    <t>UNION PARA BR 400</t>
  </si>
  <si>
    <t>GAV 597</t>
  </si>
  <si>
    <t>A6-473-557</t>
  </si>
  <si>
    <t>Bomba de COMBUSTIBLE</t>
  </si>
  <si>
    <t>A7-312-289</t>
  </si>
  <si>
    <t>DISCO PARA BR 55/60</t>
  </si>
  <si>
    <t>GAV 519</t>
  </si>
  <si>
    <t>Filtro HEPA p/ DS 5.800</t>
  </si>
  <si>
    <t>A4-775-298</t>
  </si>
  <si>
    <t>Pistola de PROYECCION MANUAL p/ HD 651</t>
  </si>
  <si>
    <t>B4</t>
  </si>
  <si>
    <t>A6-396-013</t>
  </si>
  <si>
    <t>Manguera HIDRAULICA p/ KM 105</t>
  </si>
  <si>
    <t>U4</t>
  </si>
  <si>
    <t>A6-431-288</t>
  </si>
  <si>
    <t>Cobertor de Cable p/ HD 9/50</t>
  </si>
  <si>
    <t>B9-385-252</t>
  </si>
  <si>
    <t>RELAY 12-18A 380/440 V PARA HDC 24/15</t>
  </si>
  <si>
    <t>N3</t>
  </si>
  <si>
    <t>A4-580-307</t>
  </si>
  <si>
    <t>Válvula p/ HDS 501,K 520</t>
  </si>
  <si>
    <t>GAV 707</t>
  </si>
  <si>
    <t>A6-363-333</t>
  </si>
  <si>
    <t>Oring p/ HD 9/16 ST</t>
  </si>
  <si>
    <t>6.3 G</t>
  </si>
  <si>
    <t>A6-421-358</t>
  </si>
  <si>
    <t>Manometro para Hd 1050</t>
  </si>
  <si>
    <t>Caja Eléctrica p/ K2</t>
  </si>
  <si>
    <t>4.181-010.0</t>
  </si>
  <si>
    <t>Labio de Hule p/ Squegge 1180 Linatex</t>
  </si>
  <si>
    <t>HH4</t>
  </si>
  <si>
    <t>A4-291-012</t>
  </si>
  <si>
    <t>HUSILLO PARA HD 855 S</t>
  </si>
  <si>
    <t>A5-332-403</t>
  </si>
  <si>
    <t>RESORTE HELICOIDAL HD 855 SHD 1050 B</t>
  </si>
  <si>
    <t>5.3 E</t>
  </si>
  <si>
    <t>A5-515-280</t>
  </si>
  <si>
    <t>Rueda deLANTERA BR 40/25</t>
  </si>
  <si>
    <t>J5</t>
  </si>
  <si>
    <t>A6-626-028</t>
  </si>
  <si>
    <t>Bomba PC 100</t>
  </si>
  <si>
    <t>NN5</t>
  </si>
  <si>
    <t>A2-645-099</t>
  </si>
  <si>
    <t>Conexión A p/TO G3/4</t>
  </si>
  <si>
    <t>A4-363-693</t>
  </si>
  <si>
    <t>Anillo de Guarnición</t>
  </si>
  <si>
    <t>GAV 445</t>
  </si>
  <si>
    <t>A6-391-337</t>
  </si>
  <si>
    <t>Manguera de Aspiración p/ B250</t>
  </si>
  <si>
    <t>CAJA 11</t>
  </si>
  <si>
    <t>Bolsa de Papel p/ T 15/1 (10 unds)</t>
  </si>
  <si>
    <t>R4</t>
  </si>
  <si>
    <t>Juego de PiezaS  p/ HD 7/12</t>
  </si>
  <si>
    <t>2.8 A</t>
  </si>
  <si>
    <t>A5-321-378</t>
  </si>
  <si>
    <t>PERILLA PARA HDS 1055-1295-655-695-895</t>
  </si>
  <si>
    <t>MicroInterruptor p/ BD 50/60 BD 43/35</t>
  </si>
  <si>
    <t>GAV 333</t>
  </si>
  <si>
    <t>B9-340-266</t>
  </si>
  <si>
    <t>TUBO DE ASPIRACION PARA VC 5100</t>
  </si>
  <si>
    <t>EE3</t>
  </si>
  <si>
    <t>D2-122-268</t>
  </si>
  <si>
    <t>TAPA PARA TRF 80/90</t>
  </si>
  <si>
    <t>OO3</t>
  </si>
  <si>
    <t>D2-122-308</t>
  </si>
  <si>
    <t>SARANDA N.3 P/ TRF 300</t>
  </si>
  <si>
    <t>ÑÑ4</t>
  </si>
  <si>
    <t>A5-584-010</t>
  </si>
  <si>
    <t>Válvula p/ OC 3</t>
  </si>
  <si>
    <t>GAV 1261</t>
  </si>
  <si>
    <t>RETENEDOR INTERMEDIO HD 1050B- 7/12</t>
  </si>
  <si>
    <t>6.3 F</t>
  </si>
  <si>
    <t>C7-401-180</t>
  </si>
  <si>
    <t>ROL 6004</t>
  </si>
  <si>
    <t>G3</t>
  </si>
  <si>
    <t>D2-121-160</t>
  </si>
  <si>
    <t>TAPA PARA TRF 90</t>
  </si>
  <si>
    <t>OO4</t>
  </si>
  <si>
    <t>C0-000-189</t>
  </si>
  <si>
    <t>ARRANCADOR GX 270</t>
  </si>
  <si>
    <t>O2</t>
  </si>
  <si>
    <t>C0-000-200</t>
  </si>
  <si>
    <t>Tanque de Combustible GX 160</t>
  </si>
  <si>
    <t>A4-055-112</t>
  </si>
  <si>
    <t>Válvula para FC 5-FC 3</t>
  </si>
  <si>
    <t>GAV 1314</t>
  </si>
  <si>
    <t>A4-120-187</t>
  </si>
  <si>
    <t>DISCO OSCILANTE PARA HD 651</t>
  </si>
  <si>
    <t>CAJA 6</t>
  </si>
  <si>
    <t>B9-386-270</t>
  </si>
  <si>
    <t>SOPORTE DE MOTOR PARA HDC</t>
  </si>
  <si>
    <t>CAJA 13</t>
  </si>
  <si>
    <t>Interruptor ON/OFF ASPIS p/ NT 48/1, T 15/1, NT 65/2, DS 5600</t>
  </si>
  <si>
    <t>5.3 D</t>
  </si>
  <si>
    <t>Estribo para NT 65/2</t>
  </si>
  <si>
    <t>HH2</t>
  </si>
  <si>
    <t>A5-034-795</t>
  </si>
  <si>
    <t>Eje p/ BR 40/10</t>
  </si>
  <si>
    <t>GAV 1190</t>
  </si>
  <si>
    <t>B9-385-113</t>
  </si>
  <si>
    <t>PLC para HDC 24/15</t>
  </si>
  <si>
    <t>NN3</t>
  </si>
  <si>
    <t>D1-110-414</t>
  </si>
  <si>
    <t>ANILLO SEGURO</t>
  </si>
  <si>
    <t>TRA 1 A</t>
  </si>
  <si>
    <t>A4-580-237</t>
  </si>
  <si>
    <t>VALVULA PARA HDS 1055,655,895,HD 9/16</t>
  </si>
  <si>
    <t>GAV 911</t>
  </si>
  <si>
    <t>A5-411-173</t>
  </si>
  <si>
    <t>MIRILLA p/ HDC 24/15</t>
  </si>
  <si>
    <t>A6-905-626</t>
  </si>
  <si>
    <t>Escoba Lateral p/ KM 85/50</t>
  </si>
  <si>
    <t>HHH1</t>
  </si>
  <si>
    <t>A8-751-028</t>
  </si>
  <si>
    <t>Arrancador Completo p/ G2800</t>
  </si>
  <si>
    <t>N1</t>
  </si>
  <si>
    <t>A2-884-034</t>
  </si>
  <si>
    <t>Set de Bomba p/ HDS 6/14</t>
  </si>
  <si>
    <t>A1</t>
  </si>
  <si>
    <t>A4-363-690</t>
  </si>
  <si>
    <t>Empaque p/ BR 30/4</t>
  </si>
  <si>
    <t>A4</t>
  </si>
  <si>
    <t>Manguera de deSAGUE BR 40/25</t>
  </si>
  <si>
    <t>A9-036-083</t>
  </si>
  <si>
    <t>DISCO</t>
  </si>
  <si>
    <t>GAV 1210</t>
  </si>
  <si>
    <t>A2-883-014</t>
  </si>
  <si>
    <t>Set de Pistola p/ Pistola 4.775-026.0</t>
  </si>
  <si>
    <t>A5-063-030</t>
  </si>
  <si>
    <t>Tapa de Depósito p/ OC 3</t>
  </si>
  <si>
    <t>A5-402-768</t>
  </si>
  <si>
    <t>Tubuladura roscada para HDC 40/16</t>
  </si>
  <si>
    <t>GAV 917</t>
  </si>
  <si>
    <t>A6-348-028</t>
  </si>
  <si>
    <t>Cordón de Cuero p/ KM 70/30</t>
  </si>
  <si>
    <t>CAJA 10</t>
  </si>
  <si>
    <t>A6-310-081</t>
  </si>
  <si>
    <t>PRENSA Tornillo P/ SERPENTIN p/ HDS 655</t>
  </si>
  <si>
    <t>GAV 17</t>
  </si>
  <si>
    <t>A6-362-826</t>
  </si>
  <si>
    <t>Oring 61.6 X 2.62 para K3FC</t>
  </si>
  <si>
    <t>GAV 1268</t>
  </si>
  <si>
    <t>A6-472-992</t>
  </si>
  <si>
    <t>Bomba de Combustible (HDS 558)</t>
  </si>
  <si>
    <t>Ñ3</t>
  </si>
  <si>
    <t>A5-115-358</t>
  </si>
  <si>
    <t>DISCO PARA HD1090/1094 HDS 655-1055-895</t>
  </si>
  <si>
    <t>GAV 111</t>
  </si>
  <si>
    <t>CARGADOR PARA BV 5/1</t>
  </si>
  <si>
    <t>A8-614-363</t>
  </si>
  <si>
    <t>Motor p/ SENSOR XP 12</t>
  </si>
  <si>
    <t>X3</t>
  </si>
  <si>
    <t>C7-401-187</t>
  </si>
  <si>
    <t>PAD Blanco de 20 '' (SUAVE)</t>
  </si>
  <si>
    <t>JJ3</t>
  </si>
  <si>
    <t>Sensor Reed p/ HDS 3.5</t>
  </si>
  <si>
    <t>A6-490-053</t>
  </si>
  <si>
    <t>Turbina de Aspiración p/ SGV 6/5</t>
  </si>
  <si>
    <t>MM4</t>
  </si>
  <si>
    <t>A6-631-295</t>
  </si>
  <si>
    <t>Interruptor (NT 351)</t>
  </si>
  <si>
    <t>GAV 161</t>
  </si>
  <si>
    <t>A8-711-785</t>
  </si>
  <si>
    <t>Manguera de Hule p/ HD 3.4</t>
  </si>
  <si>
    <t>B5-114-513</t>
  </si>
  <si>
    <t>GAV 834</t>
  </si>
  <si>
    <t>A5-195-319</t>
  </si>
  <si>
    <t>Junta de Conducción de Aire p/ HD 6/14 C</t>
  </si>
  <si>
    <t>Arandela p/ HD 3.5</t>
  </si>
  <si>
    <t>6.6 D</t>
  </si>
  <si>
    <t>A6-904-212</t>
  </si>
  <si>
    <t>Filtro de Membrana p/ NT35/1, NT 20/1</t>
  </si>
  <si>
    <t>Q2</t>
  </si>
  <si>
    <t>A7-312-292</t>
  </si>
  <si>
    <t>DISCO PARA BR 400</t>
  </si>
  <si>
    <t>GAV 991</t>
  </si>
  <si>
    <t>B5-110-511</t>
  </si>
  <si>
    <t>Tubo de valvula p/ HD 585</t>
  </si>
  <si>
    <t>GAV 1184</t>
  </si>
  <si>
    <t>4.467-000.0</t>
  </si>
  <si>
    <t>Freno configurable para B140</t>
  </si>
  <si>
    <t>A4-440-784</t>
  </si>
  <si>
    <t>Manguera de Aspiración 16 MTS p/ NT 65/2, NT 72 /2</t>
  </si>
  <si>
    <t>SS1</t>
  </si>
  <si>
    <t>ESTELA AISLANTE  p/ DS 5.800</t>
  </si>
  <si>
    <t>5.0 C</t>
  </si>
  <si>
    <t>Anillo de Tolerancia p/ HD 855 S</t>
  </si>
  <si>
    <t>GAV 145</t>
  </si>
  <si>
    <t>A6-343-218</t>
  </si>
  <si>
    <t>Anillo de Tolerancia p/ K 5.85</t>
  </si>
  <si>
    <t>GAV 897</t>
  </si>
  <si>
    <t>A6-365-333</t>
  </si>
  <si>
    <t>RETENEDOR de Agua HD 855</t>
  </si>
  <si>
    <t>A6-670-178</t>
  </si>
  <si>
    <t>Manguera de Aspiración p/  BD 30/4</t>
  </si>
  <si>
    <t>CAJA 4</t>
  </si>
  <si>
    <t>A8-754-860</t>
  </si>
  <si>
    <t>Kit de RETENEDORES p/ HD 3.4</t>
  </si>
  <si>
    <t>Codo p/ K 5 MX</t>
  </si>
  <si>
    <t>D2-122-422</t>
  </si>
  <si>
    <t>TAPA PARA ES-650</t>
  </si>
  <si>
    <t>A2-642-614</t>
  </si>
  <si>
    <t>Soporte de Asiento B140</t>
  </si>
  <si>
    <t>A5-011-443</t>
  </si>
  <si>
    <t>Soporte de Electro Válvula p/ HDS E 3.3</t>
  </si>
  <si>
    <t>B9-369-160</t>
  </si>
  <si>
    <t>TAPON 3/8 PARA HDC 24/15</t>
  </si>
  <si>
    <t>GAV 941</t>
  </si>
  <si>
    <t>Manguera de Aspiración : BR 55/60 BD 55/60 - B 60 - B 80</t>
  </si>
  <si>
    <t>AA3</t>
  </si>
  <si>
    <t>Guía de VálvulaS p/ HDS 3.5</t>
  </si>
  <si>
    <t>SEGURO p/ HD 1050B</t>
  </si>
  <si>
    <t>5.4 A</t>
  </si>
  <si>
    <t>Volante para TRF-80</t>
  </si>
  <si>
    <t>PP4</t>
  </si>
  <si>
    <t>A5-030-001</t>
  </si>
  <si>
    <t>Tapa de Carcasa Gris  p/ HDS 1055-1295-655-695-895</t>
  </si>
  <si>
    <t>CAJA 16</t>
  </si>
  <si>
    <t>A5-037-346</t>
  </si>
  <si>
    <t>SEGURO p/ BR 35/12</t>
  </si>
  <si>
    <t>GAV 902</t>
  </si>
  <si>
    <t>A6-649-640</t>
  </si>
  <si>
    <t>Cable Eléctrico p/ T 15/1</t>
  </si>
  <si>
    <t>A4-130-431</t>
  </si>
  <si>
    <t>Boquilla de Vapor de Chorro Concentrado</t>
  </si>
  <si>
    <t>A5-035-424</t>
  </si>
  <si>
    <t>Enganche Rápido B60 - B40</t>
  </si>
  <si>
    <t>5.0 A</t>
  </si>
  <si>
    <t>A8-622-398</t>
  </si>
  <si>
    <t>ROL BDP 51/1500 C</t>
  </si>
  <si>
    <t>B5-064-172</t>
  </si>
  <si>
    <t>Tapa p/ HDC 214/15</t>
  </si>
  <si>
    <t>6.3 A</t>
  </si>
  <si>
    <t>A1-009-095</t>
  </si>
  <si>
    <t>Cepillo Pulidor BDS 51/175 C</t>
  </si>
  <si>
    <t>A5-321-377</t>
  </si>
  <si>
    <t>Perilla p/ HDS 655 - 1055 - 895 - 801 E</t>
  </si>
  <si>
    <t>GAV 1121</t>
  </si>
  <si>
    <t>A6-414-835</t>
  </si>
  <si>
    <t>Filtro p/ B 60</t>
  </si>
  <si>
    <t>GAV 827</t>
  </si>
  <si>
    <t>A6-661-085</t>
  </si>
  <si>
    <t>Condesandor p/ 30 MF p/ HD 855 S Y HDS 1055</t>
  </si>
  <si>
    <t>F2</t>
  </si>
  <si>
    <t>A7-401-901</t>
  </si>
  <si>
    <t>Balín 4.0</t>
  </si>
  <si>
    <t>GAV 1025</t>
  </si>
  <si>
    <t>C0-000-034</t>
  </si>
  <si>
    <t>ROLL 6201</t>
  </si>
  <si>
    <t>Guía de Pistones p/ HD 4/9</t>
  </si>
  <si>
    <t>A5-070-461</t>
  </si>
  <si>
    <t>DEPOSITO DE ACEITE PARA HD 855 S</t>
  </si>
  <si>
    <t>A8-712-398</t>
  </si>
  <si>
    <t>Boquilla p/ Detergente p/ HD 3.5</t>
  </si>
  <si>
    <t>GAV 1006</t>
  </si>
  <si>
    <t>B9-302-300</t>
  </si>
  <si>
    <t>Anillo de APOYO</t>
  </si>
  <si>
    <t>GAV 193</t>
  </si>
  <si>
    <t>A6-367-047</t>
  </si>
  <si>
    <t>RETENEDOR 25X35X7 PARA  HDS 558 C</t>
  </si>
  <si>
    <t>GAV 658</t>
  </si>
  <si>
    <t>A6-484-340</t>
  </si>
  <si>
    <t>VENTILADOR p/ SGV 6/5</t>
  </si>
  <si>
    <t>6.3 C</t>
  </si>
  <si>
    <t>A8-622-227</t>
  </si>
  <si>
    <t>Seguro p/ Bolt 17, Bolt 20</t>
  </si>
  <si>
    <t>GAV 324</t>
  </si>
  <si>
    <t>Soporte de Pistola k2.68</t>
  </si>
  <si>
    <t>D1-111-374</t>
  </si>
  <si>
    <t>RESORTE PARA SF-3000</t>
  </si>
  <si>
    <t>GAV 1104</t>
  </si>
  <si>
    <t>I21925</t>
  </si>
  <si>
    <t>Cepillo de Nylon p/ Roomba 620/650</t>
  </si>
  <si>
    <t>BBB5</t>
  </si>
  <si>
    <t>A4-120-267</t>
  </si>
  <si>
    <t>Disco OSCILANTE p/ HD 6/14 C</t>
  </si>
  <si>
    <t>M2</t>
  </si>
  <si>
    <t>A4-440-895</t>
  </si>
  <si>
    <t>Manguera Interna de Alta Presión p/ HD 6/14 C</t>
  </si>
  <si>
    <t>PRENSA p/ A2004</t>
  </si>
  <si>
    <t>A6-195-091</t>
  </si>
  <si>
    <t>Cargador para VC 4I</t>
  </si>
  <si>
    <t>A5-031-468</t>
  </si>
  <si>
    <t>SoporteS p/ PUZZI 100</t>
  </si>
  <si>
    <t>a5-044-636</t>
  </si>
  <si>
    <t>Soporte de ConEXION de Manguera p/ NT 48/1</t>
  </si>
  <si>
    <t>9.3 A</t>
  </si>
  <si>
    <t>A6-321-046</t>
  </si>
  <si>
    <t>Cobertor de Pedal B 140</t>
  </si>
  <si>
    <t>L3</t>
  </si>
  <si>
    <t>A6-321-133</t>
  </si>
  <si>
    <t>Tuerca EN CRUZ p/ BR 530</t>
  </si>
  <si>
    <t>D2-122-498</t>
  </si>
  <si>
    <t>CAJA DE REDUCCION PARA ES 650</t>
  </si>
  <si>
    <t>D2-122-514</t>
  </si>
  <si>
    <t>Conjunto soporte de cuchillas para TR-200</t>
  </si>
  <si>
    <t>A2-883-384</t>
  </si>
  <si>
    <t>Sensor Reed p/ HDS 558 C</t>
  </si>
  <si>
    <t>K4</t>
  </si>
  <si>
    <t>A6-413-284</t>
  </si>
  <si>
    <t>Regulador de Presión p/ SG 4/4</t>
  </si>
  <si>
    <t>A8-621-749</t>
  </si>
  <si>
    <t>Tapa de Motor p/ BOLT 17-20</t>
  </si>
  <si>
    <t>Q3</t>
  </si>
  <si>
    <t>D1-112-811</t>
  </si>
  <si>
    <t>ROL PARA ES-650</t>
  </si>
  <si>
    <t>Tapónes de Cierre p/ HD 525 S HD 651 HD 801 B HD 5/12 C</t>
  </si>
  <si>
    <t>GAV 696</t>
  </si>
  <si>
    <t>Depósito de Aceite p/ HD 7/12</t>
  </si>
  <si>
    <t>F1</t>
  </si>
  <si>
    <t>A5-195-366</t>
  </si>
  <si>
    <t>Junta de DS 5.800</t>
  </si>
  <si>
    <t>7.4 A</t>
  </si>
  <si>
    <t>A8-635-957</t>
  </si>
  <si>
    <t>LabioS p/ CHARIORT 3</t>
  </si>
  <si>
    <t>D2-121-661</t>
  </si>
  <si>
    <t>ROTOR PARA DM-50</t>
  </si>
  <si>
    <t>ÑÑ1</t>
  </si>
  <si>
    <t>D4-111-392</t>
  </si>
  <si>
    <t>CUCHILLA</t>
  </si>
  <si>
    <t>TRA 4 A</t>
  </si>
  <si>
    <t>A5-061-208</t>
  </si>
  <si>
    <t>Guía de Pistones p/ HDS E 3.3 HDS 7/11</t>
  </si>
  <si>
    <t>Manguera de Aspiración p/ DS 5600, DS 5500</t>
  </si>
  <si>
    <t>BB1</t>
  </si>
  <si>
    <t>D1-111-270</t>
  </si>
  <si>
    <t>ANILLO DE RETENCION NBR 10096</t>
  </si>
  <si>
    <t>GAV 294</t>
  </si>
  <si>
    <t>D1-111-414</t>
  </si>
  <si>
    <t>RESORTE</t>
  </si>
  <si>
    <t>GAV 875</t>
  </si>
  <si>
    <t>A9-001-105</t>
  </si>
  <si>
    <t>Culata CAMARA de VálvulaS K p/ K 200-370</t>
  </si>
  <si>
    <t>DA961000</t>
  </si>
  <si>
    <t>Kit de Manguera de Aire de Inicio Rápido</t>
  </si>
  <si>
    <t>HHH5</t>
  </si>
  <si>
    <t>A6-635-560</t>
  </si>
  <si>
    <t>MicroInterruptor p/ B250</t>
  </si>
  <si>
    <t>GAV 891</t>
  </si>
  <si>
    <t>D2-120-159</t>
  </si>
  <si>
    <t>TORNILLO CON TUERCA PARA TRP-40</t>
  </si>
  <si>
    <t>B4-580-282</t>
  </si>
  <si>
    <t>Válvula p/ K Junior, K340</t>
  </si>
  <si>
    <t>GAV 706</t>
  </si>
  <si>
    <t>I4657843</t>
  </si>
  <si>
    <t>Almohadillas Trapeado Húmedo Lavables p/ Braava Jet 240 (2 unidades)</t>
  </si>
  <si>
    <t>DDD3</t>
  </si>
  <si>
    <t>A2-324-003</t>
  </si>
  <si>
    <t>Perilla p/ DS 5500</t>
  </si>
  <si>
    <t>4.3 A</t>
  </si>
  <si>
    <t>A6-630-128</t>
  </si>
  <si>
    <t>Interruptor B60</t>
  </si>
  <si>
    <t>GAV 173</t>
  </si>
  <si>
    <t>D1-111-124</t>
  </si>
  <si>
    <t>GAV 244</t>
  </si>
  <si>
    <t>D2-121-815</t>
  </si>
  <si>
    <t>CUCHILLA PARA JK 500 Y 700</t>
  </si>
  <si>
    <t>PP2</t>
  </si>
  <si>
    <t>A6-415-945</t>
  </si>
  <si>
    <t>Boquilla de deSTAQUEO Turbo 0.60</t>
  </si>
  <si>
    <t>GAV 959</t>
  </si>
  <si>
    <t>A2-114-006</t>
  </si>
  <si>
    <t>Boquilla de Vapor 40070 (Versión Nueva)</t>
  </si>
  <si>
    <t>6.2 A</t>
  </si>
  <si>
    <t>A4-622-039</t>
  </si>
  <si>
    <t>Transformador de Alta HDS 7/11</t>
  </si>
  <si>
    <t>A6-906-643</t>
  </si>
  <si>
    <t>CepilloCILINDRICO NEGRO CV 38/2</t>
  </si>
  <si>
    <t>FF3</t>
  </si>
  <si>
    <t>A9-194-543</t>
  </si>
  <si>
    <t>Tapa P/ G 2500</t>
  </si>
  <si>
    <t>A5-058-364</t>
  </si>
  <si>
    <t>PLATINA deRECHA p/ BR 55/60</t>
  </si>
  <si>
    <t>Borner p/ G 2500 -2700-2800</t>
  </si>
  <si>
    <t>GAV 711</t>
  </si>
  <si>
    <t>A9-761-812</t>
  </si>
  <si>
    <t>Pistola Cuadrada p/ HD Y HDS</t>
  </si>
  <si>
    <t>C7-401-200</t>
  </si>
  <si>
    <t>Roll 6005</t>
  </si>
  <si>
    <t>A6-431-054</t>
  </si>
  <si>
    <t>Tornillo de Ajuste p/ HD 9/50</t>
  </si>
  <si>
    <t>GAV 742</t>
  </si>
  <si>
    <t>A8-707-526</t>
  </si>
  <si>
    <t>Filtro de agua para HD 4.0/40 AGEB p/ TRK-2500</t>
  </si>
  <si>
    <t>EE4</t>
  </si>
  <si>
    <t>D1-111-403</t>
  </si>
  <si>
    <t>RELE p/ TR 200</t>
  </si>
  <si>
    <t>A4-655-044</t>
  </si>
  <si>
    <t>Suelo de Caldera p/ HDS 558 C</t>
  </si>
  <si>
    <t>T5</t>
  </si>
  <si>
    <t>A6-110-054</t>
  </si>
  <si>
    <t>Manguera de 20 Metros (Easy Lock)</t>
  </si>
  <si>
    <t>Y3</t>
  </si>
  <si>
    <t>a8-621-612</t>
  </si>
  <si>
    <t>CepillosUPERIOR p/ CV 66/2</t>
  </si>
  <si>
    <t>I4650997</t>
  </si>
  <si>
    <t>Bin para Roomba S9</t>
  </si>
  <si>
    <t>BBB4</t>
  </si>
  <si>
    <t>A9-770-613</t>
  </si>
  <si>
    <t>Agarradera p/ NT 20/1</t>
  </si>
  <si>
    <t>Culata/Cabezal  p/ K 2</t>
  </si>
  <si>
    <t>A4-553-022</t>
  </si>
  <si>
    <t>Pistón p/ HDS 557,HDS 655,HDS 895,HDS 500,HDS 1055,HDS 501,HDS 558,HDS 801B</t>
  </si>
  <si>
    <t>A5-553-250</t>
  </si>
  <si>
    <t>Pistón p/ HD 550</t>
  </si>
  <si>
    <t>K3</t>
  </si>
  <si>
    <t>A7-304-434</t>
  </si>
  <si>
    <t>Tornillo p/ KM 105</t>
  </si>
  <si>
    <t>5.5 A</t>
  </si>
  <si>
    <t>A7-304-537</t>
  </si>
  <si>
    <t>Tornillo HEXAGONAL M8X30</t>
  </si>
  <si>
    <t>GAV 1141</t>
  </si>
  <si>
    <t>A8-637-988</t>
  </si>
  <si>
    <t>Codo para PS 4/7</t>
  </si>
  <si>
    <t>GAV 1285</t>
  </si>
  <si>
    <t>Boquilla Azul p/ PUZZI</t>
  </si>
  <si>
    <t>GAV 1257</t>
  </si>
  <si>
    <t>A9-802-170</t>
  </si>
  <si>
    <t>Adaptador 3/8 p/ HD 3.4</t>
  </si>
  <si>
    <t>GAV 1344</t>
  </si>
  <si>
    <t>A2-645-142</t>
  </si>
  <si>
    <t>Manguera Primo Flex 3/4</t>
  </si>
  <si>
    <t>A5-035-723</t>
  </si>
  <si>
    <t>Tapa p/ Manguera de deSAGUE p/ B 40</t>
  </si>
  <si>
    <t>6.6 C</t>
  </si>
  <si>
    <t>A5-110-998</t>
  </si>
  <si>
    <t>Manguito</t>
  </si>
  <si>
    <t>GAV 809</t>
  </si>
  <si>
    <t>A8-600-558</t>
  </si>
  <si>
    <t>Boquilla ROSCADA p/ BRC 38/30</t>
  </si>
  <si>
    <t>GAV 641</t>
  </si>
  <si>
    <t>A2-882-709</t>
  </si>
  <si>
    <t>PULSADOR p/ KM 1700</t>
  </si>
  <si>
    <t>Pistón p/ HD 10/25</t>
  </si>
  <si>
    <t>F3</t>
  </si>
  <si>
    <t>A4-686-001</t>
  </si>
  <si>
    <t>LIMITADOR de TEMPERATURA HD 801</t>
  </si>
  <si>
    <t>U3</t>
  </si>
  <si>
    <t>A5-403-055</t>
  </si>
  <si>
    <t>Manguito Doble</t>
  </si>
  <si>
    <t>GAV 1299</t>
  </si>
  <si>
    <t>Anillo de OBTURACION p/ HD 6/15</t>
  </si>
  <si>
    <t>GAV 53</t>
  </si>
  <si>
    <t>Disco de PRESION p/ HDS 1055 - 655 - 1000 BE - HD 3,5 -</t>
  </si>
  <si>
    <t>A9-154-045</t>
  </si>
  <si>
    <t>Acople Rápido G 2800</t>
  </si>
  <si>
    <t>4.473-045.0</t>
  </si>
  <si>
    <t>Bomba para SG 4/4</t>
  </si>
  <si>
    <t>NN4</t>
  </si>
  <si>
    <t>A5-094-050</t>
  </si>
  <si>
    <t>Tubo p/ BR 55/60</t>
  </si>
  <si>
    <t>GAV 70</t>
  </si>
  <si>
    <t>Condensador de 60 mf p/ HD 585</t>
  </si>
  <si>
    <t>A2-440-001</t>
  </si>
  <si>
    <t>Manguera de Alimentación de Combustible</t>
  </si>
  <si>
    <t>A2-863-264</t>
  </si>
  <si>
    <t>Juego de Coronas p/ SG 4/4, SC 2, SC 1</t>
  </si>
  <si>
    <t>Q4</t>
  </si>
  <si>
    <t>Disco Plástico p/ HD 801 B-525-5/12 C-HDS 501C G 2500</t>
  </si>
  <si>
    <t>GAV 92</t>
  </si>
  <si>
    <t>A7-303-037</t>
  </si>
  <si>
    <t>TORNILLO PARA KM 85/50 BD /BR 55/60 Y KM 100/100</t>
  </si>
  <si>
    <t>GAV 224</t>
  </si>
  <si>
    <t>C0-000-008</t>
  </si>
  <si>
    <t>D1-110-252</t>
  </si>
  <si>
    <t>TUERCA REGULADORA</t>
  </si>
  <si>
    <t>GAV 1070</t>
  </si>
  <si>
    <t>A6-362-204</t>
  </si>
  <si>
    <t>Anillo de Guarnición p/ HD 4/9</t>
  </si>
  <si>
    <t>GAV 756</t>
  </si>
  <si>
    <t>A8-619-912</t>
  </si>
  <si>
    <t>Interruptor p/ VAC PAC 6</t>
  </si>
  <si>
    <t>GAV 1180</t>
  </si>
  <si>
    <t>A2-643-871</t>
  </si>
  <si>
    <t>Manguera de aspiracion para OC 3</t>
  </si>
  <si>
    <t>A6-631-197</t>
  </si>
  <si>
    <t>Interruptor p/ HDS 1055</t>
  </si>
  <si>
    <t>E1</t>
  </si>
  <si>
    <t>A7-312-075</t>
  </si>
  <si>
    <t>Disco p/ KM 650</t>
  </si>
  <si>
    <t>GAV 230</t>
  </si>
  <si>
    <t>A8-622-172</t>
  </si>
  <si>
    <t>LAMINA p/  LIGHTNING 2000</t>
  </si>
  <si>
    <t>A6-363-479</t>
  </si>
  <si>
    <t>Oring p/ HD 9/50</t>
  </si>
  <si>
    <t>GAV 332</t>
  </si>
  <si>
    <t>Interruptor p/ HD 6/15 18A</t>
  </si>
  <si>
    <t>4.4 A</t>
  </si>
  <si>
    <t>Juego de Cepillos p/ FC 5, FC 3</t>
  </si>
  <si>
    <t>P5</t>
  </si>
  <si>
    <t>A2-889-010</t>
  </si>
  <si>
    <t>LabioS p/ Boquilla de MANO p/ SGV 6/5</t>
  </si>
  <si>
    <t>B9-302-307</t>
  </si>
  <si>
    <t>Oring 2,62 X 18,77</t>
  </si>
  <si>
    <t>GAV 186</t>
  </si>
  <si>
    <t>D2-121-010</t>
  </si>
  <si>
    <t>MARIPOSA</t>
  </si>
  <si>
    <t>Carcasa completa para FC 5 con Bypass</t>
  </si>
  <si>
    <t>KK4</t>
  </si>
  <si>
    <t>A5-394-648</t>
  </si>
  <si>
    <t>deLANTAL</t>
  </si>
  <si>
    <t>A8-754-827</t>
  </si>
  <si>
    <t>VIELA p/ HD 3.4</t>
  </si>
  <si>
    <t>CRIBA p/ K 2 BASIC- K3 FC</t>
  </si>
  <si>
    <t>GAV 983</t>
  </si>
  <si>
    <t>A8-621-777</t>
  </si>
  <si>
    <t>Fusible p/ BDP 51/1500</t>
  </si>
  <si>
    <t>A8-751-194</t>
  </si>
  <si>
    <t>Bomba de Presión Completa p/ HD 3.5</t>
  </si>
  <si>
    <t>A4-440-788</t>
  </si>
  <si>
    <t>Manguera p/ ARROLLADOR</t>
  </si>
  <si>
    <t>Y4</t>
  </si>
  <si>
    <t>A5-600-087</t>
  </si>
  <si>
    <t>Abánico p/ HDS 7/11</t>
  </si>
  <si>
    <t>O5</t>
  </si>
  <si>
    <t>A6-195-240</t>
  </si>
  <si>
    <t>Filtro de Espuma p/ DS 5.800</t>
  </si>
  <si>
    <t>5.7 A</t>
  </si>
  <si>
    <t>A6-365-323</t>
  </si>
  <si>
    <t>RETENEDOR INTERMEDIO</t>
  </si>
  <si>
    <t>GAV 1223</t>
  </si>
  <si>
    <t>D1-110-508</t>
  </si>
  <si>
    <t>MINI CAPACITOR 189/227 MF</t>
  </si>
  <si>
    <t>A4-070-313</t>
  </si>
  <si>
    <t>DEPOSITO DE RM PARA HDS 558 C</t>
  </si>
  <si>
    <t>A5-332-504</t>
  </si>
  <si>
    <t>RESORTE p/ B 140</t>
  </si>
  <si>
    <t>GAV 438</t>
  </si>
  <si>
    <t>A6-651-330</t>
  </si>
  <si>
    <t>Luz de SEÑALIZACION p/ HDS 3.5</t>
  </si>
  <si>
    <t>GAV 1339</t>
  </si>
  <si>
    <t>a8-600-642</t>
  </si>
  <si>
    <t>RELEY p/ SABER CUTTER</t>
  </si>
  <si>
    <t>5.0 B</t>
  </si>
  <si>
    <t>A6-371-322</t>
  </si>
  <si>
    <t>Guía NARANJA de Cepillop/ LimpiadorA de ESCALERAS</t>
  </si>
  <si>
    <t>A8-614-548</t>
  </si>
  <si>
    <t>Interruptor p/ AXCESS 12</t>
  </si>
  <si>
    <t>GAV 821</t>
  </si>
  <si>
    <t>A9-198-002</t>
  </si>
  <si>
    <t>Arandela p/ HD 3.8</t>
  </si>
  <si>
    <t>GAV 316</t>
  </si>
  <si>
    <t>D2-120-082</t>
  </si>
  <si>
    <t>DISCO VENTILADOR P/WM350</t>
  </si>
  <si>
    <t>D2-120-096</t>
  </si>
  <si>
    <t>RUEDA PARA MCS</t>
  </si>
  <si>
    <t>P3</t>
  </si>
  <si>
    <t>PA207803AV</t>
  </si>
  <si>
    <t>Filtro/Regulador &amp; Lubricador</t>
  </si>
  <si>
    <t>HHH2</t>
  </si>
  <si>
    <t>A4-250-079</t>
  </si>
  <si>
    <t>COJINETE PARA CV 30/1, BR 30/4</t>
  </si>
  <si>
    <t>A2-114-002</t>
  </si>
  <si>
    <t>Boquilla de Vapor 40050 (Versión Nueva)</t>
  </si>
  <si>
    <t>GAV 920</t>
  </si>
  <si>
    <t>A5-692-125</t>
  </si>
  <si>
    <t>Conducción de Aire p/ Puzzi 300</t>
  </si>
  <si>
    <t>II2</t>
  </si>
  <si>
    <t>A7-401-908</t>
  </si>
  <si>
    <t>Balín 7.0 p/ HD 1050B HD 1090 HD 1094 HD 855S HDS 700B HD 5/12C HD 10/25</t>
  </si>
  <si>
    <t>GAV 843</t>
  </si>
  <si>
    <t>A6-654-353</t>
  </si>
  <si>
    <t>Cargador p/ WV 1 - KB5</t>
  </si>
  <si>
    <t>A8-626-121</t>
  </si>
  <si>
    <t>DIODO p/ SABER CUTTER</t>
  </si>
  <si>
    <t>GAV 815</t>
  </si>
  <si>
    <t>A8-717-209</t>
  </si>
  <si>
    <t>Cobertor de ROL p/ HD 3.3/30</t>
  </si>
  <si>
    <t>CAJA 1</t>
  </si>
  <si>
    <t>A5-316-779</t>
  </si>
  <si>
    <t>PERNO</t>
  </si>
  <si>
    <t>GAV 68</t>
  </si>
  <si>
    <t>Condensador 70 MF HD 5/12-K520</t>
  </si>
  <si>
    <t>F4</t>
  </si>
  <si>
    <t>I21921</t>
  </si>
  <si>
    <t>Acople de Engranaje del Cepillo p/ Roomba 620/650/880</t>
  </si>
  <si>
    <t>DDD2</t>
  </si>
  <si>
    <t>9.765-882.0</t>
  </si>
  <si>
    <t>Boquilla de Ranuras para VC 4S</t>
  </si>
  <si>
    <t>W5</t>
  </si>
  <si>
    <t>A2-882-674</t>
  </si>
  <si>
    <t>Sistema Electronico para DE 4002</t>
  </si>
  <si>
    <t>A8-631-916</t>
  </si>
  <si>
    <t>Interruptor p/ SENSOR XP</t>
  </si>
  <si>
    <t>GAV 1173</t>
  </si>
  <si>
    <t>A9-761-208</t>
  </si>
  <si>
    <t>Tapón de Cierre p/ HD 6/15</t>
  </si>
  <si>
    <t>GAV 61</t>
  </si>
  <si>
    <t>D1-111-114</t>
  </si>
  <si>
    <t>MANIPULADOR TERMOP.</t>
  </si>
  <si>
    <t>Interruptor p/ HD 10/25</t>
  </si>
  <si>
    <t>A6-630-476</t>
  </si>
  <si>
    <t>Interruptor p/ B 250</t>
  </si>
  <si>
    <t>A9-155-014</t>
  </si>
  <si>
    <t>Borner p/ G4000</t>
  </si>
  <si>
    <t>GAV 242</t>
  </si>
  <si>
    <t>A5-132-107</t>
  </si>
  <si>
    <t>Tapón de Filtro p/ HD 1050 B</t>
  </si>
  <si>
    <t>GAV 1214</t>
  </si>
  <si>
    <t>A6-110-049</t>
  </si>
  <si>
    <t>Manguera de Destaqueo de 20 Metros p/ HD 4/9 HD 7/12</t>
  </si>
  <si>
    <t>A2-863-270</t>
  </si>
  <si>
    <t>Set de Paños de Microfibra p/ SC 1</t>
  </si>
  <si>
    <t>S1</t>
  </si>
  <si>
    <t>Turbina de Aspiración B 60 New BD 80/100</t>
  </si>
  <si>
    <t>X4</t>
  </si>
  <si>
    <t>A4-070-188</t>
  </si>
  <si>
    <t>Depósito de RM p/ HDS 1055, HDS 695 HDS 895, HDS 655</t>
  </si>
  <si>
    <t>A6-421-306</t>
  </si>
  <si>
    <t>MANOMETRO p/ HD 855 S</t>
  </si>
  <si>
    <t>J2</t>
  </si>
  <si>
    <t>A8-751-039</t>
  </si>
  <si>
    <t>RESORTE p/ G 2800</t>
  </si>
  <si>
    <t>GAV 579</t>
  </si>
  <si>
    <t>A2-889-009</t>
  </si>
  <si>
    <t>Cepillop/ Boquilla de MANO de SGV 6/5</t>
  </si>
  <si>
    <t>A5-032-569</t>
  </si>
  <si>
    <t>PRENSA de Filtro p/ BV 5/1</t>
  </si>
  <si>
    <t>A6-654-328</t>
  </si>
  <si>
    <t>Batería p/ Escoba EB 30-1</t>
  </si>
  <si>
    <t>A8-707-254</t>
  </si>
  <si>
    <t>Válvula de Alivio p/ HD 3.5/35</t>
  </si>
  <si>
    <t>GAV 1098</t>
  </si>
  <si>
    <t>B9-389-285</t>
  </si>
  <si>
    <t>MANGUERA PARA HDC</t>
  </si>
  <si>
    <t>CAJA 15</t>
  </si>
  <si>
    <t>Juego de PiezaS p/ HD 7/12</t>
  </si>
  <si>
    <t>A4-064-021</t>
  </si>
  <si>
    <t>Tapa de COMBUSTIBLE p/ HDS 6/14</t>
  </si>
  <si>
    <t>A8-613-894</t>
  </si>
  <si>
    <t>Carcasa Inferior  p/ SENSOR XP 12</t>
  </si>
  <si>
    <t>D1-113-012</t>
  </si>
  <si>
    <t>CONDENSADOR DE 45 MF PARA PARA TRP-40</t>
  </si>
  <si>
    <t>A5-625-318</t>
  </si>
  <si>
    <t>Piñon BR 40/10</t>
  </si>
  <si>
    <t>GAV 622</t>
  </si>
  <si>
    <t>AS2722510-SP</t>
  </si>
  <si>
    <t>Fuente de Alimentación p/ iRobot Mirra</t>
  </si>
  <si>
    <t>D5-110-117</t>
  </si>
  <si>
    <t>Chumacera p/ TRF 700</t>
  </si>
  <si>
    <t>A5-332-258</t>
  </si>
  <si>
    <t>RESORTE  HD 7/12</t>
  </si>
  <si>
    <t>GAV 140</t>
  </si>
  <si>
    <t>A6-670-162</t>
  </si>
  <si>
    <t>Válvula de Depósito p/  BD 30/4</t>
  </si>
  <si>
    <t>GAV 1049</t>
  </si>
  <si>
    <t>A8-634-104</t>
  </si>
  <si>
    <t>Bolsas para ISCRUB CHARIORT 26 10 unidades</t>
  </si>
  <si>
    <t>S5</t>
  </si>
  <si>
    <t>B9-385-149</t>
  </si>
  <si>
    <t>DISYUNTOR 100A PARA HDC 24/15</t>
  </si>
  <si>
    <t>A5-031-562</t>
  </si>
  <si>
    <t>GUIA DE CABEZAL HD Y HDS  801 B</t>
  </si>
  <si>
    <t>GAV 83</t>
  </si>
  <si>
    <t>A6-683-103</t>
  </si>
  <si>
    <t>Tarjeta p/ B60</t>
  </si>
  <si>
    <t>O1</t>
  </si>
  <si>
    <t>A6-683-114</t>
  </si>
  <si>
    <t>Placa de CIRCUITOS p/ BR 35/12</t>
  </si>
  <si>
    <t>B9-310-078</t>
  </si>
  <si>
    <t>CABLE ELECTRICO</t>
  </si>
  <si>
    <t>D1-110-331</t>
  </si>
  <si>
    <t>TUERCA</t>
  </si>
  <si>
    <t>GAV 869</t>
  </si>
  <si>
    <t>D2-122-530</t>
  </si>
  <si>
    <t>CUCHILLA PARA TRR 190</t>
  </si>
  <si>
    <t>A8-638-712</t>
  </si>
  <si>
    <t>Bumper para BDS 43/175</t>
  </si>
  <si>
    <t>DD4</t>
  </si>
  <si>
    <t>Guía de Pistones Completa p/ K 3.450</t>
  </si>
  <si>
    <t>U2</t>
  </si>
  <si>
    <t>Anillo de Obturación G 3/8 p/ HD 6/15</t>
  </si>
  <si>
    <t>GAV 15</t>
  </si>
  <si>
    <t>B6-401-257</t>
  </si>
  <si>
    <t>DISCO OSCILANTE PARA K JUNIOR</t>
  </si>
  <si>
    <t>A2-883-302</t>
  </si>
  <si>
    <t>Set de Bomba p/ HDS 895</t>
  </si>
  <si>
    <t>A8-619-891</t>
  </si>
  <si>
    <t>Bolsa de Papel p/ VAC PAC 6 (10 unidades)</t>
  </si>
  <si>
    <t>Ñ1</t>
  </si>
  <si>
    <t>D2-115-057</t>
  </si>
  <si>
    <t>FLANJE DE CUCHILLA PARA MC 80/90/500/600</t>
  </si>
  <si>
    <t>A2-643-823</t>
  </si>
  <si>
    <t>Pistola G120 Full para K3 Full Control</t>
  </si>
  <si>
    <t>C5</t>
  </si>
  <si>
    <t>TAPA PARA HD 5/12</t>
  </si>
  <si>
    <t>A5-394-888</t>
  </si>
  <si>
    <t>Labio LATERAL p/ CepilloCentral KM 105</t>
  </si>
  <si>
    <t>A9-803-168</t>
  </si>
  <si>
    <t>ROL p/ HD 3.8-3.5</t>
  </si>
  <si>
    <t>6.9 A</t>
  </si>
  <si>
    <t>A4-127-024</t>
  </si>
  <si>
    <t>Tubo de Prolongación p/ SG 4/4</t>
  </si>
  <si>
    <t>A5-453-042</t>
  </si>
  <si>
    <t>Adaptador p/ ConEXION de HERRAMIENTAS EléctricaS</t>
  </si>
  <si>
    <t>6.6 A</t>
  </si>
  <si>
    <t>A6-371-155-1</t>
  </si>
  <si>
    <t>Pad Negro p/ B 60**</t>
  </si>
  <si>
    <t>LL3</t>
  </si>
  <si>
    <t>A7-312-022</t>
  </si>
  <si>
    <t>Arandela de FRENADO A8</t>
  </si>
  <si>
    <t>GAV 1157</t>
  </si>
  <si>
    <t>A9-802-222</t>
  </si>
  <si>
    <t>Lanza para HDS 4.0 (TRK)</t>
  </si>
  <si>
    <t>B6-362-113</t>
  </si>
  <si>
    <t>ORING 6.0 X 2.0</t>
  </si>
  <si>
    <t>GAV 48</t>
  </si>
  <si>
    <t>A5-789-064</t>
  </si>
  <si>
    <t>Codo p/ HD 4/9</t>
  </si>
  <si>
    <t>A6-330-441</t>
  </si>
  <si>
    <t>Resorte de Rotativo Regulador Marcha</t>
  </si>
  <si>
    <t>GAV 530</t>
  </si>
  <si>
    <t>A8-619-877</t>
  </si>
  <si>
    <t>Adaptador VAC PAC 6</t>
  </si>
  <si>
    <t>A8-750-710</t>
  </si>
  <si>
    <t>Kit de REp/CION de By Pass</t>
  </si>
  <si>
    <t>A8-750-712</t>
  </si>
  <si>
    <t>Empuñadura p/ HD 3.4</t>
  </si>
  <si>
    <t>A2-884-099</t>
  </si>
  <si>
    <t>Cierre de Tapa p/ A 2101</t>
  </si>
  <si>
    <t>A4-363-692</t>
  </si>
  <si>
    <t>Set de Oring ( LanzaS)</t>
  </si>
  <si>
    <t>Inyector HD 7/12</t>
  </si>
  <si>
    <t>Embudo p/ HD 10/20</t>
  </si>
  <si>
    <t>CAJA 12</t>
  </si>
  <si>
    <t>A5-105-684</t>
  </si>
  <si>
    <t>Arbol de ACCIONAMIENTO Izquierdo BR 40/10</t>
  </si>
  <si>
    <t>Labios de Aspiración p/ B 250</t>
  </si>
  <si>
    <t>L5</t>
  </si>
  <si>
    <t>A6-435-745</t>
  </si>
  <si>
    <t>Rueda p/ BR 40/45</t>
  </si>
  <si>
    <t>A8-637-987</t>
  </si>
  <si>
    <t>Bomba para PS 4/7</t>
  </si>
  <si>
    <t>A9-802-916</t>
  </si>
  <si>
    <t>Pin p/ HD 3.8</t>
  </si>
  <si>
    <t>GAV 789</t>
  </si>
  <si>
    <t>I4510985</t>
  </si>
  <si>
    <t>Almohadilla Azul de Trapeado Mojado Braava Jet 240 (10 unidades)</t>
  </si>
  <si>
    <t>BBB1</t>
  </si>
  <si>
    <t>MP367800AJ</t>
  </si>
  <si>
    <t>Drenador Automático de tanque de aire.</t>
  </si>
  <si>
    <t>FFF3</t>
  </si>
  <si>
    <t>A5-010-977</t>
  </si>
  <si>
    <t>Aro de Chapa p/BD 38-12, BR 35/12</t>
  </si>
  <si>
    <t>GAV 602</t>
  </si>
  <si>
    <t>A8-619-889</t>
  </si>
  <si>
    <t>Filtro de SONIDO p/ VAC PAC 6</t>
  </si>
  <si>
    <t>A8-620-081</t>
  </si>
  <si>
    <t>Acople Manguera de Agua p/ BRC 30 / 15 C</t>
  </si>
  <si>
    <t>GAV 85</t>
  </si>
  <si>
    <t>B9-369-168</t>
  </si>
  <si>
    <t>TORNILLO PARA HDC 24/15</t>
  </si>
  <si>
    <t>GAV 940</t>
  </si>
  <si>
    <t>A5-064-171</t>
  </si>
  <si>
    <t>Tapa Carcasa de Aceite p/ HDC 24/15</t>
  </si>
  <si>
    <t>G1</t>
  </si>
  <si>
    <t>A5-115-680</t>
  </si>
  <si>
    <t>DISCO PARA  HD 1090 / 1094</t>
  </si>
  <si>
    <t>GAV 676</t>
  </si>
  <si>
    <t>Oring 22.3 X 2.4</t>
  </si>
  <si>
    <t>GAV 426</t>
  </si>
  <si>
    <t>Manguera Interna de Alta Presión p/HDS 655, HDS 895, HDS 1055, HDS 3.5</t>
  </si>
  <si>
    <t>A8-616-303</t>
  </si>
  <si>
    <t>Filtro p/ TITAN (Windsor)</t>
  </si>
  <si>
    <t>A4-741-022</t>
  </si>
  <si>
    <t>Control de Revoluciones p/ HD 9/50</t>
  </si>
  <si>
    <t>A6-371-154-1</t>
  </si>
  <si>
    <t>Pad Verde p/ B 60</t>
  </si>
  <si>
    <t>V1</t>
  </si>
  <si>
    <t>A6-646-979</t>
  </si>
  <si>
    <t>ConTACTO de ENCHUFE p/ B60</t>
  </si>
  <si>
    <t>GAV 171</t>
  </si>
  <si>
    <t>Caja Eléctrica p/ K4</t>
  </si>
  <si>
    <t>D4</t>
  </si>
  <si>
    <t>A4-321-213</t>
  </si>
  <si>
    <t>Agarradera p/ NT 35/1</t>
  </si>
  <si>
    <t>A5-332-490</t>
  </si>
  <si>
    <t>RESORTE HELICOIDAL PARA NT 65/2</t>
  </si>
  <si>
    <t>A5-776-011</t>
  </si>
  <si>
    <t>Tapa de ENRROLLADOR de MangueraS</t>
  </si>
  <si>
    <t>A4-033-327</t>
  </si>
  <si>
    <t>Set de Carcasa de Válvula p/ BR 40/10</t>
  </si>
  <si>
    <t>A6-310-083</t>
  </si>
  <si>
    <t>Tuerca p/ HDS 655</t>
  </si>
  <si>
    <t>GAV 555</t>
  </si>
  <si>
    <t>A6-362-797</t>
  </si>
  <si>
    <t>ORING 9.0 X 2.0 PARA HD 1000C HDS 1055 HDS 1295 HDS 655 HDS 695 HDS 895 SB-HDW S2 PUZZI 100 PUZZI 20</t>
  </si>
  <si>
    <t>GAV 106</t>
  </si>
  <si>
    <t>Motor ELEVACION Squegge B 140</t>
  </si>
  <si>
    <t>A8-751-040</t>
  </si>
  <si>
    <t>4.5 B</t>
  </si>
  <si>
    <t>A8-751-042</t>
  </si>
  <si>
    <t>Tuerca para fltro de aire</t>
  </si>
  <si>
    <t>GAV 793</t>
  </si>
  <si>
    <t>A9-763-055</t>
  </si>
  <si>
    <t>CINTA de Barra de Aspiración</t>
  </si>
  <si>
    <t>C4</t>
  </si>
  <si>
    <t>27010A04D1S1W1A1</t>
  </si>
  <si>
    <t>Cargador Baterías x Series 24V / 25A B60</t>
  </si>
  <si>
    <t>MM5</t>
  </si>
  <si>
    <t>A4-553-276</t>
  </si>
  <si>
    <t>Pistón p/ K 5.85</t>
  </si>
  <si>
    <t>H1</t>
  </si>
  <si>
    <t>Rueda p/ NT 48/1</t>
  </si>
  <si>
    <t>LABIO ANTISALPICADURAS PARA B40 CABEZAL D51</t>
  </si>
  <si>
    <t>Empaque p/ B 40 Eléctrica</t>
  </si>
  <si>
    <t>HH3</t>
  </si>
  <si>
    <t>A6-423-064</t>
  </si>
  <si>
    <t>TERMOMETRO DE 4002</t>
  </si>
  <si>
    <t>A7-312-054</t>
  </si>
  <si>
    <t>Disco p/ BR 40/25</t>
  </si>
  <si>
    <t>GAV 1355</t>
  </si>
  <si>
    <t>I21926</t>
  </si>
  <si>
    <t>Cepillo de Hule p/ Roomba 620/650</t>
  </si>
  <si>
    <t>A5-332-073</t>
  </si>
  <si>
    <t>Resorte para KM 70/30</t>
  </si>
  <si>
    <t>A8-614-362</t>
  </si>
  <si>
    <t>Polea de Turbina p/ SENSOR XP 12</t>
  </si>
  <si>
    <t>GAV 820</t>
  </si>
  <si>
    <t>Balinera p/ Axial HD-HDS</t>
  </si>
  <si>
    <t>Electro  Válvula p/ HDS 3.5</t>
  </si>
  <si>
    <t>Ñ4</t>
  </si>
  <si>
    <t>Boquilla p/ Pisos p/ A2101, A2204, WD3200</t>
  </si>
  <si>
    <t>MM1</t>
  </si>
  <si>
    <t>A6-124-128</t>
  </si>
  <si>
    <t>AMORTIGUADOR de SONIDO p/ WTC 5000 UF</t>
  </si>
  <si>
    <t>GAV 1145</t>
  </si>
  <si>
    <t>Interruptor p/  BR 75/140</t>
  </si>
  <si>
    <t>GAV 971</t>
  </si>
  <si>
    <t>I4650998</t>
  </si>
  <si>
    <t>Carcasa inferior para S9</t>
  </si>
  <si>
    <t>A2-863-265</t>
  </si>
  <si>
    <t>Juego de Paños de Microfibra p/ SC2 Easy Fix</t>
  </si>
  <si>
    <t>A5-031-604</t>
  </si>
  <si>
    <t>Soporte NT 361</t>
  </si>
  <si>
    <t>A6-421-357</t>
  </si>
  <si>
    <t>MANOMETRO p/ HD 9/50</t>
  </si>
  <si>
    <t>A9-765-613</t>
  </si>
  <si>
    <t>Cajón de baterías tapadera abatible VC 4S</t>
  </si>
  <si>
    <t>Disco HD 1050-7/12 - BR 530***</t>
  </si>
  <si>
    <t>GAV 670</t>
  </si>
  <si>
    <t>A5-332-391</t>
  </si>
  <si>
    <t>RESORTE HELICOIDAL K 520 M G 2500</t>
  </si>
  <si>
    <t>A5-515-266</t>
  </si>
  <si>
    <t>Filtro de PELUSAS p/ B 150</t>
  </si>
  <si>
    <t>A2-884-500</t>
  </si>
  <si>
    <t>Rueda p/ K 520</t>
  </si>
  <si>
    <t>U1</t>
  </si>
  <si>
    <t>A4-553-272</t>
  </si>
  <si>
    <t>Pistón p/ HDS E 3.3</t>
  </si>
  <si>
    <t>A8-635-430</t>
  </si>
  <si>
    <t>Manguera de SUCCION p/ CHARIORT 3</t>
  </si>
  <si>
    <t>B5-063-362</t>
  </si>
  <si>
    <t>Tapa de Motor</t>
  </si>
  <si>
    <t>D2-121-637</t>
  </si>
  <si>
    <t>DISCO SOLDADO</t>
  </si>
  <si>
    <t>A5-037-483</t>
  </si>
  <si>
    <t>Alojamiento de Barra de Aspiración p/ BR 35/12</t>
  </si>
  <si>
    <t>A8-621-785</t>
  </si>
  <si>
    <t>Filtro p/ NUWAVE</t>
  </si>
  <si>
    <t>A9-196-041</t>
  </si>
  <si>
    <t>Tornillo de Tuerca p/ Agarradera G2800</t>
  </si>
  <si>
    <t>GAV 203</t>
  </si>
  <si>
    <t>D5-110-046</t>
  </si>
  <si>
    <t>REMACHE PARA ES 650</t>
  </si>
  <si>
    <t>GAV 1019</t>
  </si>
  <si>
    <t>Martillos para TR 500/500 T</t>
  </si>
  <si>
    <t>Kit de cuchillas para AR-40</t>
  </si>
  <si>
    <t>A6-348-264</t>
  </si>
  <si>
    <t>FAJA PARA BR 400</t>
  </si>
  <si>
    <t>A6-630-092</t>
  </si>
  <si>
    <t>TERMOSTATO DE SEGURIDAD PARA K 1102</t>
  </si>
  <si>
    <t>GAV 157</t>
  </si>
  <si>
    <t>D1-111-082</t>
  </si>
  <si>
    <t>INTERRUPTOR ELEC.</t>
  </si>
  <si>
    <t>GAV 866</t>
  </si>
  <si>
    <t>DA403400</t>
  </si>
  <si>
    <t>Acople de Seguridad con Botón de Alivio (1/4" T &amp; I/M 1/4" NPT (F))</t>
  </si>
  <si>
    <t>JJJ5</t>
  </si>
  <si>
    <t>A6-415-960</t>
  </si>
  <si>
    <t>Filtro COMPLETO p/ HD 9/50 GE</t>
  </si>
  <si>
    <t>A8-625-996</t>
  </si>
  <si>
    <t>Rueda p/ BRC 38/30</t>
  </si>
  <si>
    <t>P2</t>
  </si>
  <si>
    <t>A5-110-944</t>
  </si>
  <si>
    <t>Perno p/ B 60</t>
  </si>
  <si>
    <t>GAV 37</t>
  </si>
  <si>
    <t>Oring 15.6 X 1.78</t>
  </si>
  <si>
    <t>GAV 151</t>
  </si>
  <si>
    <t>A5-132-134</t>
  </si>
  <si>
    <t>Tapón p/ HDS 558</t>
  </si>
  <si>
    <t>5.2 A</t>
  </si>
  <si>
    <t>A5-401-007</t>
  </si>
  <si>
    <t>Soporte de Boquilla</t>
  </si>
  <si>
    <t>GAV 325</t>
  </si>
  <si>
    <t>A6-395-163</t>
  </si>
  <si>
    <t>Boquilla ACODADA p/ B60 NEW</t>
  </si>
  <si>
    <t>A6-632-527</t>
  </si>
  <si>
    <t>Condesandor 250MF</t>
  </si>
  <si>
    <t>A6-670-157</t>
  </si>
  <si>
    <t>EMBRAGUE p/ BD 30/4</t>
  </si>
  <si>
    <t>A9-760-372</t>
  </si>
  <si>
    <t>Manguito de GOMA p/ K2</t>
  </si>
  <si>
    <t>GAV 1247</t>
  </si>
  <si>
    <t>A6-363-339</t>
  </si>
  <si>
    <t>ORING 60 X 2.5</t>
  </si>
  <si>
    <t>5.030-625.0</t>
  </si>
  <si>
    <t>Arandela de piston p/ HD 585</t>
  </si>
  <si>
    <t>LabioS RESISTENTE AL Aceite p/ BR 40/25</t>
  </si>
  <si>
    <t>A6-389-261</t>
  </si>
  <si>
    <t>Manguito  Roscado p/ HDS 1295 HDS 500CI HDS 557CI HDS 655 HDS 695 HDS 700B HDS 895 SB-HDW</t>
  </si>
  <si>
    <t>GAV 1338</t>
  </si>
  <si>
    <t>A8-751-217</t>
  </si>
  <si>
    <t>CAMARA de Aceite p/ HD 3.5/30</t>
  </si>
  <si>
    <t>Tapa de rueda plastica para MC-350G</t>
  </si>
  <si>
    <t>PP3</t>
  </si>
  <si>
    <t>a4-686-018</t>
  </si>
  <si>
    <t>LIMITADOR de TEMPERATURA p/ TODAS HDS</t>
  </si>
  <si>
    <t>A6-348-265</t>
  </si>
  <si>
    <t>A6-363-468</t>
  </si>
  <si>
    <t>Anillo de Guarnición 22*3 p/ SC 1</t>
  </si>
  <si>
    <t>GAV 440</t>
  </si>
  <si>
    <t>A8-631-292</t>
  </si>
  <si>
    <t>Empaque p/ Turbina de Aspiración p/ CHARIOT 3</t>
  </si>
  <si>
    <t>B9-340-270</t>
  </si>
  <si>
    <t>Soporte de bolsa de papel para VC 5.100</t>
  </si>
  <si>
    <t>A2-111-020</t>
  </si>
  <si>
    <t>Set de Boquillas Innofoam (1000 - 13,000 litros - Easy Lock)</t>
  </si>
  <si>
    <t>GAV 975</t>
  </si>
  <si>
    <t>By pass para HD 10/25 version 2</t>
  </si>
  <si>
    <t>A4-427-363</t>
  </si>
  <si>
    <t>Pieza de Nudos p/ HD 5/12, HD 658</t>
  </si>
  <si>
    <t>B5-112-746</t>
  </si>
  <si>
    <t>Borner p/ HDC  24/15-4  Y  36/15-4</t>
  </si>
  <si>
    <t>9.0 A</t>
  </si>
  <si>
    <t>A4-324-032</t>
  </si>
  <si>
    <t>Palpador de Autolimpieza p/ NT 35/1</t>
  </si>
  <si>
    <t>6.6 B</t>
  </si>
  <si>
    <t>Depósito de Aceite p/ HDS 3.5</t>
  </si>
  <si>
    <t>M3</t>
  </si>
  <si>
    <t>A5-070-140</t>
  </si>
  <si>
    <t>DEPOSITO DE AGUA HDS</t>
  </si>
  <si>
    <t>GG4</t>
  </si>
  <si>
    <t>A5-115-431</t>
  </si>
  <si>
    <t>Disco p/ HD 855 - HDS 7/11</t>
  </si>
  <si>
    <t>GAV 463</t>
  </si>
  <si>
    <t>A8-712-339</t>
  </si>
  <si>
    <t>Boquilla Verde 25035 p/ HD 3.5</t>
  </si>
  <si>
    <t>GAV 477</t>
  </si>
  <si>
    <t>B9-302-305</t>
  </si>
  <si>
    <t>Oring 1,78 X 15,54</t>
  </si>
  <si>
    <t>GAV 180</t>
  </si>
  <si>
    <t>A8-754-828</t>
  </si>
  <si>
    <t>CIGUEÑAL p/ HD 3.4</t>
  </si>
  <si>
    <t>D4-111-297</t>
  </si>
  <si>
    <t>CUCHILLA PARA JK-500/700</t>
  </si>
  <si>
    <t>D4-112-026</t>
  </si>
  <si>
    <t>ENGRANAJE PARA ES-650</t>
  </si>
  <si>
    <t>D4-112-041</t>
  </si>
  <si>
    <t>EJE PARA ES-650</t>
  </si>
  <si>
    <t>A4-440-823</t>
  </si>
  <si>
    <t>Acople de Lanza de INNOFOAM</t>
  </si>
  <si>
    <t>GAV 423</t>
  </si>
  <si>
    <t>A4-440-865</t>
  </si>
  <si>
    <t>Codo de Aspiración p/ T 15/1</t>
  </si>
  <si>
    <t>Retenedor de Aceite p/ HD 585, HD 651 Y HDS 558, G 4000</t>
  </si>
  <si>
    <t>GAV 483</t>
  </si>
  <si>
    <t>D1-110-693</t>
  </si>
  <si>
    <t>ARANDELA LISA PARA ES 400</t>
  </si>
  <si>
    <t>GAV 1160</t>
  </si>
  <si>
    <t>A2-324-009</t>
  </si>
  <si>
    <t>Carcasa p/ DS 5500</t>
  </si>
  <si>
    <t>A2-863-267</t>
  </si>
  <si>
    <t>Juego de Boquilla de Piso p/ SC 2 Easy Fix</t>
  </si>
  <si>
    <t>5.055-549.0</t>
  </si>
  <si>
    <t>Cubierta cabezal para FC 3</t>
  </si>
  <si>
    <t>EEE2</t>
  </si>
  <si>
    <t>A5-423-187</t>
  </si>
  <si>
    <t>Linea de Combustible p/ HDS 895</t>
  </si>
  <si>
    <t>A8-751-034</t>
  </si>
  <si>
    <t>CARBURADOR p/ G 2800 XC</t>
  </si>
  <si>
    <t>A4-769-032</t>
  </si>
  <si>
    <t>Inyector p/ HD 801 Y HD 651</t>
  </si>
  <si>
    <t>GAV 700</t>
  </si>
  <si>
    <t>A5-011-993</t>
  </si>
  <si>
    <t>PLATINA BR 40/25</t>
  </si>
  <si>
    <t>A5-115-465</t>
  </si>
  <si>
    <t>Disco p/ HD 651-HDS 500 CI - 558 C ***</t>
  </si>
  <si>
    <t>5.1 A</t>
  </si>
  <si>
    <t>A6-435-412</t>
  </si>
  <si>
    <t>Rueda BR 530 - B40-BR 35/12</t>
  </si>
  <si>
    <t>A8-619-894</t>
  </si>
  <si>
    <t>Manguera de Aspiración p/ VAC PAC 6</t>
  </si>
  <si>
    <t>BB4</t>
  </si>
  <si>
    <t>A4-775-045.3</t>
  </si>
  <si>
    <t>Pistola p/ OC 3</t>
  </si>
  <si>
    <t>A6-371-321</t>
  </si>
  <si>
    <t>Guía de Entrada Naranja p/ Limpiadora de Escaleras</t>
  </si>
  <si>
    <t>A7-343-167</t>
  </si>
  <si>
    <t>Anillo de Seguridad p/ KM 100/100</t>
  </si>
  <si>
    <t>GAV 98</t>
  </si>
  <si>
    <t>A8-623-309</t>
  </si>
  <si>
    <t>GAZA de Manguera BRC 30 15 C</t>
  </si>
  <si>
    <t>GAV 23</t>
  </si>
  <si>
    <t>A4-421-631</t>
  </si>
  <si>
    <t>Sensor de Combustible p/ HDS 655</t>
  </si>
  <si>
    <t>A4-635-004</t>
  </si>
  <si>
    <t>Flotador p/ HDS E3.3</t>
  </si>
  <si>
    <t>A7-306-228</t>
  </si>
  <si>
    <t>Tornillo p/ B140</t>
  </si>
  <si>
    <t>GAV 994</t>
  </si>
  <si>
    <t>A4-130-008</t>
  </si>
  <si>
    <t>Boquilla de Piso p/ PUZZI 30/4</t>
  </si>
  <si>
    <t>A6-647-737</t>
  </si>
  <si>
    <t>Cable de Batería</t>
  </si>
  <si>
    <t>A5-031-709</t>
  </si>
  <si>
    <t>SEGURO p/ Boquilla Triple</t>
  </si>
  <si>
    <t>GAV 405</t>
  </si>
  <si>
    <t>A6-330-407</t>
  </si>
  <si>
    <t>Pinza Resorte B60</t>
  </si>
  <si>
    <t>GAV 136</t>
  </si>
  <si>
    <t>A6-390-028</t>
  </si>
  <si>
    <t>Manguera de Destaqueo p/ HD 5/12C</t>
  </si>
  <si>
    <t>B6-362-223</t>
  </si>
  <si>
    <t>ORING 10.82 X 1.78</t>
  </si>
  <si>
    <t>GAV 44</t>
  </si>
  <si>
    <t>A4-063-919</t>
  </si>
  <si>
    <t>Codo de Entrada p/ K 2 K1 &amp; K2 BASIC</t>
  </si>
  <si>
    <t>A4-663-123</t>
  </si>
  <si>
    <t>QUEMADOR p/ HDS 558, HDS 557 CI</t>
  </si>
  <si>
    <t>A5-032-262</t>
  </si>
  <si>
    <t>Soporte p/ Aspiradora NT 65/2</t>
  </si>
  <si>
    <t>6.3 I</t>
  </si>
  <si>
    <t>A5-311-165</t>
  </si>
  <si>
    <t>5.5 B</t>
  </si>
  <si>
    <t>Anillo de Obturación P/ B60</t>
  </si>
  <si>
    <t>A5-581-251</t>
  </si>
  <si>
    <t>Asiento de Válvula p/ HDS 895</t>
  </si>
  <si>
    <t>GAV 630</t>
  </si>
  <si>
    <t>A9-803-551</t>
  </si>
  <si>
    <t>Tornillo 5/16 x 3/14</t>
  </si>
  <si>
    <t>GAV 1346</t>
  </si>
  <si>
    <t>A6-465-031</t>
  </si>
  <si>
    <t>Conector de Llave 3/4 KARCHER</t>
  </si>
  <si>
    <t>D2</t>
  </si>
  <si>
    <t>A6-610-288</t>
  </si>
  <si>
    <t>Juego de ESCOBILLAS p/ Aspiradora NT 35/1</t>
  </si>
  <si>
    <t>GAV 1259</t>
  </si>
  <si>
    <t>A8-751-230</t>
  </si>
  <si>
    <t>ENPAQUE p/ HD 3.4</t>
  </si>
  <si>
    <t>6.3 J</t>
  </si>
  <si>
    <t>A4-063-591</t>
  </si>
  <si>
    <t>TAPA CAJA ELECTRICA PARA K 520M</t>
  </si>
  <si>
    <t>A5-363-635</t>
  </si>
  <si>
    <t>Junta  p/ SG 4/4</t>
  </si>
  <si>
    <t>GAV 321</t>
  </si>
  <si>
    <t>A6-389-049</t>
  </si>
  <si>
    <t>Boquilla p/ SGV 6/15</t>
  </si>
  <si>
    <t>GAV 973</t>
  </si>
  <si>
    <t>A8-613-840</t>
  </si>
  <si>
    <t>Boquilla Con Cepillop/ TAPICERIA p/ AXCESS 12</t>
  </si>
  <si>
    <t>A8-613-881</t>
  </si>
  <si>
    <t>Cepillo para senxor XP 15</t>
  </si>
  <si>
    <t>V3</t>
  </si>
  <si>
    <t>A9-196-046</t>
  </si>
  <si>
    <t>Tornillo de ESPACIADOR G 4000</t>
  </si>
  <si>
    <t>GAV 213</t>
  </si>
  <si>
    <t>C0-000-036</t>
  </si>
  <si>
    <t>Carburador Para GX 390</t>
  </si>
  <si>
    <t>D2-122-306</t>
  </si>
  <si>
    <t>SARANDA PLANA PARA TRF 300</t>
  </si>
  <si>
    <t>A8-600-603</t>
  </si>
  <si>
    <t>Polea de Transmisión p/ BRC 38/30</t>
  </si>
  <si>
    <t>A8-712-337</t>
  </si>
  <si>
    <t>Boquilla Fija Roja p/ HD 3.5 (0º Grados)</t>
  </si>
  <si>
    <t>GAV 996</t>
  </si>
  <si>
    <t>A7-306-089</t>
  </si>
  <si>
    <t>Tornillo p/ PUZZI 300</t>
  </si>
  <si>
    <t>GAV 490</t>
  </si>
  <si>
    <t>A8-600-522</t>
  </si>
  <si>
    <t>Micro Filtro Higiénico p/ Sensor XP 12</t>
  </si>
  <si>
    <t>Tapa de Rueda p/ NT 90/2</t>
  </si>
  <si>
    <t>RETENEDOR de Aceite p/ K 310 K 330 K370 Y K209 K 5***</t>
  </si>
  <si>
    <t>GAV 1297</t>
  </si>
  <si>
    <t>A9-036-892</t>
  </si>
  <si>
    <t>Labio MIXTO de Aspiración p/ A2200 - A 2101- A 2004</t>
  </si>
  <si>
    <t>H5</t>
  </si>
  <si>
    <t>B9-302-297</t>
  </si>
  <si>
    <t>Oring 1,78 X 28,3</t>
  </si>
  <si>
    <t>GAV 183</t>
  </si>
  <si>
    <t>A4-553-274</t>
  </si>
  <si>
    <t>Pistón p/ HD 6/ 14 C</t>
  </si>
  <si>
    <t>A4-683-045</t>
  </si>
  <si>
    <t>Sistema de ConTROL SGV 6</t>
  </si>
  <si>
    <t>A5-692-004</t>
  </si>
  <si>
    <t>Conduccion de aire para HD 7/13</t>
  </si>
  <si>
    <t>A6-343-224</t>
  </si>
  <si>
    <t>SEGURO de Rueda</t>
  </si>
  <si>
    <t>GAV 56</t>
  </si>
  <si>
    <t>Filtro de Aire p/ NT 35/1,NT 30/1 Nueva</t>
  </si>
  <si>
    <t>A6-373-987</t>
  </si>
  <si>
    <t>Arnés p/ Lanza TELESCOPICA</t>
  </si>
  <si>
    <t>A6-630-667</t>
  </si>
  <si>
    <t>PROTECCION de Motor p/ B 40 Eléctrica</t>
  </si>
  <si>
    <t>GAV 787</t>
  </si>
  <si>
    <t>A6-905-864</t>
  </si>
  <si>
    <t>CepilloRojo p/ BD 530</t>
  </si>
  <si>
    <t>SS3</t>
  </si>
  <si>
    <t>B9-311-207</t>
  </si>
  <si>
    <t>MOTOR PARA K  JUNIOR Y K 340</t>
  </si>
  <si>
    <t>A4-258-150.3</t>
  </si>
  <si>
    <t>Cepillop/ KB 5</t>
  </si>
  <si>
    <t>G4</t>
  </si>
  <si>
    <t>A5-115-432</t>
  </si>
  <si>
    <t>Disco p/ HD-855-S - HDS 7/12</t>
  </si>
  <si>
    <t>GAV 681</t>
  </si>
  <si>
    <t>A5-115-521</t>
  </si>
  <si>
    <t>GAV 675</t>
  </si>
  <si>
    <t>RESORTE HELICOIDAL HD 3.5</t>
  </si>
  <si>
    <t>GAV 719</t>
  </si>
  <si>
    <t>A5-037-537</t>
  </si>
  <si>
    <t>Alojamiento Accionamiento B40, B50</t>
  </si>
  <si>
    <t>Borne para HD 10/25***</t>
  </si>
  <si>
    <t>A6-472-970</t>
  </si>
  <si>
    <t>Válvula MAGNETICA KM 100/100</t>
  </si>
  <si>
    <t>D5-110-091</t>
  </si>
  <si>
    <t>POLEA DE REDUCCION</t>
  </si>
  <si>
    <t>9.765-883.0</t>
  </si>
  <si>
    <t>Boquilla de tapiceria para VC 4S</t>
  </si>
  <si>
    <t>A4-686-022</t>
  </si>
  <si>
    <t>Electro Válvula p/ HDS 6/14</t>
  </si>
  <si>
    <t>A9-751-152</t>
  </si>
  <si>
    <t>Motor p/ HD 6/15</t>
  </si>
  <si>
    <t>RR4</t>
  </si>
  <si>
    <t>A2-645-015</t>
  </si>
  <si>
    <t>Acople Rápido Metálico de 1/2"</t>
  </si>
  <si>
    <t>DISCO OSCILANTE PARA  K 2.01</t>
  </si>
  <si>
    <t>a9-134-016</t>
  </si>
  <si>
    <t>Asiento de Válvula p/ G 2500***</t>
  </si>
  <si>
    <t>GAV 442</t>
  </si>
  <si>
    <t>B9-389-282</t>
  </si>
  <si>
    <t>Manguera para equipo estacionario HDC 24/15</t>
  </si>
  <si>
    <t>A2-889-053</t>
  </si>
  <si>
    <t>Boquilla Triángular p/ SGV 6/5</t>
  </si>
  <si>
    <t>Oring 36.0 X 2.0 p/ HDS 1055 - 1295 - 655 - 895 - HD 10/25</t>
  </si>
  <si>
    <t>GAV 148</t>
  </si>
  <si>
    <t>A6-904-312</t>
  </si>
  <si>
    <t>PAQUETE de Bolsa 10UNIDAdeS p/ T 12/1</t>
  </si>
  <si>
    <t>R1</t>
  </si>
  <si>
    <t>A7-401-304</t>
  </si>
  <si>
    <t>ROL 30204 p/ B250</t>
  </si>
  <si>
    <t>A9-037-293</t>
  </si>
  <si>
    <t>Base p/ Manguera</t>
  </si>
  <si>
    <t>C7-401-183</t>
  </si>
  <si>
    <t>Arrancador Completo GC160 p/</t>
  </si>
  <si>
    <t>A5-032-412</t>
  </si>
  <si>
    <t>Adaptador p/ NT 72/2</t>
  </si>
  <si>
    <t>A6-348-460</t>
  </si>
  <si>
    <t>Faja p/ CV 38/2 - 48/2</t>
  </si>
  <si>
    <t>Batería p/ Aspiradora BV 5-1</t>
  </si>
  <si>
    <t>A7-306-320</t>
  </si>
  <si>
    <t>Tornillo</t>
  </si>
  <si>
    <t>GAV 232</t>
  </si>
  <si>
    <t>A2-863-274</t>
  </si>
  <si>
    <t>Bolsa de Papel para WD1- (5 unidades)</t>
  </si>
  <si>
    <t>A5-031-626</t>
  </si>
  <si>
    <t>PIEZA PERFILADA NT 361</t>
  </si>
  <si>
    <t>GAV 8</t>
  </si>
  <si>
    <t>A5-115-754</t>
  </si>
  <si>
    <t>5.1 C</t>
  </si>
  <si>
    <t>A6-294-009</t>
  </si>
  <si>
    <t>RM KLEEN MTC 103 (4X1 L)</t>
  </si>
  <si>
    <t>A8-600-660</t>
  </si>
  <si>
    <t>Tornillo p/ CLIPPER DUO</t>
  </si>
  <si>
    <t>GAV 386</t>
  </si>
  <si>
    <t>A4-039-267</t>
  </si>
  <si>
    <t>Juego de montaje lámpara omnidireccional para BD 50/70</t>
  </si>
  <si>
    <t>I4</t>
  </si>
  <si>
    <t>A5-035-579</t>
  </si>
  <si>
    <t>Filtro Flotador p/ B 150</t>
  </si>
  <si>
    <t>A5-332-343</t>
  </si>
  <si>
    <t>RESORTE p/ de 4002</t>
  </si>
  <si>
    <t>GAV 1315</t>
  </si>
  <si>
    <t>A7-306-047</t>
  </si>
  <si>
    <t>Tornillo p/ HD 6/15</t>
  </si>
  <si>
    <t>GAV 566</t>
  </si>
  <si>
    <t>A8-619-890</t>
  </si>
  <si>
    <t>Bolsa p/ Filtro p/ VAC PAC 6</t>
  </si>
  <si>
    <t>A9-803-216</t>
  </si>
  <si>
    <t>Disco p/ HD 3.4</t>
  </si>
  <si>
    <t>GAV 449</t>
  </si>
  <si>
    <t>C0-000-227</t>
  </si>
  <si>
    <t>FILTRO DE COMBUSTIBLE DE TANQUE GX 390</t>
  </si>
  <si>
    <t>A2-863-272</t>
  </si>
  <si>
    <t>Boquilla Ranuras Larga p/ Equipo Domésitco DN 35</t>
  </si>
  <si>
    <t>I5</t>
  </si>
  <si>
    <t>A7-311-570</t>
  </si>
  <si>
    <t>Tuerca p/ BR 400</t>
  </si>
  <si>
    <t>GAV 656</t>
  </si>
  <si>
    <t>A9-765-452</t>
  </si>
  <si>
    <t>Boquilla De Piso VC 4S</t>
  </si>
  <si>
    <t>Enchufe de 110 voltios</t>
  </si>
  <si>
    <t>F5</t>
  </si>
  <si>
    <t>Motor p/ CV 30/1</t>
  </si>
  <si>
    <t>X2</t>
  </si>
  <si>
    <t>Boquilla de piso N40 p/NT 65/2, NT 70/2, NT 72/2</t>
  </si>
  <si>
    <t>A8-614-533</t>
  </si>
  <si>
    <t>RESORTE p/ Tapa de ACCESO de SENSOR S12</t>
  </si>
  <si>
    <t>GAV 314</t>
  </si>
  <si>
    <t>B9-369-396</t>
  </si>
  <si>
    <t>UNION PARA HDC 24/15-4 * 36/15-4</t>
  </si>
  <si>
    <t>GAV 334</t>
  </si>
  <si>
    <t>MP513600AV</t>
  </si>
  <si>
    <t>Cinta de Teflon</t>
  </si>
  <si>
    <t>III6</t>
  </si>
  <si>
    <t>Entrada de Agua p/ HD 5/12, HD 7/13</t>
  </si>
  <si>
    <t>A8-616-304</t>
  </si>
  <si>
    <t>Prensa de Filtro p/ TITAN (Windsor)</t>
  </si>
  <si>
    <t>A4-580-666</t>
  </si>
  <si>
    <t>By Pass p/ K 6.95</t>
  </si>
  <si>
    <t>GAV 1320</t>
  </si>
  <si>
    <t>A6-363-280</t>
  </si>
  <si>
    <t>Oring de 12 X 2 p/ FRV 30</t>
  </si>
  <si>
    <t>GAV 31</t>
  </si>
  <si>
    <t>A7-312-025</t>
  </si>
  <si>
    <t>SEGURO p/ KM 100/100</t>
  </si>
  <si>
    <t>GAV 223</t>
  </si>
  <si>
    <t>D1-111-713</t>
  </si>
  <si>
    <t>CORREA EN V A59</t>
  </si>
  <si>
    <t>A2-883-472</t>
  </si>
  <si>
    <t>Set de REp/CION Turbo 0.50</t>
  </si>
  <si>
    <t>MicroInterruptor p/ HD 5/12</t>
  </si>
  <si>
    <t>A4-440-728</t>
  </si>
  <si>
    <t>Manguera Antiestática p/ NT 72-2 Eco. (Set)</t>
  </si>
  <si>
    <t>Z5</t>
  </si>
  <si>
    <t>A5-363-232</t>
  </si>
  <si>
    <t>Anillo de APOYO p/ HD 1090-1094</t>
  </si>
  <si>
    <t>GAV 549</t>
  </si>
  <si>
    <t>Asiento de Válvula HD 10/25</t>
  </si>
  <si>
    <t>GAV 723</t>
  </si>
  <si>
    <t>A2-113-026</t>
  </si>
  <si>
    <t>Boquilla Fija 25060  (Versión Nueva)</t>
  </si>
  <si>
    <t>H4</t>
  </si>
  <si>
    <t>A6-388-381</t>
  </si>
  <si>
    <t>Unión p/ PUZZI 8/1</t>
  </si>
  <si>
    <t>GAV 6</t>
  </si>
  <si>
    <t>A6-414-554</t>
  </si>
  <si>
    <t>Filtro Completa KMR 1700</t>
  </si>
  <si>
    <t>A5-515-322</t>
  </si>
  <si>
    <t>Rueda BR 30/4</t>
  </si>
  <si>
    <t>P1</t>
  </si>
  <si>
    <t>A6-626-024</t>
  </si>
  <si>
    <t>Criba p/ PC Bio</t>
  </si>
  <si>
    <t>A4-063-729</t>
  </si>
  <si>
    <t>Tapa deL Filtro p/ NT 65/2</t>
  </si>
  <si>
    <t>GG2</t>
  </si>
  <si>
    <t>A6-362-169</t>
  </si>
  <si>
    <t>Anillo de Guarnición 12.0X2.0 p/ NT 65/2 K 5.85</t>
  </si>
  <si>
    <t>GAV 246</t>
  </si>
  <si>
    <t>A8-616-312</t>
  </si>
  <si>
    <t>A2-880-001</t>
  </si>
  <si>
    <t>Set de Oring p/ Pistola (Easy Lock)</t>
  </si>
  <si>
    <t>H2</t>
  </si>
  <si>
    <t>A4-481-080</t>
  </si>
  <si>
    <t>PERILLA PARA BR 400</t>
  </si>
  <si>
    <t>A5-031-461</t>
  </si>
  <si>
    <t>Cubierta p/ BR 530</t>
  </si>
  <si>
    <t>A6-363-319</t>
  </si>
  <si>
    <t>Oring 21.5 X 3.2</t>
  </si>
  <si>
    <t>GAV 574</t>
  </si>
  <si>
    <t>Turbina de Aspiración p/ NT 70/2 NT90/2</t>
  </si>
  <si>
    <t>X5</t>
  </si>
  <si>
    <t>B6-343-170</t>
  </si>
  <si>
    <t>SEGURO</t>
  </si>
  <si>
    <t>GAV 58</t>
  </si>
  <si>
    <t>DH650001AV</t>
  </si>
  <si>
    <t>Pistola Pulverizadora para uso automotriz.</t>
  </si>
  <si>
    <t>GGG2</t>
  </si>
  <si>
    <t>Carcasa de Filtro de Aire</t>
  </si>
  <si>
    <t>A5-031-703</t>
  </si>
  <si>
    <t>Anillo TENSOR p/ T 201, T 171</t>
  </si>
  <si>
    <t>9.1 A</t>
  </si>
  <si>
    <t>Protector de Correa Delantero p/Compresores</t>
  </si>
  <si>
    <t>A6-363-244</t>
  </si>
  <si>
    <t>Oring 12.42 X 1.78 p/ HD 10/25</t>
  </si>
  <si>
    <t>GAV 144</t>
  </si>
  <si>
    <t>Disco Oscilante p/ HD 7/12</t>
  </si>
  <si>
    <t>A4-590-105</t>
  </si>
  <si>
    <t>Tapón de Seguridad p/ SC 2, VS4</t>
  </si>
  <si>
    <t>A8-751-223</t>
  </si>
  <si>
    <t>CIGUENAL p/ HD 3.3/30</t>
  </si>
  <si>
    <t>A8-752-076</t>
  </si>
  <si>
    <t>Tapa de Válvula p/ G3050OH</t>
  </si>
  <si>
    <t>GAV 806</t>
  </si>
  <si>
    <t>Piñon Satelitarl p/ Equipos K</t>
  </si>
  <si>
    <t>A5-032-565</t>
  </si>
  <si>
    <t>REJA de Aire p/ DS 5600</t>
  </si>
  <si>
    <t>A8-627-187</t>
  </si>
  <si>
    <t>Tuerca 1/4 20 p/ BRC 38/30</t>
  </si>
  <si>
    <t>GAV 1005</t>
  </si>
  <si>
    <t>D2-120-130</t>
  </si>
  <si>
    <t>CARCASA IZQUIERDA P/HT 500</t>
  </si>
  <si>
    <t>A4-760-584</t>
  </si>
  <si>
    <t>Lanza Mediana K-PARTS</t>
  </si>
  <si>
    <t>A4-760-665</t>
  </si>
  <si>
    <t>Lanza de 550 mm p/HD 651, HD 5/12, HD 801 B</t>
  </si>
  <si>
    <t>A6-367-097</t>
  </si>
  <si>
    <t>RETENEDOR K 3.81</t>
  </si>
  <si>
    <t>GAV 629</t>
  </si>
  <si>
    <t>A6-490-011</t>
  </si>
  <si>
    <t>Carbones p/ BD 50/60</t>
  </si>
  <si>
    <t>GAV 765</t>
  </si>
  <si>
    <t>Tubo de Aspiración p/ NT 65/2, NT 72/2 .</t>
  </si>
  <si>
    <t>B5-116-113</t>
  </si>
  <si>
    <t>Disco p/ HDC  24/15-4 &amp; 36/15-4</t>
  </si>
  <si>
    <t>A5-403-056</t>
  </si>
  <si>
    <t>Manguito DOBLE</t>
  </si>
  <si>
    <t>6.4 A</t>
  </si>
  <si>
    <t>A6-388-701</t>
  </si>
  <si>
    <t>Abrazadera de Manguera p/ PUZZI 100</t>
  </si>
  <si>
    <t>GAV 1193</t>
  </si>
  <si>
    <t>D5-112-015</t>
  </si>
  <si>
    <t>DA404100</t>
  </si>
  <si>
    <t>Acople de Rotacion 360 grados Universal de 1/4"</t>
  </si>
  <si>
    <t>JJJ3</t>
  </si>
  <si>
    <t>A6-348-444</t>
  </si>
  <si>
    <t>Correa deNTADA  420 BR 40/10</t>
  </si>
  <si>
    <t>Interruptor para K1</t>
  </si>
  <si>
    <t>A8-622-429</t>
  </si>
  <si>
    <t>Espaciador p/ BRC 38/30</t>
  </si>
  <si>
    <t>GAV 494</t>
  </si>
  <si>
    <t>A8-754-381</t>
  </si>
  <si>
    <t>Pistola de PROYECCION MANUAL p/ G4000 y G2700</t>
  </si>
  <si>
    <t>A9-763-006</t>
  </si>
  <si>
    <t>Polea Completa p/ BD 50/60</t>
  </si>
  <si>
    <t>GAV 310</t>
  </si>
  <si>
    <t>B9-391-003</t>
  </si>
  <si>
    <t>Filtro Interno p/HD 585</t>
  </si>
  <si>
    <t>A6-640-766</t>
  </si>
  <si>
    <t>Filtro de carbono activo granulado p/ WPC 100 RO</t>
  </si>
  <si>
    <t>OO1</t>
  </si>
  <si>
    <t>A8-751-041</t>
  </si>
  <si>
    <t>Control de Acelaración p/ G 2800</t>
  </si>
  <si>
    <t>Boquilla de Piso p/ Equipo Doméstico</t>
  </si>
  <si>
    <t>EEE1</t>
  </si>
  <si>
    <t>A8-755-630</t>
  </si>
  <si>
    <t>Tornillo p/ G2700</t>
  </si>
  <si>
    <t>A2-863-266</t>
  </si>
  <si>
    <t>Set de Paños de Microfibra p/ SC 2Easy Fix</t>
  </si>
  <si>
    <t>S4</t>
  </si>
  <si>
    <t>A6-363-405</t>
  </si>
  <si>
    <t>Oring p/ HD 9/50 GE</t>
  </si>
  <si>
    <t>GAV 745</t>
  </si>
  <si>
    <t>D1-110-322</t>
  </si>
  <si>
    <t>TORNILLO PARA HT-500</t>
  </si>
  <si>
    <t>GAV 835</t>
  </si>
  <si>
    <t>D1-110-340</t>
  </si>
  <si>
    <t>TORNILLO PARA ES-650</t>
  </si>
  <si>
    <t>GAV 1024</t>
  </si>
  <si>
    <t>A5-060-422.3</t>
  </si>
  <si>
    <t>Carcasa para HDS 895</t>
  </si>
  <si>
    <t>VENTAS</t>
  </si>
  <si>
    <t>A5-394-680</t>
  </si>
  <si>
    <t>PROTECCION Interna p/ CV 30/1</t>
  </si>
  <si>
    <t>A5-035-522</t>
  </si>
  <si>
    <t>Manguito  B 60 - B 40</t>
  </si>
  <si>
    <t>GAV 1035</t>
  </si>
  <si>
    <t>D2-120-095</t>
  </si>
  <si>
    <t>RUEDA CON NEUMATICO</t>
  </si>
  <si>
    <t>D4-111-059</t>
  </si>
  <si>
    <t>GAV 1058</t>
  </si>
  <si>
    <t>MP513803AV</t>
  </si>
  <si>
    <t>Mini Filtro de Aire -1/4"</t>
  </si>
  <si>
    <t>Inyector G 2500 -K5</t>
  </si>
  <si>
    <t>GAV 1235</t>
  </si>
  <si>
    <t>A5-115-520</t>
  </si>
  <si>
    <t>GAV 673</t>
  </si>
  <si>
    <t>A6-390-428</t>
  </si>
  <si>
    <t>Tubo FLEXIBLE PUZZI 300</t>
  </si>
  <si>
    <t>A6-362-153</t>
  </si>
  <si>
    <t>ORING 15.3 X 2.4</t>
  </si>
  <si>
    <t>B9-311-211</t>
  </si>
  <si>
    <t>BY PASS P/ K JUNIOR, K340</t>
  </si>
  <si>
    <t>D2-822-076</t>
  </si>
  <si>
    <t>TAPA PARA TRF 80</t>
  </si>
  <si>
    <t>PP5</t>
  </si>
  <si>
    <t>A4-730-168</t>
  </si>
  <si>
    <t>Filtro p/ HD 7/11-4</t>
  </si>
  <si>
    <t>LabioS de Aspiración p/ BR 30/4 resistente al aceite</t>
  </si>
  <si>
    <t>D1-111-671</t>
  </si>
  <si>
    <t>CORREA EN V PARA TRF-300</t>
  </si>
  <si>
    <t>A4-580-709</t>
  </si>
  <si>
    <t>Válvula de Seguridad p/ HDS E 3.3</t>
  </si>
  <si>
    <t>A5-050-310</t>
  </si>
  <si>
    <t>Tapa de Caja de TRANSMICION p/ BR 40/10</t>
  </si>
  <si>
    <t>A5-105-254</t>
  </si>
  <si>
    <t>Eje de Rueda de Squegge BR 55/60</t>
  </si>
  <si>
    <t>GAV 684</t>
  </si>
  <si>
    <t>Junta D 18 p/ HD 6/15</t>
  </si>
  <si>
    <t>Tapa p/ Puzzi 8/1</t>
  </si>
  <si>
    <t>LL1</t>
  </si>
  <si>
    <t>A6-630-135</t>
  </si>
  <si>
    <t>MicroInterruptor p/ CV 38/2</t>
  </si>
  <si>
    <t>GAV 296</t>
  </si>
  <si>
    <t>CL153900AV</t>
  </si>
  <si>
    <t>Remachadora Neumática Industrial</t>
  </si>
  <si>
    <t>GG3</t>
  </si>
  <si>
    <t>A2-113-024</t>
  </si>
  <si>
    <t>Boquilla Fija  25052 (Versión Nueva)</t>
  </si>
  <si>
    <t>A2-114-000</t>
  </si>
  <si>
    <t>Boquilla de Vapor 40040</t>
  </si>
  <si>
    <t>GAV 928</t>
  </si>
  <si>
    <t>A2-863-025</t>
  </si>
  <si>
    <t>Boquilla p/ Limpieza de Ventanas SG 4/4, SC 2</t>
  </si>
  <si>
    <t>A2-885-272</t>
  </si>
  <si>
    <t>Visagra p/ HDS 6/14</t>
  </si>
  <si>
    <t>Interruptor p/ C V 30/1</t>
  </si>
  <si>
    <t>GAV 1265</t>
  </si>
  <si>
    <t>A7-303-039</t>
  </si>
  <si>
    <t>GAV 209</t>
  </si>
  <si>
    <t>B9-311-011</t>
  </si>
  <si>
    <t>PISTOLA CON MANGUERA PARA K JUNIOR K 340 K 200 Y K 370</t>
  </si>
  <si>
    <t>A6-642-120</t>
  </si>
  <si>
    <t>Cable de DATOS p/ B140</t>
  </si>
  <si>
    <t>C0-000-228</t>
  </si>
  <si>
    <t>dePURADOR p/ GX 390</t>
  </si>
  <si>
    <t>A4-060-534</t>
  </si>
  <si>
    <t>Carcasa de Turbina p/ NT 65/2</t>
  </si>
  <si>
    <t>A4-363-691</t>
  </si>
  <si>
    <t>Set de Oring p/ TODAS LAS HDS</t>
  </si>
  <si>
    <t>Embolo de Protección p/ HDS 10/20-4M</t>
  </si>
  <si>
    <t>6.3 D</t>
  </si>
  <si>
    <t>A5-394-669</t>
  </si>
  <si>
    <t>Delantal p/ KM 85/50W</t>
  </si>
  <si>
    <t>A5-553-249</t>
  </si>
  <si>
    <t>Inyector p/ HD 585</t>
  </si>
  <si>
    <t>Entrada de Agua p/ HD 5/12</t>
  </si>
  <si>
    <t>CUERDA de EmpaqueTADURA p/ HDS 550-557-558-6/14</t>
  </si>
  <si>
    <t>A8-616-318</t>
  </si>
  <si>
    <t>Junta p/ TITAN (Windsor)</t>
  </si>
  <si>
    <t>GAV 1163</t>
  </si>
  <si>
    <t>Pieza de nudos p/ HD 585 (version nueva)</t>
  </si>
  <si>
    <t>D1-113-403</t>
  </si>
  <si>
    <t>PERNO PARA ES-650</t>
  </si>
  <si>
    <t>GAV 1115</t>
  </si>
  <si>
    <t>A2-113-003</t>
  </si>
  <si>
    <t>Boquilla fija 40040 version easy lock</t>
  </si>
  <si>
    <t>Cobertor p/ LA Boquilla p/ PUZZI 8/1 VERSION NUEVA</t>
  </si>
  <si>
    <t>A8-636-578</t>
  </si>
  <si>
    <t>Acople de Cable Eléctrico p/ BOLT</t>
  </si>
  <si>
    <t>D2-122-365</t>
  </si>
  <si>
    <t>SARANDA N. 3.0 MM PARA JK-700</t>
  </si>
  <si>
    <t>A2-863-061</t>
  </si>
  <si>
    <t>Juego de Coronas de Cerdas Metálicas p/ SC 2, SC 1 (3 unidades)</t>
  </si>
  <si>
    <t>A4-767-173</t>
  </si>
  <si>
    <t>Boquilla giratoria 35mp</t>
  </si>
  <si>
    <t>A8-600-007</t>
  </si>
  <si>
    <t>Cepillop/ Boquilla de TAPICERIAS p/ VAC PAC</t>
  </si>
  <si>
    <t>A4-622-036</t>
  </si>
  <si>
    <t>Transformador de ENCENDIDO p/ HD 6/14 C</t>
  </si>
  <si>
    <t>A5-363-630</t>
  </si>
  <si>
    <t>Junta p/ KM 70/20</t>
  </si>
  <si>
    <t>A6-273-290</t>
  </si>
  <si>
    <t>LabioS de Squegge p/ BD 50/60</t>
  </si>
  <si>
    <t>A6-362-852</t>
  </si>
  <si>
    <t>Set de Oring</t>
  </si>
  <si>
    <t>GAV 109</t>
  </si>
  <si>
    <t>RUEDA PARA HD 585</t>
  </si>
  <si>
    <t>A5-403-175</t>
  </si>
  <si>
    <t>Unión de Manguera de Alta Presión de HD Y HDS (Versión Vieja)</t>
  </si>
  <si>
    <t>A8-621-469</t>
  </si>
  <si>
    <t>Reja lateral para AB 84</t>
  </si>
  <si>
    <t>A9-001-101</t>
  </si>
  <si>
    <t>Guía de EMPUJE p/ K 2.00</t>
  </si>
  <si>
    <t>Filtro p/ FC 5</t>
  </si>
  <si>
    <t>GAV 1252</t>
  </si>
  <si>
    <t>A5-111-011</t>
  </si>
  <si>
    <t>Manguito de Rueda p/ BR 55/60</t>
  </si>
  <si>
    <t>A5-314-119</t>
  </si>
  <si>
    <t>Pasador p/ Pistola Easy Press</t>
  </si>
  <si>
    <t>GAV 355</t>
  </si>
  <si>
    <t>A6-362-385</t>
  </si>
  <si>
    <t>Oring 26.0 X 2.5 p/ BR 530</t>
  </si>
  <si>
    <t>GAV 583</t>
  </si>
  <si>
    <t>A6-392-334</t>
  </si>
  <si>
    <t>Manguera de deSAGUE p/ BR 75/140</t>
  </si>
  <si>
    <t>A6-902-017</t>
  </si>
  <si>
    <t>Reducción de DN 40 a DN 35</t>
  </si>
  <si>
    <t>A8-707-256</t>
  </si>
  <si>
    <t>Válvula de Alivio p/ HD 3.4</t>
  </si>
  <si>
    <t>D1-111-293</t>
  </si>
  <si>
    <t>CABEZA DE TORNILLO PARA ES 650</t>
  </si>
  <si>
    <t>GAV 1011</t>
  </si>
  <si>
    <t>Canal de Admisión p/ FC 5</t>
  </si>
  <si>
    <t>A8-712-340</t>
  </si>
  <si>
    <t>Boquilla Blanca  40035 p/ HD 3.5</t>
  </si>
  <si>
    <t>GAV 476</t>
  </si>
  <si>
    <t>A9-802-147</t>
  </si>
  <si>
    <t>Acople p/ HD 4.0</t>
  </si>
  <si>
    <t>GAV 1295</t>
  </si>
  <si>
    <t>D2-121-161</t>
  </si>
  <si>
    <t>SALIDA DE PRODUCTO PROCESADO PARA TRF 300</t>
  </si>
  <si>
    <t>PP1</t>
  </si>
  <si>
    <t>A4-130-443</t>
  </si>
  <si>
    <t>Boquilla de Piso p/ PUZZI 100-200-300-8/1</t>
  </si>
  <si>
    <t>A4-132-011</t>
  </si>
  <si>
    <t>Tapa de Válvula p/ K 520 M</t>
  </si>
  <si>
    <t>4.1 A</t>
  </si>
  <si>
    <t>Capacitor 35UF p/ HD 6/15</t>
  </si>
  <si>
    <t>Carcasa Inferio de HD 585</t>
  </si>
  <si>
    <t>DD5</t>
  </si>
  <si>
    <t>CHN10399AV</t>
  </si>
  <si>
    <t>Set de Grapadora tipo Corona de un 1/4"</t>
  </si>
  <si>
    <t>HHH3</t>
  </si>
  <si>
    <t>A6-343-216</t>
  </si>
  <si>
    <t>SEGURO PARA HD 855</t>
  </si>
  <si>
    <t>GAV 1099</t>
  </si>
  <si>
    <t>A6-389-993</t>
  </si>
  <si>
    <t>Abrazadera de Manguera p/  de 4002</t>
  </si>
  <si>
    <t>GAV 52</t>
  </si>
  <si>
    <t>A6-343-149</t>
  </si>
  <si>
    <t>Arandela de Seguridad p/ BR 30/4</t>
  </si>
  <si>
    <t>GAV 73</t>
  </si>
  <si>
    <t>CABLE TSJ 3 X 12 (METRO)</t>
  </si>
  <si>
    <t>A5</t>
  </si>
  <si>
    <t>C7-401-194</t>
  </si>
  <si>
    <t>ROL 1616-2RS</t>
  </si>
  <si>
    <t>Piñon p/ CV 30/1 - 38/2 - 48/2</t>
  </si>
  <si>
    <t>A4-633-045</t>
  </si>
  <si>
    <t>RELE de SOBREINTENSIDAD p/ HDS 3.5</t>
  </si>
  <si>
    <t>A5-115-689</t>
  </si>
  <si>
    <t>Disco P/ HD 1050B - KM 100/100</t>
  </si>
  <si>
    <t>GAV 667</t>
  </si>
  <si>
    <t>Juego  de RuedaS p/ K 3.68</t>
  </si>
  <si>
    <t>A9-803-193</t>
  </si>
  <si>
    <t>Oring p/ HD 3.5/ HD 3.8</t>
  </si>
  <si>
    <t>GAV 775</t>
  </si>
  <si>
    <t>A6-035-006</t>
  </si>
  <si>
    <t>INDICADOR de LLENADO p/ BD 50/60</t>
  </si>
  <si>
    <t>GAV 309</t>
  </si>
  <si>
    <t>A9-081-422</t>
  </si>
  <si>
    <t>Oring Triangular p/ Culata</t>
  </si>
  <si>
    <t>GAV 91</t>
  </si>
  <si>
    <t>A9-802-216</t>
  </si>
  <si>
    <t>Inyector de Químico p/ HD 3.5</t>
  </si>
  <si>
    <t>D2-122-396</t>
  </si>
  <si>
    <t>PIN HEMBRA PARA ES-650</t>
  </si>
  <si>
    <t>A5-402-686</t>
  </si>
  <si>
    <t>Unión p/ HDS 558</t>
  </si>
  <si>
    <t>GAV 1039</t>
  </si>
  <si>
    <t>A6-959-517</t>
  </si>
  <si>
    <t>Juego de ESCOBILLAS SE 3001</t>
  </si>
  <si>
    <t>A4-672-176</t>
  </si>
  <si>
    <t>Soporte de PARED p/ K55</t>
  </si>
  <si>
    <t>Rueda p/ HD 5/12 HD 6/15</t>
  </si>
  <si>
    <t>I4639309</t>
  </si>
  <si>
    <t>Set de Cepillos p/ Roomba series E &amp; I</t>
  </si>
  <si>
    <t>AAA1</t>
  </si>
  <si>
    <t>A2-641-699</t>
  </si>
  <si>
    <t>Juego de Modificación de Diafragma p/ KM 100-100</t>
  </si>
  <si>
    <t>A2-885-397</t>
  </si>
  <si>
    <t>Juego de PiezaS p/ K2-K1-K3 FC</t>
  </si>
  <si>
    <t>6.3 K</t>
  </si>
  <si>
    <t>Disco oscilante para K1- K3 FC</t>
  </si>
  <si>
    <t>Válvula de Retención p/, HDS 801B,HD 525,HD 801B, HD 7/13</t>
  </si>
  <si>
    <t>GAV 704</t>
  </si>
  <si>
    <t>ENGANCHE Rápido</t>
  </si>
  <si>
    <t>GAV 1336</t>
  </si>
  <si>
    <t>C0-000-216</t>
  </si>
  <si>
    <t>FILTRO DE COMBUSTIBLE PARA MOTOR LOMBARDINI</t>
  </si>
  <si>
    <t>NBM-VE007CM</t>
  </si>
  <si>
    <t>Vaso Pequeño p/ Nutribullet NB 600(Recambio)</t>
  </si>
  <si>
    <t>ÑÑ3</t>
  </si>
  <si>
    <t>A2-113-063</t>
  </si>
  <si>
    <t>Boquilla Fija 25033 EASY LOCK p/ HD 4/9</t>
  </si>
  <si>
    <t>5.4 B</t>
  </si>
  <si>
    <t>Cabezal de Cílindro para HD 10/25 (Versión Nueva)</t>
  </si>
  <si>
    <t>A5-354-010</t>
  </si>
  <si>
    <t>PIÑON PARA KM 650 I</t>
  </si>
  <si>
    <t>A5-443-024.3</t>
  </si>
  <si>
    <t>Tapon para HD 7/13</t>
  </si>
  <si>
    <t>A6-414-559</t>
  </si>
  <si>
    <t>Filtro de Combustible p/ HDS 558 C - HDS 7/11 - 10/20</t>
  </si>
  <si>
    <t>Codo de Sálida p/ K2</t>
  </si>
  <si>
    <t>A6-362-491</t>
  </si>
  <si>
    <t>Oring de 80 X 4.5 p/ PUZZI 300</t>
  </si>
  <si>
    <t>A6-371-261-1</t>
  </si>
  <si>
    <t>Pad Diamantado Amarillo de 20"</t>
  </si>
  <si>
    <t>LL4</t>
  </si>
  <si>
    <t>A6-491-994</t>
  </si>
  <si>
    <t>Filtro de COMBUSTIBLE p/ HD 1050 de</t>
  </si>
  <si>
    <t>A6-373-707</t>
  </si>
  <si>
    <t>Abrazadera p/ ICC 1</t>
  </si>
  <si>
    <t>A8-751-038</t>
  </si>
  <si>
    <t>GAV 374</t>
  </si>
  <si>
    <t>D1-110-335</t>
  </si>
  <si>
    <t>ARANDELA DE PRESION</t>
  </si>
  <si>
    <t>GAV 872</t>
  </si>
  <si>
    <t>A5-011-616</t>
  </si>
  <si>
    <t>PLATINA de RESORTE B 140</t>
  </si>
  <si>
    <t>GAV 71</t>
  </si>
  <si>
    <t>A6-362-176</t>
  </si>
  <si>
    <t>Oring 6.07 X 1.78 p/ K JUNIOR HD 1090 HD 1094 HD 801B HD 855 HDS 1055 HDS 1295 HDS 558C HDS 655 HD</t>
  </si>
  <si>
    <t>GAV 30</t>
  </si>
  <si>
    <t>A6-362-365</t>
  </si>
  <si>
    <t>GAV 38</t>
  </si>
  <si>
    <t>A7-306-023</t>
  </si>
  <si>
    <t>Tornillo p/ HD 1050B</t>
  </si>
  <si>
    <t>GAV 305</t>
  </si>
  <si>
    <t>A2-113-011</t>
  </si>
  <si>
    <t>Boquilla Fija 25054  (Versión Nueva)</t>
  </si>
  <si>
    <t>H3</t>
  </si>
  <si>
    <t>A7-343-215</t>
  </si>
  <si>
    <t>Arandela de Ajuste de 25X36X10</t>
  </si>
  <si>
    <t>GAV 226</t>
  </si>
  <si>
    <t>C7-401-196</t>
  </si>
  <si>
    <t>PAD Negro de 17"</t>
  </si>
  <si>
    <t>KK1</t>
  </si>
  <si>
    <t>I4624864</t>
  </si>
  <si>
    <t>Bateria para Irobot Series E &amp; I</t>
  </si>
  <si>
    <t>CCC5</t>
  </si>
  <si>
    <t>A4-421-739</t>
  </si>
  <si>
    <t>ADAPTADOR DE PISTOLA PARAN HDS 558 ECO, HDS 895 VIEJA, HDS 895 M ECO</t>
  </si>
  <si>
    <t>Oring p/ Boquilla de Mano de PUZZI 8/1 Versión Nueva</t>
  </si>
  <si>
    <t>A4-129-003</t>
  </si>
  <si>
    <t>TORNIQUETE COMPLETO p/ BR 75/140, BR 90/140 R</t>
  </si>
  <si>
    <t>Squegge Recto de 850 mm p/ B 60 - 40/25 - 530</t>
  </si>
  <si>
    <t>RR3</t>
  </si>
  <si>
    <t>A6-321-236</t>
  </si>
  <si>
    <t>Tornillo p/ BR 55/60</t>
  </si>
  <si>
    <t>A6-363-294</t>
  </si>
  <si>
    <t>Oring P/ Adaptador de G A HD</t>
  </si>
  <si>
    <t>GAV 94</t>
  </si>
  <si>
    <t>DH580000AV</t>
  </si>
  <si>
    <t>Pistola pulverizadora alimentada por gravedad.</t>
  </si>
  <si>
    <t>A4-321-164</t>
  </si>
  <si>
    <t>Agarradera p/ K 5.85 M</t>
  </si>
  <si>
    <t>MicroInterruptor (HDS 3.5)</t>
  </si>
  <si>
    <t>A6-435-197</t>
  </si>
  <si>
    <t>Tapa de Rueda HD651-585-NT 65/2 PUZZI</t>
  </si>
  <si>
    <t>A7-318-058</t>
  </si>
  <si>
    <t>GAV 14</t>
  </si>
  <si>
    <t>A8-622-343</t>
  </si>
  <si>
    <t>RETAINER p/ LIGHTINING 2000</t>
  </si>
  <si>
    <t>Cojinete p/ HD 6/15</t>
  </si>
  <si>
    <t>A9-751-027</t>
  </si>
  <si>
    <t>Embolo COMPLETO p/ HD 6/15</t>
  </si>
  <si>
    <t>A9-761-099</t>
  </si>
  <si>
    <t>Anillo de Guarnición 12.42 X 1.78 p/ HD 6/15</t>
  </si>
  <si>
    <t>GAV 1263</t>
  </si>
  <si>
    <t>MP323101AV</t>
  </si>
  <si>
    <t>Mandril de doble cabeza de 6"</t>
  </si>
  <si>
    <t>III5</t>
  </si>
  <si>
    <t>9.755-339.0</t>
  </si>
  <si>
    <t>Cabezal de Cilindro para K3</t>
  </si>
  <si>
    <t>A9-761-056</t>
  </si>
  <si>
    <t>Disco D 18 X 28 p/ HD 6/15</t>
  </si>
  <si>
    <t>GAV 18</t>
  </si>
  <si>
    <t>D2-114-010</t>
  </si>
  <si>
    <t>SOPORTE DE CUCHILLA TRC 40  TRC 50</t>
  </si>
  <si>
    <t>A2-113-008</t>
  </si>
  <si>
    <t>Boquilla Fija 25043 (Versión Nueva)</t>
  </si>
  <si>
    <t>Pin Axionante p/ Swich p/ HD 10/25, HD 7/12 -4M</t>
  </si>
  <si>
    <t>B6-401-398</t>
  </si>
  <si>
    <t>ROL 6404</t>
  </si>
  <si>
    <t>A5-032-446</t>
  </si>
  <si>
    <t>Cubierta de Tuerca p/ NT 65/2</t>
  </si>
  <si>
    <t>GAV 710</t>
  </si>
  <si>
    <t>Oring 10.0 X 2.0 p/ HD 1050- 10/25 HDS 500C- 558C- 655- 895- SB-HDW-BD 530- 530 BAT-PACK- 530110V-</t>
  </si>
  <si>
    <t>GAV 13</t>
  </si>
  <si>
    <t>A7-306-268</t>
  </si>
  <si>
    <t>Tornillo p/ KM 100/100</t>
  </si>
  <si>
    <t>GAV 1221</t>
  </si>
  <si>
    <t>A4-580-581-3</t>
  </si>
  <si>
    <t>Válvula de Detergente p/ HDS 6/14</t>
  </si>
  <si>
    <t>GAV 553</t>
  </si>
  <si>
    <t>RuedaS deLANTERAS P/PUZZI 300</t>
  </si>
  <si>
    <t>9.754-560.0</t>
  </si>
  <si>
    <t>Cepillo central para VC 4S</t>
  </si>
  <si>
    <t>A5-050-541</t>
  </si>
  <si>
    <t>Empaque p/ BR 40/10</t>
  </si>
  <si>
    <t>GAV 1283</t>
  </si>
  <si>
    <t>A5-363-308</t>
  </si>
  <si>
    <t>Anillo de OBTURACION p/ CV 30/1</t>
  </si>
  <si>
    <t>GAV 618</t>
  </si>
  <si>
    <t>A6-363-240</t>
  </si>
  <si>
    <t>Anillo de OBTURACION p/ B40</t>
  </si>
  <si>
    <t>A6-630-169</t>
  </si>
  <si>
    <t>Interruptor HDS 655</t>
  </si>
  <si>
    <t>I4643682</t>
  </si>
  <si>
    <t>Filtro para Roomba S9, (3 unidades)</t>
  </si>
  <si>
    <t>BBB3</t>
  </si>
  <si>
    <t>A9-761-140</t>
  </si>
  <si>
    <t>Cojinete p/ HD 6-15</t>
  </si>
  <si>
    <t>A2-863-021</t>
  </si>
  <si>
    <t>Prolongacion para SC 1</t>
  </si>
  <si>
    <t>Limitador de temperatura para HDS 3.5</t>
  </si>
  <si>
    <t>GRAPA p/ K 5.68</t>
  </si>
  <si>
    <t>GAV 419</t>
  </si>
  <si>
    <t>Filtro de Aire p/ WD3, NT38/1,A2004,A2204,NT20/1</t>
  </si>
  <si>
    <t>I2</t>
  </si>
  <si>
    <t>A6-491-655</t>
  </si>
  <si>
    <t>Filtro de Combustible p/KMR 1700 - ICC 1</t>
  </si>
  <si>
    <t>A4-580-323</t>
  </si>
  <si>
    <t>Válvula p/ HD 855,HD 1050</t>
  </si>
  <si>
    <t>GAV 730</t>
  </si>
  <si>
    <t>A5-442-722</t>
  </si>
  <si>
    <t>Manguera Interna p/ PUZZI 100</t>
  </si>
  <si>
    <t>A6-371-256-1</t>
  </si>
  <si>
    <t>Pad Diamantado de 17" Blanco</t>
  </si>
  <si>
    <t>A4-744-109</t>
  </si>
  <si>
    <t>Interruptor p/ HDS 558</t>
  </si>
  <si>
    <t>A6-435-738</t>
  </si>
  <si>
    <t>Rueda TRASERA BR 75/140</t>
  </si>
  <si>
    <t>A6-649-601</t>
  </si>
  <si>
    <t>Cable de Batería CORTO p/  B 60</t>
  </si>
  <si>
    <t>A9-802-928</t>
  </si>
  <si>
    <t>Válvula de Alivio p/ HD 3.5/30 ST</t>
  </si>
  <si>
    <t>A9-802-938</t>
  </si>
  <si>
    <t>Tornillo p/ HD 3.5</t>
  </si>
  <si>
    <t>GAV 465</t>
  </si>
  <si>
    <t>A2-643-872</t>
  </si>
  <si>
    <t>Paño de microfibra para OC 3</t>
  </si>
  <si>
    <t>Set de Válvulas p/ G2500, HD 5/12 HD 585 (3 unidades)</t>
  </si>
  <si>
    <t>A5-332-046</t>
  </si>
  <si>
    <t>RESORTE HELICOIDAL</t>
  </si>
  <si>
    <t>GAV 1151</t>
  </si>
  <si>
    <t>A8-616-321</t>
  </si>
  <si>
    <t>A9-803-191</t>
  </si>
  <si>
    <t>GAV 782</t>
  </si>
  <si>
    <t>B9-311-327</t>
  </si>
  <si>
    <t>MOTOR PARA HDC</t>
  </si>
  <si>
    <t>GGG4</t>
  </si>
  <si>
    <t>A4-580-589</t>
  </si>
  <si>
    <t>Válvula p/ HDS 895,HDS 3,5,HDAS 1055,HDS 655</t>
  </si>
  <si>
    <t>GAV 705</t>
  </si>
  <si>
    <t>A9-802-254</t>
  </si>
  <si>
    <t>Manguera p/ HD 3.8</t>
  </si>
  <si>
    <t>A5-769-141</t>
  </si>
  <si>
    <t>Inyector p/ HD 1050 B - 7/13 - G 4000</t>
  </si>
  <si>
    <t>GAV 623</t>
  </si>
  <si>
    <t>A6-362-953</t>
  </si>
  <si>
    <t>SET DE ORING (HD 1000 C)</t>
  </si>
  <si>
    <t>GAV 690</t>
  </si>
  <si>
    <t>D2-122-393</t>
  </si>
  <si>
    <t>Pin MACHO p/ ES 650</t>
  </si>
  <si>
    <t>GUIA DE ENTRADA DE AGUA PARA HD 7/12</t>
  </si>
  <si>
    <t>A5-363-300</t>
  </si>
  <si>
    <t>ANILLO DE OBTURACION PARA HDS 1055HDS 1295HDS 655 HDS 695HDS 895, HDS 7/11</t>
  </si>
  <si>
    <t>A8-707-144</t>
  </si>
  <si>
    <t>Niple de Conexión Rápida Hembra de 3/8"</t>
  </si>
  <si>
    <t>GAV 1324</t>
  </si>
  <si>
    <t>A9-803-907</t>
  </si>
  <si>
    <t>ASIENTO DE BYPASS 3.5/3.8</t>
  </si>
  <si>
    <t>GAV 788</t>
  </si>
  <si>
    <t>D3-111-558</t>
  </si>
  <si>
    <t>RUEDA PARA SF-3000</t>
  </si>
  <si>
    <t>Rueda p/ B60</t>
  </si>
  <si>
    <t>A5-035-240</t>
  </si>
  <si>
    <t>Cubierta de BornerS</t>
  </si>
  <si>
    <t>5.0 D</t>
  </si>
  <si>
    <t>A2-863-016</t>
  </si>
  <si>
    <t>Filtro p/ Líquidos p/ MV 1</t>
  </si>
  <si>
    <t>A6-348-384</t>
  </si>
  <si>
    <t>FAJA PARA BD 530, BR 75/140 - B40</t>
  </si>
  <si>
    <t>A8-614-343</t>
  </si>
  <si>
    <t>FILTRO DE AIRE P/MOTOR  VERSAMATIC</t>
  </si>
  <si>
    <t>Cepillo Cilíndrico Rojo p/ BR 40/25, BR 40/10</t>
  </si>
  <si>
    <t>A4-905-029</t>
  </si>
  <si>
    <t>Cepillo Negro p/ BD 50/60, B250</t>
  </si>
  <si>
    <t>RR2</t>
  </si>
  <si>
    <t>A6-683-271</t>
  </si>
  <si>
    <t>Interruptor p/ SGV 6/5</t>
  </si>
  <si>
    <t>A7-303-205</t>
  </si>
  <si>
    <t>Tornillo 4 X 16 p/ NT 48/1</t>
  </si>
  <si>
    <t>GAV 276</t>
  </si>
  <si>
    <t>A9-755-466</t>
  </si>
  <si>
    <t>Tanque p/ NT 90/2</t>
  </si>
  <si>
    <t>A2-889-008</t>
  </si>
  <si>
    <t>Boquilla de MANO p/ SGV 6/5</t>
  </si>
  <si>
    <t>A4-515-355</t>
  </si>
  <si>
    <t>Rueda para KM 70/30</t>
  </si>
  <si>
    <t>A6-365-360</t>
  </si>
  <si>
    <t>GAV 300</t>
  </si>
  <si>
    <t>A9-802-165</t>
  </si>
  <si>
    <t>Acople Rápido Macho p/ HD de USA</t>
  </si>
  <si>
    <t>GAV 1292</t>
  </si>
  <si>
    <t>D2-120-358</t>
  </si>
  <si>
    <t>RUEDA DELANTERA PARA RS-40 G</t>
  </si>
  <si>
    <t>A5-110-956</t>
  </si>
  <si>
    <t>Casquillo p/ B60</t>
  </si>
  <si>
    <t>GAV 460</t>
  </si>
  <si>
    <t>EMBRAGUE p/ HDS 558 C - HDS 7/11 - HDS 895 - HDS 698 - HDS 3.5</t>
  </si>
  <si>
    <t>A7-312-043</t>
  </si>
  <si>
    <t>Disco p/ p/ B60</t>
  </si>
  <si>
    <t>GAV 962</t>
  </si>
  <si>
    <t>A8-709-175</t>
  </si>
  <si>
    <t>Filtro para Boquilla de nebulizacion para HD 2.0/1000</t>
  </si>
  <si>
    <t>A8-631-463</t>
  </si>
  <si>
    <t>Interruptor p/ ICAPSOL</t>
  </si>
  <si>
    <t>GAV 377</t>
  </si>
  <si>
    <t>D2-121-968</t>
  </si>
  <si>
    <t>CONJUNTO DE CUERPO PARA TURBO 1000</t>
  </si>
  <si>
    <t>Filtro Antisonidos p/ PUZZI 8/1</t>
  </si>
  <si>
    <t>Codo  p/ DS 5.800</t>
  </si>
  <si>
    <t>AA2</t>
  </si>
  <si>
    <t>A8-613-839</t>
  </si>
  <si>
    <t>Set de Carbones deL Motor de Cepillos p/ AXCESS 12</t>
  </si>
  <si>
    <t>GAV 1170</t>
  </si>
  <si>
    <t>C0-000-040</t>
  </si>
  <si>
    <t>Filtro de Aire para Motor p/ GX 160 - 200</t>
  </si>
  <si>
    <t>5.365-371.0</t>
  </si>
  <si>
    <t>Obturación Perfilada p/ HD 3.0/20-4</t>
  </si>
  <si>
    <t>GAV 840</t>
  </si>
  <si>
    <t>A6-473-554</t>
  </si>
  <si>
    <t>Bobina p/ HDS 1020</t>
  </si>
  <si>
    <t>a9-155-013</t>
  </si>
  <si>
    <t>Adaptador de Pieza G 4000</t>
  </si>
  <si>
    <t>5.3 F</t>
  </si>
  <si>
    <t>D4-111-296</t>
  </si>
  <si>
    <t>CUCHILLA PARA TRF 800</t>
  </si>
  <si>
    <t>A5-093-060</t>
  </si>
  <si>
    <t>Guia de empuje para HD 7/13</t>
  </si>
  <si>
    <t>A6-343-180</t>
  </si>
  <si>
    <t>Fijador Rápido p/ KM 700S, KSM 690 BAT, KSM 690, NT 361</t>
  </si>
  <si>
    <t>GAV 1225</t>
  </si>
  <si>
    <t>A6-431-302</t>
  </si>
  <si>
    <t>Cable BOWdeN p/ KM 105</t>
  </si>
  <si>
    <t>A7-307-356</t>
  </si>
  <si>
    <t>Tornillo p/ p/ BR 55/60</t>
  </si>
  <si>
    <t>GAV 202</t>
  </si>
  <si>
    <t>A5-044-420</t>
  </si>
  <si>
    <t>Soporte HDS 1055, HDS 655, HDS 895</t>
  </si>
  <si>
    <t>A6-649-553</t>
  </si>
  <si>
    <t>Boquilla de PASO p/ HD 9/50</t>
  </si>
  <si>
    <t>GAV 95</t>
  </si>
  <si>
    <t>Acople de Sálida de Agua p/ K 4</t>
  </si>
  <si>
    <t>D2-120-122</t>
  </si>
  <si>
    <t>CAJA DE TRANSMISION</t>
  </si>
  <si>
    <t>Cabezal p/ HD 4/9</t>
  </si>
  <si>
    <t>A6-670-234</t>
  </si>
  <si>
    <t>Set de LabioS de Aspiración</t>
  </si>
  <si>
    <t>D2-117-019</t>
  </si>
  <si>
    <t>SEPARADOR PARA TRC 40- TRC 50</t>
  </si>
  <si>
    <t>A4-632-002</t>
  </si>
  <si>
    <t>Contator p/ HDS 558C,HDS 655,HDS 895</t>
  </si>
  <si>
    <t>Anillo de Guarnición 17.13 X 2.62 p/ HD 6/15</t>
  </si>
  <si>
    <t>GAV 749</t>
  </si>
  <si>
    <t>A4-769-030</t>
  </si>
  <si>
    <t>A9-761-058</t>
  </si>
  <si>
    <t>Anillo de Guarnición p/ HD 6/15</t>
  </si>
  <si>
    <t>GAV 77</t>
  </si>
  <si>
    <t>C0-000-222</t>
  </si>
  <si>
    <t>APAGADOR UNIVERSAL PARA MOTOR DE GASOLINA</t>
  </si>
  <si>
    <t>GAV 1264</t>
  </si>
  <si>
    <t>D2-114-079</t>
  </si>
  <si>
    <t>POELA PARA BIO-300</t>
  </si>
  <si>
    <t>A4-422-991</t>
  </si>
  <si>
    <t>MANOMETRO p/ HD 6/14 C</t>
  </si>
  <si>
    <t>a8-616-314</t>
  </si>
  <si>
    <t>Manguera FLEXIBLE P/ Aspiradora TITAM</t>
  </si>
  <si>
    <t>Y1</t>
  </si>
  <si>
    <t>A8-616-347</t>
  </si>
  <si>
    <t>Turbina de Aspiración p/ TITAN (Windsor)</t>
  </si>
  <si>
    <t>A5-053-051</t>
  </si>
  <si>
    <t>Casquillo p/ HDS 558-895-655</t>
  </si>
  <si>
    <t>GAV 76</t>
  </si>
  <si>
    <t>A6-412-280</t>
  </si>
  <si>
    <t>Regulador de Presión p/ DE 4002</t>
  </si>
  <si>
    <t>Turbina de Aspiración p/ MV 1 /WD1</t>
  </si>
  <si>
    <t>W3</t>
  </si>
  <si>
    <t>A7-303-085</t>
  </si>
  <si>
    <t>Tornillo 4X35  p/ NT 48/1</t>
  </si>
  <si>
    <t>GAV 340</t>
  </si>
  <si>
    <t>A8-617-270</t>
  </si>
  <si>
    <t>SEGURO p/ ICAPSOL</t>
  </si>
  <si>
    <t>GAV 989</t>
  </si>
  <si>
    <t>C0-000-016</t>
  </si>
  <si>
    <t>Arrancador Completo p/ Barredora KM 85/50</t>
  </si>
  <si>
    <t>D5</t>
  </si>
  <si>
    <t>A4-777-097</t>
  </si>
  <si>
    <t>Labio de Aspiración p/ BR 40/10</t>
  </si>
  <si>
    <t>Boquilla de Ranuras DN35 p/  NT 35/1, NT 48/1</t>
  </si>
  <si>
    <t>A8-601-072</t>
  </si>
  <si>
    <t>Disco p/ CV 66/2-NUWAVE</t>
  </si>
  <si>
    <t>GAV 341</t>
  </si>
  <si>
    <t>A9-761-105</t>
  </si>
  <si>
    <t>Junta p/ HD 6/15</t>
  </si>
  <si>
    <t>GAV 32</t>
  </si>
  <si>
    <t>D1-112-702</t>
  </si>
  <si>
    <t>RESORTE de COMPRESION p/ ES 650</t>
  </si>
  <si>
    <t>GAV 1111</t>
  </si>
  <si>
    <t>A4-063-913</t>
  </si>
  <si>
    <t>Codo de entrada para K2 BASIC K3 FC</t>
  </si>
  <si>
    <t>A8-707-182</t>
  </si>
  <si>
    <t>Acople p/ HD 2.3</t>
  </si>
  <si>
    <t>Juego de RuedaS p/ K 3.450</t>
  </si>
  <si>
    <t>A9-755-149</t>
  </si>
  <si>
    <t>Caja Eléctrica COMPLETO RECAMBIO K2.93</t>
  </si>
  <si>
    <t>A9-803-217</t>
  </si>
  <si>
    <t>Arandela p/ HD 3.4</t>
  </si>
  <si>
    <t>GAV 471</t>
  </si>
  <si>
    <t>A4-590-083</t>
  </si>
  <si>
    <t>Tapón de Cierre p/ K 1102 SC 1052</t>
  </si>
  <si>
    <t>A6-403-055</t>
  </si>
  <si>
    <t>Cojinete para KM 70/30</t>
  </si>
  <si>
    <t>GAV 391</t>
  </si>
  <si>
    <t>A9-989-690</t>
  </si>
  <si>
    <t>Reductor de DN70 A DN40 para IVC</t>
  </si>
  <si>
    <t>Carcasa Superior p/ HD 585 (Gris)</t>
  </si>
  <si>
    <t>GG5</t>
  </si>
  <si>
    <t>NB-BX180F-02</t>
  </si>
  <si>
    <t>Extractor de Alimentos 8pz, 600 w Nutribullet</t>
  </si>
  <si>
    <t>A6-348-394</t>
  </si>
  <si>
    <t>CORREA PLANA PARA KM 85/50</t>
  </si>
  <si>
    <t>Manguera de Aspiración p/ T10-1 / T201 / T171</t>
  </si>
  <si>
    <t>Z2</t>
  </si>
  <si>
    <t>Rueda TRASERA BR 55/60W</t>
  </si>
  <si>
    <t>A4-033-182</t>
  </si>
  <si>
    <t>Flotador p/ BR 30/4</t>
  </si>
  <si>
    <t>a4-427-319</t>
  </si>
  <si>
    <t>Pieza de Nudos HD 855</t>
  </si>
  <si>
    <t>A4-427-335</t>
  </si>
  <si>
    <t>Pieza de Nudos p/ HDS 655-895 NUEVAS</t>
  </si>
  <si>
    <t>A6-295-850</t>
  </si>
  <si>
    <t>RM 760 Tabletas (Paquete de 16 Unidades)</t>
  </si>
  <si>
    <t>R5</t>
  </si>
  <si>
    <t>A6-392-257</t>
  </si>
  <si>
    <t>Pieza TUBULAR 19X4X80</t>
  </si>
  <si>
    <t>A8-622-248</t>
  </si>
  <si>
    <t>Porta Pad BDP 51/1500 Lightning 1500</t>
  </si>
  <si>
    <t>B9-386-005</t>
  </si>
  <si>
    <t>TORNILLO PARA AGARRADERA DE HD 585</t>
  </si>
  <si>
    <t>A6-362-077</t>
  </si>
  <si>
    <t>ORING 10.0x2.2</t>
  </si>
  <si>
    <t>GAV 4</t>
  </si>
  <si>
    <t>A8-614-350</t>
  </si>
  <si>
    <t>Motor de Cepillos p/ AXCESS 12</t>
  </si>
  <si>
    <t>V2</t>
  </si>
  <si>
    <t>A9-802-103</t>
  </si>
  <si>
    <t>BUSHING p/ HD 3.5</t>
  </si>
  <si>
    <t>GAV 783</t>
  </si>
  <si>
    <t>A9-802-146</t>
  </si>
  <si>
    <t>Acople p/ HD 3.5</t>
  </si>
  <si>
    <t>6.4 B</t>
  </si>
  <si>
    <t>Set de Válvula p/ HDS 655- 558 HD 855-10/25 G 4000 -HD7/12</t>
  </si>
  <si>
    <t>A4-055-224</t>
  </si>
  <si>
    <t>Codo para FC 5</t>
  </si>
  <si>
    <t>QQ1</t>
  </si>
  <si>
    <t>Depósito de CHEM HDS 655, 1055,895, 3.5</t>
  </si>
  <si>
    <t>A6-473-567</t>
  </si>
  <si>
    <t>Electro  Válvula p/ HD 6/14 C</t>
  </si>
  <si>
    <t>A8-635-811</t>
  </si>
  <si>
    <t>Turbina de Aspiración p/ CHARIORT 3</t>
  </si>
  <si>
    <t>W2</t>
  </si>
  <si>
    <t>A5-034-688</t>
  </si>
  <si>
    <t>PRENSA deL Tanque BR55/60 - B 60</t>
  </si>
  <si>
    <t>GAV 781</t>
  </si>
  <si>
    <t>A9-104-039</t>
  </si>
  <si>
    <t>Kit de Reparación p/ HD 2.3/2.5</t>
  </si>
  <si>
    <t>B9-385-085</t>
  </si>
  <si>
    <t>Capacitor de 70 UF p/ HD 585</t>
  </si>
  <si>
    <t>D1-110-393</t>
  </si>
  <si>
    <t>ADANDELA PARA ES 650</t>
  </si>
  <si>
    <t>GAV 957</t>
  </si>
  <si>
    <t>A2-324-007</t>
  </si>
  <si>
    <t>Agarredera Gris p/ DS 5500</t>
  </si>
  <si>
    <t>Soporte p/ Lanza para HD 5/12 - HD 7/12</t>
  </si>
  <si>
    <t>GAV 923</t>
  </si>
  <si>
    <t>A5-062-277</t>
  </si>
  <si>
    <t>Sujección p/ B 140</t>
  </si>
  <si>
    <t>A8-637-296</t>
  </si>
  <si>
    <t>Cepillo 18"</t>
  </si>
  <si>
    <t>Arandela de Presión  p/ HD 6/15</t>
  </si>
  <si>
    <t>GAV 64</t>
  </si>
  <si>
    <t>A6-343-169</t>
  </si>
  <si>
    <t>GAV 964</t>
  </si>
  <si>
    <t>A6-373-081</t>
  </si>
  <si>
    <t>GAZA p/ PUZZI 100</t>
  </si>
  <si>
    <t>GAV 611</t>
  </si>
  <si>
    <t>A7-304-535</t>
  </si>
  <si>
    <t>Tornillo HEXAGONAL M8X25</t>
  </si>
  <si>
    <t>GAV 1152</t>
  </si>
  <si>
    <t>Bolsa de Papel p/ BV 5-1 (10 unds)</t>
  </si>
  <si>
    <t>A2-863-269</t>
  </si>
  <si>
    <t>Patin para SC 2 Easy Fix</t>
  </si>
  <si>
    <t>A5-423-186</t>
  </si>
  <si>
    <t>LINEA DE COMBUSTIBLE</t>
  </si>
  <si>
    <t>A6-316-054</t>
  </si>
  <si>
    <t>Perno p/ KM 85/50</t>
  </si>
  <si>
    <t>GAV 998</t>
  </si>
  <si>
    <t>A8-627-251</t>
  </si>
  <si>
    <t>Pin para BRC 38/30</t>
  </si>
  <si>
    <t>GAV 1293</t>
  </si>
  <si>
    <t>A6-362-174</t>
  </si>
  <si>
    <t>Oring 16.0 X 2.0 p/ HD 10/25</t>
  </si>
  <si>
    <t>GAV 350</t>
  </si>
  <si>
    <t>A7-306-031</t>
  </si>
  <si>
    <t>A8-600-457</t>
  </si>
  <si>
    <t>Cobertor de Boquilla p/ BRC 38/30</t>
  </si>
  <si>
    <t>GAV 502</t>
  </si>
  <si>
    <t>7.401-147.0</t>
  </si>
  <si>
    <t>7.3 B</t>
  </si>
  <si>
    <t>A2-883-927</t>
  </si>
  <si>
    <t>Boquilla Fija 25054 HDS 655, HDS 895, HD 7/12</t>
  </si>
  <si>
    <t>A4-060-420</t>
  </si>
  <si>
    <t>Carcasa AUTOLimpieza de Filtro p/ NT 361</t>
  </si>
  <si>
    <t>A4-744-110</t>
  </si>
  <si>
    <t>TERMICO P/de 4002</t>
  </si>
  <si>
    <t>A8-614-570</t>
  </si>
  <si>
    <t>Cobertor del Interruptot p/ Sensor XP 12</t>
  </si>
  <si>
    <t>GAV 328</t>
  </si>
  <si>
    <t>MANOMETRO de  0-25MPA p/ HD 10/20</t>
  </si>
  <si>
    <t>A5-394-773</t>
  </si>
  <si>
    <t>PROTECTOR ANTISALPICADURAS p/ BD</t>
  </si>
  <si>
    <t>A5-802-288</t>
  </si>
  <si>
    <t>SoporteS de Motor p/ HD 10/25</t>
  </si>
  <si>
    <t>Filtro de Aire NT 48/1</t>
  </si>
  <si>
    <t>S2</t>
  </si>
  <si>
    <t>A8-616-310</t>
  </si>
  <si>
    <t>C0-000-078</t>
  </si>
  <si>
    <t>Mufla  GX 390</t>
  </si>
  <si>
    <t>A6-371-051</t>
  </si>
  <si>
    <t>CORONA de CepilloFR 30</t>
  </si>
  <si>
    <t>D2-122-419</t>
  </si>
  <si>
    <t>TAPA DE CAJA PARA ES 650</t>
  </si>
  <si>
    <t>BS796970</t>
  </si>
  <si>
    <t>Filtro de Aire para Motor B&amp;S 3.5</t>
  </si>
  <si>
    <t>A5-050-962</t>
  </si>
  <si>
    <t>Elemento de chapa</t>
  </si>
  <si>
    <t>A5-363-321</t>
  </si>
  <si>
    <t>Anillo de Guarnición p/ BR 400</t>
  </si>
  <si>
    <t>A6-390-257</t>
  </si>
  <si>
    <t>Abrazadera de Manguera p/ PUZZY 300</t>
  </si>
  <si>
    <t>GAV 543</t>
  </si>
  <si>
    <t>A6-504-115</t>
  </si>
  <si>
    <t>Cilindro ELEVADOR de CepilloCentral p/ KM 105</t>
  </si>
  <si>
    <t>A5-035-341</t>
  </si>
  <si>
    <t>Tapa de Depósito de Agua LIMPIA  p/ B 150</t>
  </si>
  <si>
    <t>A6-339-021</t>
  </si>
  <si>
    <t>TOPE de CAUCHO 2XM6 p/ BR 530</t>
  </si>
  <si>
    <t>GAV 655</t>
  </si>
  <si>
    <t>A6-369-472</t>
  </si>
  <si>
    <t>Pad Verde Duro de 17"</t>
  </si>
  <si>
    <t>JJ4</t>
  </si>
  <si>
    <t>A6-633-411</t>
  </si>
  <si>
    <t>RELE p/ KM 105</t>
  </si>
  <si>
    <t>A4-730-117</t>
  </si>
  <si>
    <t>Filtro COMPLETO</t>
  </si>
  <si>
    <t>A8-753-642</t>
  </si>
  <si>
    <t>TAPA DE TANQUE DE COMBUSTIBLE PARA G3200</t>
  </si>
  <si>
    <t>A9-755-232</t>
  </si>
  <si>
    <t>CAPA TRASERO de K2.250</t>
  </si>
  <si>
    <t>A5-692-102</t>
  </si>
  <si>
    <t>Tapa de Motor p/ HD 4/9</t>
  </si>
  <si>
    <t>A6-640-767</t>
  </si>
  <si>
    <t>Filtro de carbono activo forma de bloque p/ WPC 100 RO</t>
  </si>
  <si>
    <t>A9-763-073</t>
  </si>
  <si>
    <t>PANTALLA PROTECTORA</t>
  </si>
  <si>
    <t>A2-889-006</t>
  </si>
  <si>
    <t>Cepillos p/ Boquilla de PISO p/ SGV 6/5</t>
  </si>
  <si>
    <t>A5-115-239</t>
  </si>
  <si>
    <t>GAV 348</t>
  </si>
  <si>
    <t>A6-661-012</t>
  </si>
  <si>
    <t>Condesandor p/ BD 43/35 C</t>
  </si>
  <si>
    <t>A7-401-149</t>
  </si>
  <si>
    <t>ROL 608-2RS</t>
  </si>
  <si>
    <t>c7-401-199</t>
  </si>
  <si>
    <t>CARBURADOR PARA GC 160</t>
  </si>
  <si>
    <t>D2-121-644</t>
  </si>
  <si>
    <t>DISCO TRF-70</t>
  </si>
  <si>
    <t>A2-112-010</t>
  </si>
  <si>
    <t>Sistema p/ Lanza Innofoam p/ Easy Lock</t>
  </si>
  <si>
    <t>A2-645-016</t>
  </si>
  <si>
    <t>Acople Rápido Metálico de 3/4</t>
  </si>
  <si>
    <t>A2-885-239</t>
  </si>
  <si>
    <t>Cable de control completo</t>
  </si>
  <si>
    <t>Turbina de Aspiración p/ FC 5</t>
  </si>
  <si>
    <t>Condesandor 80mf p/ HD 3.5</t>
  </si>
  <si>
    <t>A8-622-186</t>
  </si>
  <si>
    <t>Barra de Ajuste MANUAL p/ BOLT 17</t>
  </si>
  <si>
    <t>A8-710-384</t>
  </si>
  <si>
    <t>Pistola para HDS 4.0</t>
  </si>
  <si>
    <t>A9-760-388</t>
  </si>
  <si>
    <t>Depósito de Detergente p/ K 3.68</t>
  </si>
  <si>
    <t>B5-116-114</t>
  </si>
  <si>
    <t>DISCO PARA HDC 24/15-4 * 36/15-4</t>
  </si>
  <si>
    <t>GAV 336</t>
  </si>
  <si>
    <t>B9-389-283</t>
  </si>
  <si>
    <t>B9-390-026</t>
  </si>
  <si>
    <t>VALVUlA DE RELIEF PARA VC 5.100</t>
  </si>
  <si>
    <t>A5-332-977</t>
  </si>
  <si>
    <t>GAV 1154</t>
  </si>
  <si>
    <t>A5-402-746</t>
  </si>
  <si>
    <t>Tubuladora de Empalme p/HDS 10/20</t>
  </si>
  <si>
    <t>GAV 633</t>
  </si>
  <si>
    <t>A6-363-469</t>
  </si>
  <si>
    <t>Anillo de OBTURACION p/ BR 40/25</t>
  </si>
  <si>
    <t>GAV 986</t>
  </si>
  <si>
    <t>Boquilla de Pisos p/ DS 5.800</t>
  </si>
  <si>
    <t>MM2</t>
  </si>
  <si>
    <t>A6-906-979</t>
  </si>
  <si>
    <t>Cepillo Cilíndrico Verde p/B 60 (Rodillos)</t>
  </si>
  <si>
    <t>V4</t>
  </si>
  <si>
    <t>A9-001-104</t>
  </si>
  <si>
    <t>Cabezal de Cilíndro K 370</t>
  </si>
  <si>
    <t>B9-340-309</t>
  </si>
  <si>
    <t>FILTRO COBERTOR PARA MOTOR VC 5.100</t>
  </si>
  <si>
    <t>A4-775-470</t>
  </si>
  <si>
    <t>REGULADOR de PRESION de Pistola</t>
  </si>
  <si>
    <t>E3</t>
  </si>
  <si>
    <t>A6-431-287</t>
  </si>
  <si>
    <t>Cable de ACERO p/ HD 9/50</t>
  </si>
  <si>
    <t>A6-670-125</t>
  </si>
  <si>
    <t>Interruptor p/ BD 30/4</t>
  </si>
  <si>
    <t>GAV 1046</t>
  </si>
  <si>
    <t>A9-104-038</t>
  </si>
  <si>
    <t>Set de Reparación p/ HD 2.3/2.5</t>
  </si>
  <si>
    <t>GAV 861</t>
  </si>
  <si>
    <t>Rueda TRASERA p/ DS 5600,DS 5500</t>
  </si>
  <si>
    <t>A6-363-410</t>
  </si>
  <si>
    <t>Oring</t>
  </si>
  <si>
    <t>GAV 42</t>
  </si>
  <si>
    <t>A8-619-876</t>
  </si>
  <si>
    <t>Boquilla de RANURAS p/ VAC PAC 6</t>
  </si>
  <si>
    <t>Codo p/ K 3000</t>
  </si>
  <si>
    <t>A9-770-606</t>
  </si>
  <si>
    <t>Boquilla de Piso p/ NT 20/1, NT 38/1 (seco)</t>
  </si>
  <si>
    <t>Set de Oring p/ HD 7/12</t>
  </si>
  <si>
    <t>5.6 A</t>
  </si>
  <si>
    <t>Oring 21,5 X 1,78 p/ G 2500 - HD 7/13 ***</t>
  </si>
  <si>
    <t>GAV 593</t>
  </si>
  <si>
    <t>A8-621-750</t>
  </si>
  <si>
    <t>Tapa deL Motor p/ BDS 51/175</t>
  </si>
  <si>
    <t>A5-035-834</t>
  </si>
  <si>
    <t>Disco p/ B60</t>
  </si>
  <si>
    <t>GAV 1131</t>
  </si>
  <si>
    <t>A8-614-358</t>
  </si>
  <si>
    <t>Piñon p/ SENSOR XP 12</t>
  </si>
  <si>
    <t>GAV 824</t>
  </si>
  <si>
    <t>A9-037-314</t>
  </si>
  <si>
    <t>Boquilla ROSCADA p/ Depósito de Detergente p/ K 3.68</t>
  </si>
  <si>
    <t>GAV 192</t>
  </si>
  <si>
    <t>A9-802-169</t>
  </si>
  <si>
    <t>Acople Rápido Macho p/ Equipos de Gasolina 3/8"</t>
  </si>
  <si>
    <t>D1-111-377</t>
  </si>
  <si>
    <t>TORNILLO 3/8 X 1 1/4</t>
  </si>
  <si>
    <t>6.3 E</t>
  </si>
  <si>
    <t>Esponja Filtrante p/ NT 361 - NT 65/2 -NT72/2</t>
  </si>
  <si>
    <t>A8-635-922</t>
  </si>
  <si>
    <t>Empaque de Tapa p/ CHARIORT 3</t>
  </si>
  <si>
    <t>INDICADOR FILTRO PARA VC 5.100</t>
  </si>
  <si>
    <t>GAV 278</t>
  </si>
  <si>
    <t>D4-111-394</t>
  </si>
  <si>
    <t>Cuchilla p/ Triturador ES-600 y 650</t>
  </si>
  <si>
    <t>Manguera de Aspiración p/ T15/1</t>
  </si>
  <si>
    <t>CC1</t>
  </si>
  <si>
    <t>A8-600-495</t>
  </si>
  <si>
    <t>Cepillo p/ AXCESS 12 SENSOR XP 12</t>
  </si>
  <si>
    <t>A9-761-180</t>
  </si>
  <si>
    <t>Anillo de Guarnición 55.56 X 3.55 p/ HD 6/15</t>
  </si>
  <si>
    <t>GAV 195</t>
  </si>
  <si>
    <t>A4-775-463</t>
  </si>
  <si>
    <t>Pistola de Proyección Manual p/ HD Y HDS (Versión Vieja de Clip)</t>
  </si>
  <si>
    <t>Cierre de WD 3200</t>
  </si>
  <si>
    <t>A6-343-240</t>
  </si>
  <si>
    <t>SEGURO p/ B40</t>
  </si>
  <si>
    <t>GAV 54</t>
  </si>
  <si>
    <t>A7-307-017</t>
  </si>
  <si>
    <t>ESPIGA ROSCADO PARA HDS 655 HDS 895</t>
  </si>
  <si>
    <t>GAV 1092</t>
  </si>
  <si>
    <t>A8-621-627</t>
  </si>
  <si>
    <t>p/CHOQUES p/ LIGHTNING 2000</t>
  </si>
  <si>
    <t>W4</t>
  </si>
  <si>
    <t>A9-760-161</t>
  </si>
  <si>
    <t>Codo Entrada de Agua K 3.68</t>
  </si>
  <si>
    <t>B9-385-240</t>
  </si>
  <si>
    <t>CONTACTOR 18A/220V PARA HDC 24/15</t>
  </si>
  <si>
    <t>D1-110-691</t>
  </si>
  <si>
    <t>ARANDELA PARA TRR 260-190</t>
  </si>
  <si>
    <t>GAV 1350</t>
  </si>
  <si>
    <t>A2-863-273</t>
  </si>
  <si>
    <t>Juego de Boquillas de Aspiración DN 35</t>
  </si>
  <si>
    <t>I3</t>
  </si>
  <si>
    <t>A5-585-046</t>
  </si>
  <si>
    <t>Flotador p/ BR 40/25</t>
  </si>
  <si>
    <t>A6-365-572</t>
  </si>
  <si>
    <t>Empaque p/ KM 105</t>
  </si>
  <si>
    <t>A9-803-178</t>
  </si>
  <si>
    <t>Empaque p/ HD 3.3 /30</t>
  </si>
  <si>
    <t>B9-311-664</t>
  </si>
  <si>
    <t>RUEDA COMPLETA PARA VC 5100</t>
  </si>
  <si>
    <t>A2-643-134</t>
  </si>
  <si>
    <t>Set de Freno p/ KM 105</t>
  </si>
  <si>
    <t>A6-321-177</t>
  </si>
  <si>
    <t>Botton GIRATORIO p/ KM 70/20</t>
  </si>
  <si>
    <t>A7-303-086</t>
  </si>
  <si>
    <t>Tornillo 5 X 30 para Estribo NT 65/2</t>
  </si>
  <si>
    <t>GAV 115</t>
  </si>
  <si>
    <t>A9-755-514</t>
  </si>
  <si>
    <t>Codo con Válvula p/ K4</t>
  </si>
  <si>
    <t>A9-802-215</t>
  </si>
  <si>
    <t>Válvula CHEM p/ HD 3.5/ 3.8</t>
  </si>
  <si>
    <t>A2-645-066</t>
  </si>
  <si>
    <t>Conector de Llave de 1" KARCHER</t>
  </si>
  <si>
    <t>A4-040-772</t>
  </si>
  <si>
    <t>Filtros de Aire p/ KM 70/20</t>
  </si>
  <si>
    <t>A4-040-790</t>
  </si>
  <si>
    <t>Piñon p/ KM 70/20C ( SEG. VERSION)</t>
  </si>
  <si>
    <t>GAV 1229</t>
  </si>
  <si>
    <t>A8-636-167</t>
  </si>
  <si>
    <t>COBERTO p/ CHARIORT 3</t>
  </si>
  <si>
    <t>Cabezal Cilindro p/ todas las (K4**)</t>
  </si>
  <si>
    <t>A9-761-097</t>
  </si>
  <si>
    <t>Tapón p/ HD 6/15</t>
  </si>
  <si>
    <t>GAV 474</t>
  </si>
  <si>
    <t>B6-362-463</t>
  </si>
  <si>
    <t>ORING 28.0 X 2.0 PARA HDC  24/15-4  Y  36/15-4</t>
  </si>
  <si>
    <t>GAV 847</t>
  </si>
  <si>
    <t>A6-686-066</t>
  </si>
  <si>
    <t>Válvula REGULADORA p/ SG 4/4</t>
  </si>
  <si>
    <t>A8-707-057</t>
  </si>
  <si>
    <t>Filtro p/ HD 3.5, 3.8</t>
  </si>
  <si>
    <t>4.2 A</t>
  </si>
  <si>
    <t>A2-114-001</t>
  </si>
  <si>
    <t>Boquilla de Vapor 40045 (Versión Nueva)</t>
  </si>
  <si>
    <t>GAV 919</t>
  </si>
  <si>
    <t>Filtro de Aire T15/1, T10/1, BV5/1 (5 unidades)</t>
  </si>
  <si>
    <t>A9-755-188</t>
  </si>
  <si>
    <t>Agarradera p/ K 2.360</t>
  </si>
  <si>
    <t>Manguera Interna p/ K 5.68 - K3.690</t>
  </si>
  <si>
    <t>A6-369-471</t>
  </si>
  <si>
    <t>Pad Blanco Suave de 17"</t>
  </si>
  <si>
    <t>A9-751-035</t>
  </si>
  <si>
    <t>Manguera de Alta Presión p/ HD 6/15</t>
  </si>
  <si>
    <t>Abánico de Motor p/ HDS 558HD 855 S</t>
  </si>
  <si>
    <t>A6-368-379</t>
  </si>
  <si>
    <t>PROTECTOR ANTISALPICADURA</t>
  </si>
  <si>
    <t>A5-035-459</t>
  </si>
  <si>
    <t>Pieza de Acoplamiento de Llave de BOLA</t>
  </si>
  <si>
    <t>A5-105-603</t>
  </si>
  <si>
    <t>Eje de RuedaS NT 35/1</t>
  </si>
  <si>
    <t>A6-626-060</t>
  </si>
  <si>
    <t>VARILLA de CALEFACCION PC 100</t>
  </si>
  <si>
    <t>A8-638-772</t>
  </si>
  <si>
    <t>Empaque para PS 4/7</t>
  </si>
  <si>
    <t>B9-371-008</t>
  </si>
  <si>
    <t>Boquilla de Detergente p/ HD 585</t>
  </si>
  <si>
    <t>GAV 594</t>
  </si>
  <si>
    <t>I4510986</t>
  </si>
  <si>
    <t>Almohadilla Naranja Húmeda p/ Braava Jet 240 (10 unidades)</t>
  </si>
  <si>
    <t>Protector Antisalpicaduras p/ B 250</t>
  </si>
  <si>
    <t>A5-394-886</t>
  </si>
  <si>
    <t>Labio TRASERO p/ CepilloCentral p/ KM 105</t>
  </si>
  <si>
    <t>A8-752-119</t>
  </si>
  <si>
    <t>Agarradera p/ K 3000</t>
  </si>
  <si>
    <t>A9-803-183</t>
  </si>
  <si>
    <t>FLANGER p/ HD 3.8</t>
  </si>
  <si>
    <t>D2-130-014</t>
  </si>
  <si>
    <t>CARCASA DER.</t>
  </si>
  <si>
    <t>VALVULA CHEM PARA HD 10/25,HD 3.5/30 -4S</t>
  </si>
  <si>
    <t>A4-730-167</t>
  </si>
  <si>
    <t>Filtro completo</t>
  </si>
  <si>
    <t>D2-122-394</t>
  </si>
  <si>
    <t>Pin MACHO ROSCADO</t>
  </si>
  <si>
    <t>D2-122-395</t>
  </si>
  <si>
    <t>Pin HEMBRA ROSCADO p/ ES 650-C</t>
  </si>
  <si>
    <t>A6-330-432</t>
  </si>
  <si>
    <t>Resorte de Tracción p/ B 150</t>
  </si>
  <si>
    <t>A8-613-334</t>
  </si>
  <si>
    <t>Cable 1.5 mts  p/ Cepillos de KNA</t>
  </si>
  <si>
    <t>A8-628-360</t>
  </si>
  <si>
    <t>Boquilla p/ TapaCERIAS p/ VAC PAC 6</t>
  </si>
  <si>
    <t>D2-112-275</t>
  </si>
  <si>
    <t>TAPA MENOR PARA ES-400</t>
  </si>
  <si>
    <t>Set de Bomba p/ HD 4/9</t>
  </si>
  <si>
    <t>A9-761-138</t>
  </si>
  <si>
    <t>d2-110-479</t>
  </si>
  <si>
    <t>6.295-843.0</t>
  </si>
  <si>
    <t>RM 562, Champú para Carros Concentrado (0.5 Litros)</t>
  </si>
  <si>
    <t>A5-035-608</t>
  </si>
  <si>
    <t>Boquilla de PASO p/ BD 50/60</t>
  </si>
  <si>
    <t>GAV 329</t>
  </si>
  <si>
    <t>A7-311-004</t>
  </si>
  <si>
    <t>Tuerca Hexagonal M8 p/ KM 530</t>
  </si>
  <si>
    <t>GAV 503</t>
  </si>
  <si>
    <t>A8-622-474</t>
  </si>
  <si>
    <t>RESORTE p/ BOLT 17-20</t>
  </si>
  <si>
    <t>GAV 317</t>
  </si>
  <si>
    <t>A9-755-199</t>
  </si>
  <si>
    <t>Codo de Entrada p/ K 5.68</t>
  </si>
  <si>
    <t>A6-683-213</t>
  </si>
  <si>
    <t>Llave de bola para isolar</t>
  </si>
  <si>
    <t>A8-619-900</t>
  </si>
  <si>
    <t>Turbina de Aspiración p/ VAC PAC 6</t>
  </si>
  <si>
    <t>A8-637-794</t>
  </si>
  <si>
    <t>Capacitor 60 UF p/ BOLT 17/20 BDS 43/175/-51/175</t>
  </si>
  <si>
    <t>A9-803-199</t>
  </si>
  <si>
    <t>Oring p/ HD 3.8-2.5</t>
  </si>
  <si>
    <t>GAV 797</t>
  </si>
  <si>
    <t>A9-012-914</t>
  </si>
  <si>
    <t>Depósito COMPLETO</t>
  </si>
  <si>
    <t>C7-401-188</t>
  </si>
  <si>
    <t>ROL 7305 BECBY-BECBP</t>
  </si>
  <si>
    <t>D4-111-058</t>
  </si>
  <si>
    <t>DISCO DE TRANSMISION</t>
  </si>
  <si>
    <t>GAV 1079</t>
  </si>
  <si>
    <t>A4-630-002</t>
  </si>
  <si>
    <t>Interruptor de PROGRAMA HD 6/14 C</t>
  </si>
  <si>
    <t>A6-414-681</t>
  </si>
  <si>
    <t>Filtro de Agua P/ HD 10/25</t>
  </si>
  <si>
    <t>Cabezal COMPLETO K 2.250 - 2.360</t>
  </si>
  <si>
    <t>CABEZALES</t>
  </si>
  <si>
    <t>A2-643-147</t>
  </si>
  <si>
    <t>Boquilla para Detergente p/ Equipos K</t>
  </si>
  <si>
    <t>Juego de RuedaS p/ NT 35/1</t>
  </si>
  <si>
    <t>A8-617-295</t>
  </si>
  <si>
    <t>Tornillo Windsor Mini Pro</t>
  </si>
  <si>
    <t>GAV 287</t>
  </si>
  <si>
    <t>A4-321-105</t>
  </si>
  <si>
    <t>AGARRADERA PARA HD 855</t>
  </si>
  <si>
    <t>X1</t>
  </si>
  <si>
    <t>A4-321-122</t>
  </si>
  <si>
    <t>AGARRADERA PARA NT 361</t>
  </si>
  <si>
    <t>A4-777-078</t>
  </si>
  <si>
    <t>Squegge en V para B150</t>
  </si>
  <si>
    <t>A6-390-025</t>
  </si>
  <si>
    <t>Manguera de Alta Presión de 10 metros con un Acople p/ HD,HDS</t>
  </si>
  <si>
    <t>AA4</t>
  </si>
  <si>
    <t>A7-343-003</t>
  </si>
  <si>
    <t>Anillo de Seguridad  BR 40/10</t>
  </si>
  <si>
    <t>GAV 540</t>
  </si>
  <si>
    <t>I4501353</t>
  </si>
  <si>
    <t>Set de 3 Filtros p/ Roomba 600</t>
  </si>
  <si>
    <t>BBB2</t>
  </si>
  <si>
    <t>A6-330-190</t>
  </si>
  <si>
    <t>RESORTE p/ B 150</t>
  </si>
  <si>
    <t>GAV 569</t>
  </si>
  <si>
    <t>A6-363-257</t>
  </si>
  <si>
    <t>Empaque p/ HD 9/50 GE</t>
  </si>
  <si>
    <t>7.3 C</t>
  </si>
  <si>
    <t>A6-363-273</t>
  </si>
  <si>
    <t>Anillo de Guarnición 11.0 X 2.0</t>
  </si>
  <si>
    <t>GAV 1089</t>
  </si>
  <si>
    <t>Tanque p/ WD 3</t>
  </si>
  <si>
    <t>Borner p/ HD 7/12 - 1050B***</t>
  </si>
  <si>
    <t>5.1 B</t>
  </si>
  <si>
    <t>A6-362-484</t>
  </si>
  <si>
    <t>Oring 34.65 X 1.78</t>
  </si>
  <si>
    <t>GAV 12</t>
  </si>
  <si>
    <t>A6-371-257-1</t>
  </si>
  <si>
    <t>Pad Diamantado de 17" Amarillo</t>
  </si>
  <si>
    <t>A6-371-272</t>
  </si>
  <si>
    <t>Guía de CepilloAMARILLO p/ LimpiadorA de ESCALERAS</t>
  </si>
  <si>
    <t>A9-803-911</t>
  </si>
  <si>
    <t>Conector p/ HD 3.5</t>
  </si>
  <si>
    <t>GAV 790</t>
  </si>
  <si>
    <t>A9-803-914</t>
  </si>
  <si>
    <t>Conector hembra para HD 3.5</t>
  </si>
  <si>
    <t>GAV 1206</t>
  </si>
  <si>
    <t>MANOMETRO 0-315 BAR</t>
  </si>
  <si>
    <t>D1-111-215</t>
  </si>
  <si>
    <t>Arandela Lisa 8.2 x 17 x 1 mm</t>
  </si>
  <si>
    <t>A9-196-049</t>
  </si>
  <si>
    <t>REMACHE p/ G 2500</t>
  </si>
  <si>
    <t>GAV 1162</t>
  </si>
  <si>
    <t>C7-401-193</t>
  </si>
  <si>
    <t>Capacitor de 30 UF p/ HD - HDS</t>
  </si>
  <si>
    <t>GAV 512</t>
  </si>
  <si>
    <t>A7-306-203</t>
  </si>
  <si>
    <t>Tornillo para B150</t>
  </si>
  <si>
    <t>GAV 1343</t>
  </si>
  <si>
    <t>Manguera de Alta Presión p/: G 3200 - G 2500</t>
  </si>
  <si>
    <t>A6-412-289</t>
  </si>
  <si>
    <t>Llave p/ BR 530</t>
  </si>
  <si>
    <t>A6-435-116</t>
  </si>
  <si>
    <t>Rodillo de Dirección p/ HDS 558</t>
  </si>
  <si>
    <t>A6-959-136</t>
  </si>
  <si>
    <t>Interruptor p/ MV 1- WD1</t>
  </si>
  <si>
    <t>A7-303-102</t>
  </si>
  <si>
    <t>Tornillo p/ BR 400</t>
  </si>
  <si>
    <t>GAV 794</t>
  </si>
  <si>
    <t>D2-122-418</t>
  </si>
  <si>
    <t>SOPORTE PARA LA CUCHILLA ES-650</t>
  </si>
  <si>
    <t>A6-362-977</t>
  </si>
  <si>
    <t>Set de Oring (HD 855 S)</t>
  </si>
  <si>
    <t>GAV 29</t>
  </si>
  <si>
    <t>A6-435-179</t>
  </si>
  <si>
    <t>Rodillo de direccion para B60</t>
  </si>
  <si>
    <t>Rueda HD 651, HD 585, NT 65/2, NT 700, PUZZI 100-200</t>
  </si>
  <si>
    <t>D2-122-366</t>
  </si>
  <si>
    <t>SARANDA N.5.0 MM PARA JK-700</t>
  </si>
  <si>
    <t>I4482326</t>
  </si>
  <si>
    <t>Depósito de Sucieda p/  Roomba 980</t>
  </si>
  <si>
    <t>CCC4</t>
  </si>
  <si>
    <t>A9-803-218</t>
  </si>
  <si>
    <t>Arandela p/ HD 3.8-3.5</t>
  </si>
  <si>
    <t>GAV 371</t>
  </si>
  <si>
    <t>D2-112-170</t>
  </si>
  <si>
    <t>SEGURO PARA ES-650</t>
  </si>
  <si>
    <t>GAV 1112</t>
  </si>
  <si>
    <t>D2-112-247</t>
  </si>
  <si>
    <t>D3-111-559</t>
  </si>
  <si>
    <t>EJE DE RUEDA PARA SF 3000</t>
  </si>
  <si>
    <t>A2-885-396</t>
  </si>
  <si>
    <t>Juego de PiezaS p/ K2-K1</t>
  </si>
  <si>
    <t>GAV 1280</t>
  </si>
  <si>
    <t>A6-412-022</t>
  </si>
  <si>
    <t>Válvula Manguito RP 1"</t>
  </si>
  <si>
    <t>By Pass p/ HD 6/15</t>
  </si>
  <si>
    <t>Borner p/ HD 585</t>
  </si>
  <si>
    <t>Borner p/ HD 4/9</t>
  </si>
  <si>
    <t>GAV 672</t>
  </si>
  <si>
    <t>A6-388-103</t>
  </si>
  <si>
    <t>Manguera de Alta Presión p/ Brazo Giratorio</t>
  </si>
  <si>
    <t>BB3</t>
  </si>
  <si>
    <t>A9-803-953</t>
  </si>
  <si>
    <t>Cobertor p/ HD 3.8</t>
  </si>
  <si>
    <t>Borner HDS 895</t>
  </si>
  <si>
    <t>A8-754-840</t>
  </si>
  <si>
    <t>ROL p/ HD 3.4</t>
  </si>
  <si>
    <t>A9-803-921</t>
  </si>
  <si>
    <t>Sello  p/ HD 3.5/40G</t>
  </si>
  <si>
    <t>GAV 383</t>
  </si>
  <si>
    <t>Filtro HEPA p/ VC 5.100</t>
  </si>
  <si>
    <t>E5</t>
  </si>
  <si>
    <t>6.392-471.0</t>
  </si>
  <si>
    <t>Manguera Aspiración PU DN32 p/ B40</t>
  </si>
  <si>
    <t>A6-385-997</t>
  </si>
  <si>
    <t>Tapón p/ KM 70/20</t>
  </si>
  <si>
    <t>GAV 508</t>
  </si>
  <si>
    <t>A8-750-300</t>
  </si>
  <si>
    <t>Bypass para HDS 4.7/35</t>
  </si>
  <si>
    <t>D2-122-161</t>
  </si>
  <si>
    <t>FLANJE PARA ES 650</t>
  </si>
  <si>
    <t>A2-889-028</t>
  </si>
  <si>
    <t>Boquilla de RANURAS p/ SGV 6/5</t>
  </si>
  <si>
    <t>A4-629-016</t>
  </si>
  <si>
    <t>Inserto de BoquillaS p/ WD 2</t>
  </si>
  <si>
    <t>A5-035-815</t>
  </si>
  <si>
    <t>Tapa de Manguera de Sálida p/ Fregadora</t>
  </si>
  <si>
    <t>A5-035-835</t>
  </si>
  <si>
    <t>Tapón de Canal de DIRECCION p/ B 40</t>
  </si>
  <si>
    <t>A6-635-465</t>
  </si>
  <si>
    <t>INTERRUPTOR P/ PARA BDS 43/150</t>
  </si>
  <si>
    <t>D2-120-161</t>
  </si>
  <si>
    <t>TUERCA CON TORNILLO PARA TRF 650</t>
  </si>
  <si>
    <t>A6-362-381</t>
  </si>
  <si>
    <t>Oring 13.0 X 2.0 HD-HDS VARIAS</t>
  </si>
  <si>
    <t>Condesandor 30 MF p/ HSD 3.5</t>
  </si>
  <si>
    <t>D1-111-268</t>
  </si>
  <si>
    <t>ROL 6203 ZZ NSK</t>
  </si>
  <si>
    <t>A6-435-401</t>
  </si>
  <si>
    <t>Rueda de ESQUILLE p/ BR 55/60 BR 60 BR 530</t>
  </si>
  <si>
    <t>B9-340-313</t>
  </si>
  <si>
    <t>Tapa p/ VC5.100</t>
  </si>
  <si>
    <t>FF2</t>
  </si>
  <si>
    <t>D1-111-078</t>
  </si>
  <si>
    <t>RELE TRF 70</t>
  </si>
  <si>
    <t>A5-394-640</t>
  </si>
  <si>
    <t>Labio de Hule p/ BR 75/140</t>
  </si>
  <si>
    <t>Interruptor  p/ DS 5.800</t>
  </si>
  <si>
    <t>GAV 165</t>
  </si>
  <si>
    <t>A7-312-285</t>
  </si>
  <si>
    <t>Disco p/ PUZZI 100</t>
  </si>
  <si>
    <t>GAV 414</t>
  </si>
  <si>
    <t>A7-313-018</t>
  </si>
  <si>
    <t>Arandela ELASTICA p/ KMR 1700</t>
  </si>
  <si>
    <t>GAV 509</t>
  </si>
  <si>
    <t>D2-121-653</t>
  </si>
  <si>
    <t>TAPA PARA TRF 70</t>
  </si>
  <si>
    <t>A6-640-769</t>
  </si>
  <si>
    <t>Filtro de carbono activo filtrador</t>
  </si>
  <si>
    <t>A6-661-013</t>
  </si>
  <si>
    <t>A7-311-000</t>
  </si>
  <si>
    <t>Tuerca HEXAGONAL p/ B60 B 55/60</t>
  </si>
  <si>
    <t>GAV 513</t>
  </si>
  <si>
    <t>RESORTE HELICOIDAL p/ HDS 558 - 655 - 7/11 - HD 7/12</t>
  </si>
  <si>
    <t>GAV 722</t>
  </si>
  <si>
    <t>RETENEDOR de Aceite p/ HD 1050 B - 7/12***</t>
  </si>
  <si>
    <t>A6-984-588</t>
  </si>
  <si>
    <t>Filtro de Aire p/ KMR 1700</t>
  </si>
  <si>
    <t>B9-385-109</t>
  </si>
  <si>
    <t>Variador de Voltaje 220 p/HDC</t>
  </si>
  <si>
    <t>NN2</t>
  </si>
  <si>
    <t>D1-110-490</t>
  </si>
  <si>
    <t>TUERCA PARA ES 650</t>
  </si>
  <si>
    <t>GAV 1109</t>
  </si>
  <si>
    <t>A7-311-431</t>
  </si>
  <si>
    <t>Tuerca HEXAGONAL M 5-1.4305</t>
  </si>
  <si>
    <t>D1-110-354</t>
  </si>
  <si>
    <t>ARANDELA LISA</t>
  </si>
  <si>
    <t>GAV 868</t>
  </si>
  <si>
    <t>A4-515-066</t>
  </si>
  <si>
    <t>RUEDA PARA K 50</t>
  </si>
  <si>
    <t>GAV 69</t>
  </si>
  <si>
    <t>A6-640-765</t>
  </si>
  <si>
    <t>Filtro de partículas 5 μm p/ WPC 100 RO</t>
  </si>
  <si>
    <t>A7-401-907</t>
  </si>
  <si>
    <t>Balín 3/8</t>
  </si>
  <si>
    <t>GAV 592</t>
  </si>
  <si>
    <t>Polea p/ BD 50/60</t>
  </si>
  <si>
    <t>D1-112-819</t>
  </si>
  <si>
    <t>TORNILLO PARA ES 650</t>
  </si>
  <si>
    <t>GAV 1015</t>
  </si>
  <si>
    <t>A6-473-387</t>
  </si>
  <si>
    <t>Bomba de Agua PUZZI  100, PUZZI 8/1</t>
  </si>
  <si>
    <t>E6</t>
  </si>
  <si>
    <t>A6-686-393</t>
  </si>
  <si>
    <t>ELECTROVALVULA HDS 3.5/30</t>
  </si>
  <si>
    <t>A8-631-393</t>
  </si>
  <si>
    <t>INTERROPTORES p/ ICAPSOL</t>
  </si>
  <si>
    <t>GAV 1194</t>
  </si>
  <si>
    <t>A8-631-936</t>
  </si>
  <si>
    <t>Rueda p/ SENSOR XP 12</t>
  </si>
  <si>
    <t>6.961-079.3</t>
  </si>
  <si>
    <t>Interruptor p/ HD 4/9</t>
  </si>
  <si>
    <t>A5-363-392</t>
  </si>
  <si>
    <t>Junta p/ PUZZI 100</t>
  </si>
  <si>
    <t>A6-367-099</t>
  </si>
  <si>
    <t>RETENEDOR de Aceite 30X52X7 p/ HDC 24/15</t>
  </si>
  <si>
    <t>GAV 575</t>
  </si>
  <si>
    <t>A6-902-083</t>
  </si>
  <si>
    <t>Ampliación DN 32 a DN 35 p/ Aspiradora</t>
  </si>
  <si>
    <t>A6-902-127</t>
  </si>
  <si>
    <t>Tubo Teléscopico p/ DS 5.800</t>
  </si>
  <si>
    <t>A7-312-080</t>
  </si>
  <si>
    <t>ESPACIADOR p/ BR 75/140</t>
  </si>
  <si>
    <t>GAV 501</t>
  </si>
  <si>
    <t>A8-622-247</t>
  </si>
  <si>
    <t>Porta Pad p/ LIGHTNING 2000</t>
  </si>
  <si>
    <t>I4359682</t>
  </si>
  <si>
    <t>Depósito Para Roomba 620-650</t>
  </si>
  <si>
    <t>CCC3</t>
  </si>
  <si>
    <t>CHG00189AV</t>
  </si>
  <si>
    <t>Clavadora + Grapadora de Muebles</t>
  </si>
  <si>
    <t>CL006000AV</t>
  </si>
  <si>
    <t>Pistola de Impacto de 1/2 con Extensión FTC-60</t>
  </si>
  <si>
    <t>III7</t>
  </si>
  <si>
    <t>D2-121-601</t>
  </si>
  <si>
    <t>TAPA DEL EMBUDO GRANO PARA TRF-70/80/90</t>
  </si>
  <si>
    <t>D4-111-957</t>
  </si>
  <si>
    <t>Cuchilla p/ TRF-300G</t>
  </si>
  <si>
    <t>A4-440-898</t>
  </si>
  <si>
    <t>Manguera de Presión p/ K 5 (Original)</t>
  </si>
  <si>
    <t>A5-332-264</t>
  </si>
  <si>
    <t>RESORTE p/ HD 1050 de</t>
  </si>
  <si>
    <t>GAV 751</t>
  </si>
  <si>
    <t>A5-600-098</t>
  </si>
  <si>
    <t>Abánico p/ HDS 6/14 C</t>
  </si>
  <si>
    <t>A6-343-178</t>
  </si>
  <si>
    <t>Anillo de tolerancia para HD 7/13</t>
  </si>
  <si>
    <t>GAV 619</t>
  </si>
  <si>
    <t>Seguro de Rueda p/ HD 7/12</t>
  </si>
  <si>
    <t>GAV 139</t>
  </si>
  <si>
    <t>A6-670-127</t>
  </si>
  <si>
    <t>Cepillo Rojo p/ BD 30/4</t>
  </si>
  <si>
    <t>A9-109-307</t>
  </si>
  <si>
    <t>PROTECCION de Motor p/ G 3500 OCT</t>
  </si>
  <si>
    <t>I4651245</t>
  </si>
  <si>
    <t>Deposito de agua para M6</t>
  </si>
  <si>
    <t>A5-625-399</t>
  </si>
  <si>
    <t>Polea de Transmisión p/ BR 75/140</t>
  </si>
  <si>
    <t>GAV 625</t>
  </si>
  <si>
    <t>A6-905-877</t>
  </si>
  <si>
    <t>Labio de Hule p/ NT 700-NT 65/2-NT 80/1</t>
  </si>
  <si>
    <t>A7-303-036</t>
  </si>
  <si>
    <t>GAV 1148</t>
  </si>
  <si>
    <t>Carcasa inferior p/  CV 30/1</t>
  </si>
  <si>
    <t>A6-391-171</t>
  </si>
  <si>
    <t>MANGUERA DE ASPIRACION CV 30/1</t>
  </si>
  <si>
    <t>A8-623-314</t>
  </si>
  <si>
    <t>GAZA p/ BRC 38/30</t>
  </si>
  <si>
    <t>B9-369-355</t>
  </si>
  <si>
    <t>ADAPTADOR PARA HDC</t>
  </si>
  <si>
    <t>C7-401-192</t>
  </si>
  <si>
    <t>ROL 61902-2RS1</t>
  </si>
  <si>
    <t>D4-111-062</t>
  </si>
  <si>
    <t>ENGRANAJE HELICOIDAL</t>
  </si>
  <si>
    <t>A4-633-031</t>
  </si>
  <si>
    <t>Deposito completo para WV50</t>
  </si>
  <si>
    <t>A5-394-803</t>
  </si>
  <si>
    <t>Plinto izquierdo para KM 70/30</t>
  </si>
  <si>
    <t>A6-362-108</t>
  </si>
  <si>
    <t>Oring 30 X 3 p/ BR 40/10</t>
  </si>
  <si>
    <t>GAV 104</t>
  </si>
  <si>
    <t>Oring 19.3 X 2.4 p/ HD 1090 - HD 1094 HD 651 HD 855HDS 1295HDS 655HDS 695HDS 895HD 10/25</t>
  </si>
  <si>
    <t>GAV 5</t>
  </si>
  <si>
    <t>A6-959-103</t>
  </si>
  <si>
    <t>DISPOSITIVO de BloqueO</t>
  </si>
  <si>
    <t>GAV 93</t>
  </si>
  <si>
    <t>A7-306-238</t>
  </si>
  <si>
    <t>GAV 564</t>
  </si>
  <si>
    <t>A8-600-248</t>
  </si>
  <si>
    <t>Conector de 1/8 X 1/4 p/ BRC 38/30</t>
  </si>
  <si>
    <t>GAV 497</t>
  </si>
  <si>
    <t>A9-803-184</t>
  </si>
  <si>
    <t>FLANGER p/ HD 3.5</t>
  </si>
  <si>
    <t>A5-094-231</t>
  </si>
  <si>
    <t>Manguito de Aspiración EN VA p/ B 60</t>
  </si>
  <si>
    <t>GAV 591</t>
  </si>
  <si>
    <t>A7-303-084</t>
  </si>
  <si>
    <t>Tornillo p/ PUZZI 8/1</t>
  </si>
  <si>
    <t>GAV 1227</t>
  </si>
  <si>
    <t>D1-111-706</t>
  </si>
  <si>
    <t>ANILLO RETENEDOR</t>
  </si>
  <si>
    <t>A5-129-366</t>
  </si>
  <si>
    <t>Lanza para K1</t>
  </si>
  <si>
    <t>A6-330-482</t>
  </si>
  <si>
    <t>Resorte de Tracción RZ 202 p/ B 150</t>
  </si>
  <si>
    <t>GAV 84</t>
  </si>
  <si>
    <t>A8-602-639</t>
  </si>
  <si>
    <t>Bomba de Agua PRA BRC 38/30</t>
  </si>
  <si>
    <t>W1</t>
  </si>
  <si>
    <t>Tapa de Filtro Completa p/ NT 65/2</t>
  </si>
  <si>
    <t>A8-707-185</t>
  </si>
  <si>
    <t>NIPLE p/ HD 4/0</t>
  </si>
  <si>
    <t>GAV 1097</t>
  </si>
  <si>
    <t>A5-107-270</t>
  </si>
  <si>
    <t>Sonda para NT 72/2</t>
  </si>
  <si>
    <t>GAV 1373</t>
  </si>
  <si>
    <t>A5-411-161</t>
  </si>
  <si>
    <t>Tornillo de Cierre p/ HD 3.5- HD 10/25</t>
  </si>
  <si>
    <t>GAV 288</t>
  </si>
  <si>
    <t>A5-762-208</t>
  </si>
  <si>
    <t>CepilloCILINDRICO Rojo p/ BR 530</t>
  </si>
  <si>
    <t>U5</t>
  </si>
  <si>
    <t>A2-885-312</t>
  </si>
  <si>
    <t>Set de BoquillaS p/ FR CLASSIC p/ HD 6/15</t>
  </si>
  <si>
    <t>GAV 1083</t>
  </si>
  <si>
    <t>A8-614-281</t>
  </si>
  <si>
    <t>Cable interno para PS 4/7</t>
  </si>
  <si>
    <t>B9-086-153</t>
  </si>
  <si>
    <t>TORNILLO ALOMADO</t>
  </si>
  <si>
    <t>GAV 217</t>
  </si>
  <si>
    <t>A2-884-521</t>
  </si>
  <si>
    <t>Boquilla p/ Detergente p/ HD 7/12</t>
  </si>
  <si>
    <t>A5-263-064</t>
  </si>
  <si>
    <t>PRENSA P/ HDS 558 HDS 655HDS 895 - 7/11 - HDS 6/14</t>
  </si>
  <si>
    <t>A8-754-859</t>
  </si>
  <si>
    <t>Kit de VálvulaS p/ HD 3.4</t>
  </si>
  <si>
    <t>B9-302-321</t>
  </si>
  <si>
    <t>Oring 2,62 X 107,62</t>
  </si>
  <si>
    <t>GAV 598</t>
  </si>
  <si>
    <t>A6-641-653</t>
  </si>
  <si>
    <t>Junta P PUZZI 300</t>
  </si>
  <si>
    <t>GAV 164</t>
  </si>
  <si>
    <t>PA212303AV</t>
  </si>
  <si>
    <t>Regulador con Manómetro 150 PSI MAX</t>
  </si>
  <si>
    <t>JJJ4</t>
  </si>
  <si>
    <t>A4-633-058</t>
  </si>
  <si>
    <t>GENERADOR de IMPULSOS</t>
  </si>
  <si>
    <t>A5-115-674</t>
  </si>
  <si>
    <t>Disco K 520***</t>
  </si>
  <si>
    <t>GAV 674</t>
  </si>
  <si>
    <t>A6-365-561</t>
  </si>
  <si>
    <t>RETENEDOR INTERMEDIO p/ HD 6/14C</t>
  </si>
  <si>
    <t>GAV 732</t>
  </si>
  <si>
    <t>A6-959-082</t>
  </si>
  <si>
    <t>EXTENSION p/ MV 1***</t>
  </si>
  <si>
    <t>A9-803-192</t>
  </si>
  <si>
    <t>Oring 1.78 X 60.05 p/ HD 3.5/30 ST</t>
  </si>
  <si>
    <t>D2-127-011</t>
  </si>
  <si>
    <t>ARO PARA TRC 700</t>
  </si>
  <si>
    <t>a8-629-375</t>
  </si>
  <si>
    <t>PRENSA P/ MANG. de Boquilla de INYECCION P/BRC 30/38</t>
  </si>
  <si>
    <t>6.649-736.0</t>
  </si>
  <si>
    <t>Cable de alimentacion para DS 5.800</t>
  </si>
  <si>
    <t>A5-332-474</t>
  </si>
  <si>
    <t>RESORTE p/ HDS 895</t>
  </si>
  <si>
    <t>GAV 703</t>
  </si>
  <si>
    <t>Boquilla de Piso p/ WD 1</t>
  </si>
  <si>
    <t>CUÑA PARA B 140</t>
  </si>
  <si>
    <t>GAV 299</t>
  </si>
  <si>
    <t>A9-001-285</t>
  </si>
  <si>
    <t>Conector de SUCCION p/ A2204</t>
  </si>
  <si>
    <t>D1-112-671</t>
  </si>
  <si>
    <t>GAV 1021</t>
  </si>
  <si>
    <t>A4-030-046</t>
  </si>
  <si>
    <t>Pieza Perfilada p/ K 620</t>
  </si>
  <si>
    <t>GAV 713</t>
  </si>
  <si>
    <t>A6-363-198</t>
  </si>
  <si>
    <t>Oring 6.0 X 2.0</t>
  </si>
  <si>
    <t>A8-706-944</t>
  </si>
  <si>
    <t>Adaptador p/ HD 3.4</t>
  </si>
  <si>
    <t>GAV 441</t>
  </si>
  <si>
    <t>Cabezal de Cilindro K 3.68 K 2.68</t>
  </si>
  <si>
    <t>A5-110-050</t>
  </si>
  <si>
    <t>Distanciador para HD 7/13</t>
  </si>
  <si>
    <t>GAV 396</t>
  </si>
  <si>
    <t>RELEY p/ B250</t>
  </si>
  <si>
    <t>A8-600-008</t>
  </si>
  <si>
    <t>Boquilla de Tapicería p/ VAC PAC 6</t>
  </si>
  <si>
    <t>A8-614-314</t>
  </si>
  <si>
    <t>SEGURO p/ SENSOR XP 12</t>
  </si>
  <si>
    <t>GAV 245</t>
  </si>
  <si>
    <t>A9-803-948</t>
  </si>
  <si>
    <t>Oring p/ HD 2.5</t>
  </si>
  <si>
    <t>GAV 786</t>
  </si>
  <si>
    <t>B9-384-016</t>
  </si>
  <si>
    <t>Cable para HD 585</t>
  </si>
  <si>
    <t>A6-630-050</t>
  </si>
  <si>
    <t>INTERRUPTOR DE PRESION PARA HDS 1055 HDS 655 HDS 695 HDS 895</t>
  </si>
  <si>
    <t>I4403997</t>
  </si>
  <si>
    <t>Filtro Residuos Pequeños p/ Robot MIRRA</t>
  </si>
  <si>
    <t>AAA5</t>
  </si>
  <si>
    <t>A6-654-207</t>
  </si>
  <si>
    <t>Cargador de Baterías p/ BR 55/60</t>
  </si>
  <si>
    <t>A7-362-005</t>
  </si>
  <si>
    <t>Anillo de OBTURACION p/ HD 1050B HDS 655 HDS 895  BR 400</t>
  </si>
  <si>
    <t>GAV 233</t>
  </si>
  <si>
    <t>A9-755-375</t>
  </si>
  <si>
    <t>Guía de Pistones p/ K 3000</t>
  </si>
  <si>
    <t>A9-770-634</t>
  </si>
  <si>
    <t>Turbina de Aspiración</t>
  </si>
  <si>
    <t>A2-640-870</t>
  </si>
  <si>
    <t>Boquilla P/ INNOFOAM de 500 - 600 L/H p/ HD 5/12, HDS 558</t>
  </si>
  <si>
    <t>A4-905-013</t>
  </si>
  <si>
    <t>Cepillo Disco NEGRO p/ B 60 Cabezal D65</t>
  </si>
  <si>
    <t>Cepillo de Disco Rojo D 55 p/ B 60**</t>
  </si>
  <si>
    <t>A6-363-610</t>
  </si>
  <si>
    <t>Anillo de GUARDICION</t>
  </si>
  <si>
    <t>I4510984</t>
  </si>
  <si>
    <t>Almohadillas Reutilizables (Seco, Húmedo, Mojado) p/ Brava Jet 240 (3 unidades)</t>
  </si>
  <si>
    <t>AAA4</t>
  </si>
  <si>
    <t>I4536490</t>
  </si>
  <si>
    <t>Bin para Roomba 680-690</t>
  </si>
  <si>
    <t>DDD4</t>
  </si>
  <si>
    <t>Disco OSILANTE G 2500, G 2800</t>
  </si>
  <si>
    <t>A5-394-852</t>
  </si>
  <si>
    <t>Cubierta de Borner de Batería p/ B 60 NEW</t>
  </si>
  <si>
    <t>Filtro EspumaT 15/1 - BV 5/1 Set de 3 UNID</t>
  </si>
  <si>
    <t>A2-880-194</t>
  </si>
  <si>
    <t>Interruptor Tipo RED p/ HDS 1055,HDS 655,HDS 801 B,HDS 1291 ST,HDS 12/14 ST</t>
  </si>
  <si>
    <t>A6-435-002</t>
  </si>
  <si>
    <t>Rueda deLANTERA p/ KM 105</t>
  </si>
  <si>
    <t>D1-111-558</t>
  </si>
  <si>
    <t>CORREA EN V</t>
  </si>
  <si>
    <t>Válvula de Detergente p/ HD 4/9</t>
  </si>
  <si>
    <t>GAV 759</t>
  </si>
  <si>
    <t>A5-031-857</t>
  </si>
  <si>
    <t>ConEXION de SUCCION p/ NT 361</t>
  </si>
  <si>
    <t>A8-636-595</t>
  </si>
  <si>
    <t>Housing para Bolt 17</t>
  </si>
  <si>
    <t>D2-122-336</t>
  </si>
  <si>
    <t>SARANDA N 0.8  PARA TRF-70</t>
  </si>
  <si>
    <t>A6-686-154</t>
  </si>
  <si>
    <t>CAPERUZA PUZZI 300</t>
  </si>
  <si>
    <t>GAV 187</t>
  </si>
  <si>
    <t>A9-803-906</t>
  </si>
  <si>
    <t>Oring 1.78 X 14 p/ HD 3.4</t>
  </si>
  <si>
    <t>GAV 450</t>
  </si>
  <si>
    <t>D3-111-161</t>
  </si>
  <si>
    <t>VENTILADOR DEL MOTOR SF-3000</t>
  </si>
  <si>
    <t>I4640235</t>
  </si>
  <si>
    <t>Bolsas p/ Roomba E &amp; I (3 unidades)</t>
  </si>
  <si>
    <t>A5-108-252</t>
  </si>
  <si>
    <t>Perno p/ BR 55/60</t>
  </si>
  <si>
    <t>GAV 126</t>
  </si>
  <si>
    <t>A6-670-119</t>
  </si>
  <si>
    <t>Tarjeta p/ BD 30/4</t>
  </si>
  <si>
    <t>B9-340-321</t>
  </si>
  <si>
    <t>BOTON DE INTERRUPTOR PARA VC 5100</t>
  </si>
  <si>
    <t>GAV 1222</t>
  </si>
  <si>
    <t>C0-000-217</t>
  </si>
  <si>
    <t>FILTRO DE ACEITE PARA MOTOR LOMBARDINI 15LD 225</t>
  </si>
  <si>
    <t>D2-110-314</t>
  </si>
  <si>
    <t>TAPA DE MOTOR PARA TR200</t>
  </si>
  <si>
    <t>6.195-094.0</t>
  </si>
  <si>
    <t>Cargador para VC 4S</t>
  </si>
  <si>
    <t>A5-100-416</t>
  </si>
  <si>
    <t>Arbol de Transmisión**</t>
  </si>
  <si>
    <t>A2-884-525</t>
  </si>
  <si>
    <t>Boquilla Fija de ALTO IMPACTO p/ HD 10/25</t>
  </si>
  <si>
    <t>A4-580-330</t>
  </si>
  <si>
    <t>Válvula p/ HDS 801B,HD 830BS,HD 801B,G 2500***</t>
  </si>
  <si>
    <t>GAV 729</t>
  </si>
  <si>
    <t>2.644-212.0</t>
  </si>
  <si>
    <t>PS 30 PLUS Escoba-Limpia Terrazas</t>
  </si>
  <si>
    <t>Turbina de Aspiración p/ BR 40/25</t>
  </si>
  <si>
    <t>A4-767-149</t>
  </si>
  <si>
    <t>Boquilla Triple 0.38 p/ HD 5/12 Y HD 801 B</t>
  </si>
  <si>
    <t>A9-001-999</t>
  </si>
  <si>
    <t>Culata de Cilindro</t>
  </si>
  <si>
    <t>B9-369-129</t>
  </si>
  <si>
    <t>TAPA DE CABEZAL</t>
  </si>
  <si>
    <t>Retenedor de Agua p/ HD 4/9</t>
  </si>
  <si>
    <t>GAV 642</t>
  </si>
  <si>
    <t>D2-120-114</t>
  </si>
  <si>
    <t>TAPA DE MOTOR</t>
  </si>
  <si>
    <t>I4514050</t>
  </si>
  <si>
    <t>Bin para roomba 960</t>
  </si>
  <si>
    <t>PA212503AV</t>
  </si>
  <si>
    <t>Filtro Regulador de 3/8"</t>
  </si>
  <si>
    <t>DD3</t>
  </si>
  <si>
    <t>A9-803-197</t>
  </si>
  <si>
    <t>Junta p/ HD 2.3/2.5</t>
  </si>
  <si>
    <t>GAV 1172</t>
  </si>
  <si>
    <t>A4-058-167</t>
  </si>
  <si>
    <t>Chapa de Tubo COMPLETO p/ B 140</t>
  </si>
  <si>
    <t>A4-744-001</t>
  </si>
  <si>
    <t>MicroInterruptor p/ HDS 655 HDS 895</t>
  </si>
  <si>
    <t>A5-363-549-0</t>
  </si>
  <si>
    <t>Anillo de OBTURACION p/ BR 55/60</t>
  </si>
  <si>
    <t>A6-959-137</t>
  </si>
  <si>
    <t>Carcasa p/ MV 1</t>
  </si>
  <si>
    <t>A7-312-026</t>
  </si>
  <si>
    <t>DISCO  PARA BR 400</t>
  </si>
  <si>
    <t>GAV 273</t>
  </si>
  <si>
    <t>A5-363-290</t>
  </si>
  <si>
    <t>EMPAQUE HDS 1055HDS 1295HDS 500 CIHDS 557HDS 655 HDS 695HDS 895</t>
  </si>
  <si>
    <t>5.3 C</t>
  </si>
  <si>
    <t>A8-609-022</t>
  </si>
  <si>
    <t>EXTENCION p/ VAC PAC</t>
  </si>
  <si>
    <t>D3-111-302</t>
  </si>
  <si>
    <t>INTERRUPTOR PARA SF-3000</t>
  </si>
  <si>
    <t>A4-744-193</t>
  </si>
  <si>
    <t>MicroInterruptor p/ HD 10/25</t>
  </si>
  <si>
    <t>A5-789-071</t>
  </si>
  <si>
    <t>Entrada de Agua p/ HD 4/9 Versión Nueva</t>
  </si>
  <si>
    <t>A6-650-564</t>
  </si>
  <si>
    <t>MAZO de CableS p/ B140</t>
  </si>
  <si>
    <t>A6-650-807</t>
  </si>
  <si>
    <t>Cable interno para FC 3</t>
  </si>
  <si>
    <t>A8-636-077</t>
  </si>
  <si>
    <t>Soporte de Manguera p/ CHARIORT 3</t>
  </si>
  <si>
    <t>D1-112-666</t>
  </si>
  <si>
    <t>CUÑA PARA ES 650</t>
  </si>
  <si>
    <t>GAV 1023</t>
  </si>
  <si>
    <t>A2-885-353</t>
  </si>
  <si>
    <t>Juego de piezas de Capo para HD 9/50</t>
  </si>
  <si>
    <t>A5-116-370</t>
  </si>
  <si>
    <t>Anillo p/ HD 9/50</t>
  </si>
  <si>
    <t>GAV 1132</t>
  </si>
  <si>
    <t>A6-348-408</t>
  </si>
  <si>
    <t>Correa TREPEZOIDAL p/ KM 85/50</t>
  </si>
  <si>
    <t>A6-631-946</t>
  </si>
  <si>
    <t>MicroInterruptor K 520-K 5.85</t>
  </si>
  <si>
    <t>4.0 A</t>
  </si>
  <si>
    <t>A4-033-028</t>
  </si>
  <si>
    <t>Codo de Entrada de Agua K 5.85</t>
  </si>
  <si>
    <t>A7-303-208</t>
  </si>
  <si>
    <t>Tornillo p/ KM 70/20</t>
  </si>
  <si>
    <t>A8-622-331</t>
  </si>
  <si>
    <t>Polea CV 66/2</t>
  </si>
  <si>
    <t>GAV 536</t>
  </si>
  <si>
    <t>A9-755-438</t>
  </si>
  <si>
    <t>Cabezal p/ K 3.000</t>
  </si>
  <si>
    <t>A9-803-926</t>
  </si>
  <si>
    <t>Tuerca p/ HD 3.5/40</t>
  </si>
  <si>
    <t>GAV 1266</t>
  </si>
  <si>
    <t>A5-035-995</t>
  </si>
  <si>
    <t>ConTENEDOR de SUCIEDAD p/ B 150</t>
  </si>
  <si>
    <t>Caja Eléctrica K3.450</t>
  </si>
  <si>
    <t>D1-113-533</t>
  </si>
  <si>
    <t>ARANDELA LISA 8.3 X 17.5 X 3</t>
  </si>
  <si>
    <t>GAV 946</t>
  </si>
  <si>
    <t>A5-178-040</t>
  </si>
  <si>
    <t>Manguito de Conducción de Aire HD 6/14 C</t>
  </si>
  <si>
    <t>A5-363-575</t>
  </si>
  <si>
    <t>JUNTA</t>
  </si>
  <si>
    <t>A2-113-002</t>
  </si>
  <si>
    <t>Boquilla fija 15033 (Easy Lock)</t>
  </si>
  <si>
    <t>Codo NT 65/2 NT 90/2</t>
  </si>
  <si>
    <t>A5-031-905</t>
  </si>
  <si>
    <t>SEGURO p/ NT 65/2</t>
  </si>
  <si>
    <t>A6-362-923</t>
  </si>
  <si>
    <t>Oring 6.75 X 1.78 p/ SG 4/4</t>
  </si>
  <si>
    <t>GAV 303</t>
  </si>
  <si>
    <t>A6-412-578</t>
  </si>
  <si>
    <t>9.754-549.0</t>
  </si>
  <si>
    <t>Conjunto de Bateria completa para VC 4S</t>
  </si>
  <si>
    <t>ÑÑ2</t>
  </si>
  <si>
    <t>A5-581-218</t>
  </si>
  <si>
    <t>ASIENTO DE VALVULA PARA HD 855 S</t>
  </si>
  <si>
    <t>GAV 40</t>
  </si>
  <si>
    <t>A8-706-958</t>
  </si>
  <si>
    <t>Adaptador p/ HD 2.3/ 2/5</t>
  </si>
  <si>
    <t>GAV 1007</t>
  </si>
  <si>
    <t>A4-590-086</t>
  </si>
  <si>
    <t>TAPON  DE SEGURIDAD  PARA DE 4002</t>
  </si>
  <si>
    <t>A2-113-070</t>
  </si>
  <si>
    <t>Boquilla fija 25025</t>
  </si>
  <si>
    <t>GAV 1242</t>
  </si>
  <si>
    <t>A2-885-293</t>
  </si>
  <si>
    <t>Set de Bomba p/ HDS E 3.3</t>
  </si>
  <si>
    <t>A2-885-324</t>
  </si>
  <si>
    <t>Tarjeta p/ HDS 6/14</t>
  </si>
  <si>
    <t>Disco p/ HD 4/9</t>
  </si>
  <si>
    <t>GAV 741</t>
  </si>
  <si>
    <t>A6-348-382</t>
  </si>
  <si>
    <t>Correa deNTADA BR 55/60-75/140- 90/140</t>
  </si>
  <si>
    <t>A5-442-924</t>
  </si>
  <si>
    <t>Manguera p/ PUZZI Pieza TUBULAR</t>
  </si>
  <si>
    <t>GAV 808</t>
  </si>
  <si>
    <t>A6-371-271-1</t>
  </si>
  <si>
    <t>Pad de Microfibra p/ BOLT 20</t>
  </si>
  <si>
    <t>A6-401-403</t>
  </si>
  <si>
    <t>RODAMIENTO de BOLAS  NSK E20 410</t>
  </si>
  <si>
    <t>A4-481-265</t>
  </si>
  <si>
    <t>Pedal p/ CV 38/2</t>
  </si>
  <si>
    <t>A9-175-011</t>
  </si>
  <si>
    <t>By Pass G 4000</t>
  </si>
  <si>
    <t>A5-363-761</t>
  </si>
  <si>
    <t>Junta p/ HD 4/9</t>
  </si>
  <si>
    <t>GAV 764</t>
  </si>
  <si>
    <t>A6-385-595</t>
  </si>
  <si>
    <t>Pieza EN T p/ B 250</t>
  </si>
  <si>
    <t>A7-311-200</t>
  </si>
  <si>
    <t>Tuerca p/ KM 70/20</t>
  </si>
  <si>
    <t>A8-933-011</t>
  </si>
  <si>
    <t>ROL p/ HD 3.3/30</t>
  </si>
  <si>
    <t>A4-114-036</t>
  </si>
  <si>
    <t>Boquilla Turbo 0.55 EASY LOCK p/ HD 3.5</t>
  </si>
  <si>
    <t>E4</t>
  </si>
  <si>
    <t>A5-443-365</t>
  </si>
  <si>
    <t>Boquilla de Manguera</t>
  </si>
  <si>
    <t>GAV 1329</t>
  </si>
  <si>
    <t>A4-553-261</t>
  </si>
  <si>
    <t>Émbolo Completo p/ HDS 655</t>
  </si>
  <si>
    <t>A6-348-442</t>
  </si>
  <si>
    <t>Faja B60</t>
  </si>
  <si>
    <t>A8-754-329</t>
  </si>
  <si>
    <t>Bomba G2800</t>
  </si>
  <si>
    <t>A9-154-023</t>
  </si>
  <si>
    <t>Adaptador de G a HD</t>
  </si>
  <si>
    <t>GAV 1262</t>
  </si>
  <si>
    <t>B5-064-173</t>
  </si>
  <si>
    <t>Camara de Aceite p/ HDC 24/15</t>
  </si>
  <si>
    <t>D4-112-021</t>
  </si>
  <si>
    <t>RASPADOR PARA TR 500</t>
  </si>
  <si>
    <t>A2-889-007</t>
  </si>
  <si>
    <t>Labios de Hule para Boquilla de Piso p/ SGV 6/5</t>
  </si>
  <si>
    <t>A4-324-028</t>
  </si>
  <si>
    <t>BottonERA p/ PUZZI 8/1</t>
  </si>
  <si>
    <t>Boquilla de PISO p/ WD 2</t>
  </si>
  <si>
    <t>RETENEDOR de Agua K620-HD 585 ***</t>
  </si>
  <si>
    <t>GAV 524</t>
  </si>
  <si>
    <t>A4-686-021</t>
  </si>
  <si>
    <t>REGULADOR de TEMPERATURA p/ HD 6/14 C</t>
  </si>
  <si>
    <t>A6-649-695</t>
  </si>
  <si>
    <t>Cable de ALIMENTACION p/ BR 40/10</t>
  </si>
  <si>
    <t>A2-112-008</t>
  </si>
  <si>
    <t>Lanza Innofoam (Solo Lanza) Easy Lock</t>
  </si>
  <si>
    <t>A4-055-111</t>
  </si>
  <si>
    <t>Tarjeta Electrónica p/ FC 5</t>
  </si>
  <si>
    <t>A5-645-853</t>
  </si>
  <si>
    <t>Tubo derecho para HD 4/9</t>
  </si>
  <si>
    <t>Manguera de deSAGUE p/ BR 55/60</t>
  </si>
  <si>
    <t>A6-980-080</t>
  </si>
  <si>
    <t>Soporte de BOTELLA p/ B60 W</t>
  </si>
  <si>
    <t>A9-133-007</t>
  </si>
  <si>
    <t>Guía p/ G 2500</t>
  </si>
  <si>
    <t>B5-114-512</t>
  </si>
  <si>
    <t>GAV 689</t>
  </si>
  <si>
    <t>A4-033-749</t>
  </si>
  <si>
    <t>Cierre de Depósito p/ BR 30/4</t>
  </si>
  <si>
    <t>A4-064-026</t>
  </si>
  <si>
    <t>Tapa de DGT p/ HDS 6/14</t>
  </si>
  <si>
    <t>A4-195-256</t>
  </si>
  <si>
    <t>Parte Superior p/ DS 5.800</t>
  </si>
  <si>
    <t>A6-362-810</t>
  </si>
  <si>
    <t>Oring 28.0 X 2.0 p/ HD 3600</t>
  </si>
  <si>
    <t>GAV 3</t>
  </si>
  <si>
    <t>A8-751-218</t>
  </si>
  <si>
    <t>Cabezal p/ HD 3.8</t>
  </si>
  <si>
    <t>D5-110-039</t>
  </si>
  <si>
    <t>Volante para TRF 700</t>
  </si>
  <si>
    <t>A7-306-337</t>
  </si>
  <si>
    <t>TORNILLO</t>
  </si>
  <si>
    <t>GAV 489</t>
  </si>
  <si>
    <t>Inyector p/ HD 525S-651-5/12C</t>
  </si>
  <si>
    <t>GAV 1236</t>
  </si>
  <si>
    <t>Set de Bomba p/ HD 5/12 C</t>
  </si>
  <si>
    <t>A2</t>
  </si>
  <si>
    <t>A6-371-273</t>
  </si>
  <si>
    <t>A8-637-999</t>
  </si>
  <si>
    <t>Interruptor para PS 4/7</t>
  </si>
  <si>
    <t>A8-638-575</t>
  </si>
  <si>
    <t>Tarjeta de Control p/ SENSOR XP 12</t>
  </si>
  <si>
    <t>MP520010AV</t>
  </si>
  <si>
    <t>Kit de 25 Piezas con estuche de plastico</t>
  </si>
  <si>
    <t>A5-036-048</t>
  </si>
  <si>
    <t>UNTA PERFILADA p/ BD 43/35</t>
  </si>
  <si>
    <t>A5-394-802</t>
  </si>
  <si>
    <t>Plinto derecho para KM 70/30</t>
  </si>
  <si>
    <t>A6-414-666</t>
  </si>
  <si>
    <t>Filtro p/ HD 9/50</t>
  </si>
  <si>
    <t>A9-803-934</t>
  </si>
  <si>
    <t>Embolo p/ HD  2.5</t>
  </si>
  <si>
    <t>A9-755-360</t>
  </si>
  <si>
    <t>Bolsa de Papel p/ NT 20/1 (10 Unidades)</t>
  </si>
  <si>
    <t>A2-645-204</t>
  </si>
  <si>
    <t>Acople Rápido Con AQUASTOP</t>
  </si>
  <si>
    <t>A2-884-989</t>
  </si>
  <si>
    <t>Tapa de Rueda p/ K520</t>
  </si>
  <si>
    <t>Soporte p/ HD 10/20</t>
  </si>
  <si>
    <t>Filtro de Detergente p/ HD 1090 HD 1094 HDS 1295 HDS 558C HDS 655 HDS 695 HDS 895 - 7/11</t>
  </si>
  <si>
    <t>GAV 1549</t>
  </si>
  <si>
    <t>D1-110-172</t>
  </si>
  <si>
    <t>Tornillo Sextavado 1/4" -2A x 5/8" p/ TRP-400G</t>
  </si>
  <si>
    <t>GAV 1103</t>
  </si>
  <si>
    <t>A4-114-041</t>
  </si>
  <si>
    <t>Boquilla Turbo 0.40 EASY LOCK HDS 6/14</t>
  </si>
  <si>
    <t>A5-587-202</t>
  </si>
  <si>
    <t>ENTRADA DE AGUA PARA HDS 3.5 30-4M</t>
  </si>
  <si>
    <t>B6-505-034</t>
  </si>
  <si>
    <t>ACUMULADOR DE PRESION PARA HDC 24/15</t>
  </si>
  <si>
    <t>I4415866</t>
  </si>
  <si>
    <t>Kit de Mantenimiento p/ Roomba series 800-900 *****</t>
  </si>
  <si>
    <t>A4-130-116</t>
  </si>
  <si>
    <t>Boquilla de Mano p/ Puzzi 100, 200, 300</t>
  </si>
  <si>
    <t>A4-551-012</t>
  </si>
  <si>
    <t>Culata deL Cilindro HDS 3.5/23</t>
  </si>
  <si>
    <t>A4-680-127</t>
  </si>
  <si>
    <t>Serpentín p/ HDS 558 C (A1-170-110)</t>
  </si>
  <si>
    <t>A6-388-949</t>
  </si>
  <si>
    <t>Tubo Flexible de Sonido p/ BR 40/25, B 250R</t>
  </si>
  <si>
    <t>A4-363-028</t>
  </si>
  <si>
    <t>Junta p/ PUZZI 8/1</t>
  </si>
  <si>
    <t>A7-343-004</t>
  </si>
  <si>
    <t>SEGURO de RuedaS BR 40/25</t>
  </si>
  <si>
    <t>GAV 499</t>
  </si>
  <si>
    <t>A9-761-118</t>
  </si>
  <si>
    <t>Cubierta de Almacén p/ HD 6/15</t>
  </si>
  <si>
    <t>A9-803-238</t>
  </si>
  <si>
    <t>Tornillo p/ HD 3.8-3.5-2.5</t>
  </si>
  <si>
    <t>GAV 468</t>
  </si>
  <si>
    <t>D3-111-560</t>
  </si>
  <si>
    <t>SOPORTE SF-3000</t>
  </si>
  <si>
    <t>A4-062-087</t>
  </si>
  <si>
    <t>Caja de accesorios para OC 3</t>
  </si>
  <si>
    <t>II3</t>
  </si>
  <si>
    <t>Embrague p/ CV 30/1</t>
  </si>
  <si>
    <t>A6-363-657</t>
  </si>
  <si>
    <t>Oring 50 x 2.35 para K3 Full</t>
  </si>
  <si>
    <t>GAV 1313</t>
  </si>
  <si>
    <t>A6-680-124</t>
  </si>
  <si>
    <t>Manguera p/ BD 38/12</t>
  </si>
  <si>
    <t>A8-614-304</t>
  </si>
  <si>
    <t>Indicador de Luz p/ SENSOR XP 12</t>
  </si>
  <si>
    <t>A8-622-508</t>
  </si>
  <si>
    <t>MicroINTERRUPTIR p/ CV 66/2</t>
  </si>
  <si>
    <t>GAV 285</t>
  </si>
  <si>
    <t>A8-600-434</t>
  </si>
  <si>
    <t>Manguera p/ BRC 38/30</t>
  </si>
  <si>
    <t>Polea de APOYO  p/ DS 5.800</t>
  </si>
  <si>
    <t>A5-112-382</t>
  </si>
  <si>
    <t>Borner p/ HDS 3.5</t>
  </si>
  <si>
    <t>GAV 257</t>
  </si>
  <si>
    <t>A5-260-041</t>
  </si>
  <si>
    <t>PROTECTOR DE CABEZAL BRBD 55/60</t>
  </si>
  <si>
    <t>A4-071-518</t>
  </si>
  <si>
    <t>Iman pequeño completo</t>
  </si>
  <si>
    <t>Mariposa fijacion de Filtro : WD1-WD2-WD3-A2101, A2204, A2004</t>
  </si>
  <si>
    <t>4.5 A</t>
  </si>
  <si>
    <t>A8-622-582</t>
  </si>
  <si>
    <t>Disco p/ SABER COMPACT 17</t>
  </si>
  <si>
    <t>GAV 399</t>
  </si>
  <si>
    <t>2.644-191.0</t>
  </si>
  <si>
    <t>Limpiador de vidrios y fachadas para lanzaz telescopica version nueva.</t>
  </si>
  <si>
    <t>A5-112-748</t>
  </si>
  <si>
    <t>Casquillo p/ BR 40/25</t>
  </si>
  <si>
    <t>A5-363-721</t>
  </si>
  <si>
    <t>Oring p/ HDS 10/20</t>
  </si>
  <si>
    <t>GAV 298</t>
  </si>
  <si>
    <t>A6-363-504</t>
  </si>
  <si>
    <t>Junta p/ HD 9/50</t>
  </si>
  <si>
    <t>GAV 738</t>
  </si>
  <si>
    <t>A6-964-009</t>
  </si>
  <si>
    <t>ORING 10.78x2.62 para K310-330</t>
  </si>
  <si>
    <t>GAV 163</t>
  </si>
  <si>
    <t>B5-550-310</t>
  </si>
  <si>
    <t>Cabezal p/ HDC 24/15</t>
  </si>
  <si>
    <t>D2-110-297</t>
  </si>
  <si>
    <t>ROSCA PLASTICA PARA MASTER 2001</t>
  </si>
  <si>
    <t>A5-363-466</t>
  </si>
  <si>
    <t>Anillo de OBTURACION p/ K 5.85</t>
  </si>
  <si>
    <t>A6-389-424</t>
  </si>
  <si>
    <t>Manguera de Alta Presión p/ HDS 801 E</t>
  </si>
  <si>
    <t>A6-472-112</t>
  </si>
  <si>
    <t>Oring 10.0 X 2.4</t>
  </si>
  <si>
    <t>GAV 24</t>
  </si>
  <si>
    <t>A6-964-055</t>
  </si>
  <si>
    <t>DISCO OSCILANTE PARA K 310 K 330</t>
  </si>
  <si>
    <t>A2-883-398</t>
  </si>
  <si>
    <t>Boquilla Fija 25045 p/ HDS801 E,HD855-801 B-830 BS</t>
  </si>
  <si>
    <t>A7-367-008</t>
  </si>
  <si>
    <t>RETENEDOR 25 X 35 X 7 p/ HD 651 HDS 557CI K 520M</t>
  </si>
  <si>
    <t>GAV 231</t>
  </si>
  <si>
    <t>A8-614-366</t>
  </si>
  <si>
    <t>Turbina de Aspiración p/ AXCESS 12</t>
  </si>
  <si>
    <t>A9-763-034</t>
  </si>
  <si>
    <t>Flotador p/ BD 50/60 BD 43/35</t>
  </si>
  <si>
    <t>A2-885-369</t>
  </si>
  <si>
    <t>Contactor p/ HDS E 3.3</t>
  </si>
  <si>
    <t>A4-120-198</t>
  </si>
  <si>
    <t>DISCO OSCILANTE PARA HD 1050</t>
  </si>
  <si>
    <t>A6-670-117</t>
  </si>
  <si>
    <t>Placa de CIRCUITOS p/ BD 30/4</t>
  </si>
  <si>
    <t>A8-751-228</t>
  </si>
  <si>
    <t>SEGURO p/ HD 3.5/ HD 3.8</t>
  </si>
  <si>
    <t>GAV 376</t>
  </si>
  <si>
    <t>Cable Electrico TSJ 2X14</t>
  </si>
  <si>
    <t>A6-362-479</t>
  </si>
  <si>
    <t>Oring 7,59X 2,62</t>
  </si>
  <si>
    <t>GAV 147</t>
  </si>
  <si>
    <t>A6-630-081</t>
  </si>
  <si>
    <t>Interruptor PROTECTOR p/ BR 530</t>
  </si>
  <si>
    <t>I4409705</t>
  </si>
  <si>
    <t>Kit de Microfibras, 2 Secas y 1 Húmedo</t>
  </si>
  <si>
    <t>A4-540-145</t>
  </si>
  <si>
    <t>Bomba p/ B 250</t>
  </si>
  <si>
    <t>A5-035-117</t>
  </si>
  <si>
    <t>Flotador p/ B 150</t>
  </si>
  <si>
    <t>A6-363-519</t>
  </si>
  <si>
    <t>Oring 12.0 X 2.00</t>
  </si>
  <si>
    <t>GAV 255</t>
  </si>
  <si>
    <t>A8-629-146</t>
  </si>
  <si>
    <t>PROTECCION de Turbina 11 A p/ BRC 30 15 C</t>
  </si>
  <si>
    <t>GAV 643</t>
  </si>
  <si>
    <t>A9-755-279</t>
  </si>
  <si>
    <t>Oring p/ K2 - K3.48 - K4 - K5.68</t>
  </si>
  <si>
    <t>GAV 50</t>
  </si>
  <si>
    <t>A4-071-516</t>
  </si>
  <si>
    <t>Manguera de aspiracion para puzzi 8/1</t>
  </si>
  <si>
    <t>Z1</t>
  </si>
  <si>
    <t>A6-385-935</t>
  </si>
  <si>
    <t>SEGUROS KM 70/20</t>
  </si>
  <si>
    <t>A6-391-725</t>
  </si>
  <si>
    <t>Manguera p/ BR 30/4</t>
  </si>
  <si>
    <t>A7-304-810</t>
  </si>
  <si>
    <t>Tornillo HEXAGONAL M 8X 45</t>
  </si>
  <si>
    <t>GAV 1158</t>
  </si>
  <si>
    <t>Interruptor (BR 40/25)</t>
  </si>
  <si>
    <t>GAV 924</t>
  </si>
  <si>
    <t>A9-763-455</t>
  </si>
  <si>
    <t>Tapa con junta para BD 43/35</t>
  </si>
  <si>
    <t>A8-614-392</t>
  </si>
  <si>
    <t>Rueda de Ajuste p/ SENSOR XP 12</t>
  </si>
  <si>
    <t>A9-001-858</t>
  </si>
  <si>
    <t>Conducción de Aire VC 1800</t>
  </si>
  <si>
    <t>Caja Eléctrica p/ K 5</t>
  </si>
  <si>
    <t>C0-000-237</t>
  </si>
  <si>
    <t>Filtro de Aire para GX 270</t>
  </si>
  <si>
    <t>D1-113-591</t>
  </si>
  <si>
    <t>FAJA EN V PARA TRP 400 A-43</t>
  </si>
  <si>
    <t>Disco AXIAL HD 3.5</t>
  </si>
  <si>
    <t>A5-055-033</t>
  </si>
  <si>
    <t>Consola Gris p/FC5</t>
  </si>
  <si>
    <t>A6-369-474</t>
  </si>
  <si>
    <t>PLATILLO MOTRIZ CROTTI-CLEANFIX PRA BD 44-180</t>
  </si>
  <si>
    <t>SS2</t>
  </si>
  <si>
    <t>A6-633-421</t>
  </si>
  <si>
    <t>RELE 1W 24 VAC/DC</t>
  </si>
  <si>
    <t>Filtro de Aire Plano PES p/ NT 35/1</t>
  </si>
  <si>
    <t>D2-110-482</t>
  </si>
  <si>
    <t>Tolva</t>
  </si>
  <si>
    <t>A5-037-185</t>
  </si>
  <si>
    <t>GRAPA NEGRA de Pistola DOMESTICA</t>
  </si>
  <si>
    <t>GAV 810</t>
  </si>
  <si>
    <t>A5-337-027</t>
  </si>
  <si>
    <t>RESORTE de LAMINA p/ HDS 501 CHD 525K 520 M</t>
  </si>
  <si>
    <t>Oring 14.0 X 2.0 p/ 10/25,1050B,855S,-558C, HD 7/13</t>
  </si>
  <si>
    <t>GAV 10</t>
  </si>
  <si>
    <t>A6-371-260-1</t>
  </si>
  <si>
    <t>Pad Diamantado Blanco de 20"</t>
  </si>
  <si>
    <t>A8-614-143</t>
  </si>
  <si>
    <t>SEGURO de Filtro  p/ SENSOR XP 12</t>
  </si>
  <si>
    <t>GAV 823</t>
  </si>
  <si>
    <t>A5-069-045</t>
  </si>
  <si>
    <t>Tapa de Interruptor p/ BDS 43/150</t>
  </si>
  <si>
    <t>A6-348-274</t>
  </si>
  <si>
    <t>CORREA TRAPECIAL KSM 690 BAT KSM 690 PRO</t>
  </si>
  <si>
    <t>A6-363-513</t>
  </si>
  <si>
    <t>Oring  p/ HD 9/50 GE</t>
  </si>
  <si>
    <t>GAV 746</t>
  </si>
  <si>
    <t>A6-435-854</t>
  </si>
  <si>
    <t>Rueda p/ B140</t>
  </si>
  <si>
    <t>D4-113-001</t>
  </si>
  <si>
    <t>GAV 1351</t>
  </si>
  <si>
    <t>D4-113-126</t>
  </si>
  <si>
    <t>SEGURO DE ALINEAMIENTO</t>
  </si>
  <si>
    <t>GAV 1062</t>
  </si>
  <si>
    <t>Triturador Forrajero TRP 40, Motor 1.5 CV 127/220 voltios Monofásico</t>
  </si>
  <si>
    <t>A5-363-424</t>
  </si>
  <si>
    <t>EMPAQUE K 1102</t>
  </si>
  <si>
    <t>GAV 535</t>
  </si>
  <si>
    <t>A6-415-492</t>
  </si>
  <si>
    <t>Inyector  HDS 500CI-557CI-558 NUEVA</t>
  </si>
  <si>
    <t>A8-600-120</t>
  </si>
  <si>
    <t>Bolsa de Tela p/ Windsor WAVE</t>
  </si>
  <si>
    <t>A9-750-079</t>
  </si>
  <si>
    <t>Conducción de Aire K2.21</t>
  </si>
  <si>
    <t>A9-764-834</t>
  </si>
  <si>
    <t>Boquilla de ranuras para VC 4I</t>
  </si>
  <si>
    <t>D2-122-804</t>
  </si>
  <si>
    <t>Protector de Correa p/ TRP-400-G</t>
  </si>
  <si>
    <t>5.036-712.0</t>
  </si>
  <si>
    <t>Chapa de labio para B250</t>
  </si>
  <si>
    <t>Borner p/ HDS 10/20</t>
  </si>
  <si>
    <t>GAV 792</t>
  </si>
  <si>
    <t>A5-112-863</t>
  </si>
  <si>
    <t>GAV 247</t>
  </si>
  <si>
    <t>A6-286-201</t>
  </si>
  <si>
    <t>ESTELA AISLANTE p/ T 201</t>
  </si>
  <si>
    <t>A9-803-949</t>
  </si>
  <si>
    <t>GAV 479</t>
  </si>
  <si>
    <t>A1-004-015</t>
  </si>
  <si>
    <t>Caracol Soplador AB 84 (Windhandler)</t>
  </si>
  <si>
    <t>A4-172-024</t>
  </si>
  <si>
    <t>Cable p/ BR 40/25</t>
  </si>
  <si>
    <t>A5-064-238</t>
  </si>
  <si>
    <t>Cobertor de VENTILADOR p/ HDS 7/11</t>
  </si>
  <si>
    <t>D2-122-113</t>
  </si>
  <si>
    <t>SARANDA LISA  PARA TRF 800</t>
  </si>
  <si>
    <t>I4403993</t>
  </si>
  <si>
    <t>Juego de Ruedas DE GOMA Robot MIRRA</t>
  </si>
  <si>
    <t>CCC1</t>
  </si>
  <si>
    <t>I4403996</t>
  </si>
  <si>
    <t>Filtro Residuos GRANDES Robot MIRRA</t>
  </si>
  <si>
    <t>Tarjeta Electrónica p/ NT 30/1</t>
  </si>
  <si>
    <t>Tubo Telescópico BV 5/1, T 15/1</t>
  </si>
  <si>
    <t>A8-622-548</t>
  </si>
  <si>
    <t>Turbina de ASPIRACIÓN p/ BRC 30 15 C</t>
  </si>
  <si>
    <t>A9-770-619</t>
  </si>
  <si>
    <t>Cierre acodado</t>
  </si>
  <si>
    <t>A9-770-638</t>
  </si>
  <si>
    <t>Boquilla de Ranuras p/ NT 38-1</t>
  </si>
  <si>
    <t>D4-113-041</t>
  </si>
  <si>
    <t>TORNILLO PARA TRF-300</t>
  </si>
  <si>
    <t>GAV 1354</t>
  </si>
  <si>
    <t>D4-113-127</t>
  </si>
  <si>
    <t>SEGURO DE ENGRANAJE</t>
  </si>
  <si>
    <t>GAV 1061</t>
  </si>
  <si>
    <t>A5-044-690</t>
  </si>
  <si>
    <t>Soporte p/ K5.85</t>
  </si>
  <si>
    <t>A8-933-021</t>
  </si>
  <si>
    <t>PRISIONERO p/ HD 3.5</t>
  </si>
  <si>
    <t>GAV 380</t>
  </si>
  <si>
    <t>D2-110-293</t>
  </si>
  <si>
    <t>RUEDA PARA WM-350</t>
  </si>
  <si>
    <t>Boquilla Triple Easy Lock 25032 para HD 4/9</t>
  </si>
  <si>
    <t>Arandela p/ KM 70/20</t>
  </si>
  <si>
    <t>GAV 581</t>
  </si>
  <si>
    <t>A4-680-126</t>
  </si>
  <si>
    <t>Serpentín p/ HDS 558 Eco (A1-170-610) , HDS 6/14 (A1-169-223)</t>
  </si>
  <si>
    <t>QQ5</t>
  </si>
  <si>
    <t>A6-362-577</t>
  </si>
  <si>
    <t>Oring 11.0 X 1.5</t>
  </si>
  <si>
    <t>GAV 65</t>
  </si>
  <si>
    <t>A6-401-363</t>
  </si>
  <si>
    <t>RODAMIENTO DE BOLAS PARA BR 530</t>
  </si>
  <si>
    <t>A7-304-399</t>
  </si>
  <si>
    <t>Tornillo p/ BR 75/140</t>
  </si>
  <si>
    <t>GAV 127</t>
  </si>
  <si>
    <t>Codo p/ K 5</t>
  </si>
  <si>
    <t>C0-000-236</t>
  </si>
  <si>
    <t>Carburador para GX 270</t>
  </si>
  <si>
    <t>Set de piezas de piñon satelital para K</t>
  </si>
  <si>
    <t>A6-362-902</t>
  </si>
  <si>
    <t>Oring 60.0 X 2.5</t>
  </si>
  <si>
    <t>GAV 152</t>
  </si>
  <si>
    <t>A6-389-862</t>
  </si>
  <si>
    <t>Manguera p/ de 4002</t>
  </si>
  <si>
    <t>I4636450</t>
  </si>
  <si>
    <t>CCC2</t>
  </si>
  <si>
    <t>A7-318-079</t>
  </si>
  <si>
    <t>CUÑA PARA HD 855 Y HDS 655</t>
  </si>
  <si>
    <t>GAV 1181</t>
  </si>
  <si>
    <t>D1-112-664</t>
  </si>
  <si>
    <t>RESORTE PARA ES 650</t>
  </si>
  <si>
    <t>A5-031-989</t>
  </si>
  <si>
    <t>Tubo de Aspiración</t>
  </si>
  <si>
    <t>A5-031-990</t>
  </si>
  <si>
    <t>Pieza TERMINAL SQUEEGE p/ BR 55/60</t>
  </si>
  <si>
    <t>A6-974-009</t>
  </si>
  <si>
    <t>Turbina p/ BV 111</t>
  </si>
  <si>
    <t>A4-580-734</t>
  </si>
  <si>
    <t>Válvula Completa p/ HDSE 3.3</t>
  </si>
  <si>
    <t>GAV 1335</t>
  </si>
  <si>
    <t>A4-580-740</t>
  </si>
  <si>
    <t>Válvula de RETENCION p/ HD 9/50</t>
  </si>
  <si>
    <t>GAV 1037</t>
  </si>
  <si>
    <t>A6-348-401</t>
  </si>
  <si>
    <t>FAJA PARA BR VARIO</t>
  </si>
  <si>
    <t>D1-112-803</t>
  </si>
  <si>
    <t>EMPAQUE DE TAPA DE ES-650</t>
  </si>
  <si>
    <t>A4-591-028</t>
  </si>
  <si>
    <t>By Pass p/ HD 1094,HD 1090</t>
  </si>
  <si>
    <t>A5-055-029</t>
  </si>
  <si>
    <t>Cubierta cabezal para FC 5</t>
  </si>
  <si>
    <t>A6-339-182</t>
  </si>
  <si>
    <t>TOPE de CAUCHO p/ HD 651</t>
  </si>
  <si>
    <t>A6-403-074</t>
  </si>
  <si>
    <t>Cojinete de deSLIZAMIENTO 10MM</t>
  </si>
  <si>
    <t>GAV 360</t>
  </si>
  <si>
    <t>A6-633-449</t>
  </si>
  <si>
    <t>RELE 120V PARA BR 530 110 V - B40</t>
  </si>
  <si>
    <t>A6-362-482</t>
  </si>
  <si>
    <t>ORING 10.0 X 1.5 PARA HD 100C HDS 1055 HDS 1295 HDS 500Ci HDS 557CIHDS 558CI HDS 655 HDS 695 HDS 700</t>
  </si>
  <si>
    <t>GAV 112</t>
  </si>
  <si>
    <t>A7-401-918</t>
  </si>
  <si>
    <t>BALIN 6.0</t>
  </si>
  <si>
    <t>BALIN HDS 558</t>
  </si>
  <si>
    <t>GAV 235</t>
  </si>
  <si>
    <t>A8-633-282</t>
  </si>
  <si>
    <t>Capacitor 25 MF p/ BRC 38 / 30 C</t>
  </si>
  <si>
    <t>ROLL 6303</t>
  </si>
  <si>
    <t>A4-075-018</t>
  </si>
  <si>
    <t>Cierre de ConTENEDOR p/ SG 4/4</t>
  </si>
  <si>
    <t>A5-042-568</t>
  </si>
  <si>
    <t>PRENSA P NT 351</t>
  </si>
  <si>
    <t>D1-111-258</t>
  </si>
  <si>
    <t>JUNTA MENOR PARA ES-650</t>
  </si>
  <si>
    <t>GAV 280</t>
  </si>
  <si>
    <t>B5-551-024</t>
  </si>
  <si>
    <t>VIELA PARA HDC 24/15-4 * 36/15-4</t>
  </si>
  <si>
    <t>A5-767-005</t>
  </si>
  <si>
    <t>TOPE de CAUCHO p/ HD 855S-5/12-10/25 HDS 558</t>
  </si>
  <si>
    <t>GAV 624</t>
  </si>
  <si>
    <t>Retenedor 22X35X5</t>
  </si>
  <si>
    <t>GAV 130</t>
  </si>
  <si>
    <t>A9-001-299</t>
  </si>
  <si>
    <t>Disco AXIAL K 381</t>
  </si>
  <si>
    <t>A2-883-400</t>
  </si>
  <si>
    <t>Boquilla Fija 25052 p/ HDS655,HD1050,HD 1000 C</t>
  </si>
  <si>
    <t>Culata de Cilindro p/ HDS 1020</t>
  </si>
  <si>
    <t>A5-112-869</t>
  </si>
  <si>
    <t>Borner p/ HDS-E 3.3</t>
  </si>
  <si>
    <t>A8-614-367</t>
  </si>
  <si>
    <t>Soporte p/ Manguera de AXCESS 12</t>
  </si>
  <si>
    <t>GAV 1174</t>
  </si>
  <si>
    <t>B9-382-002</t>
  </si>
  <si>
    <t>Transductor de Presión p/ HDC 24/15-4 * 36/15-4</t>
  </si>
  <si>
    <t>CepilloDisco Rojo BD 55/60, BD 60</t>
  </si>
  <si>
    <t>A8-600-667</t>
  </si>
  <si>
    <t>Tornillo de Porta Pad p/ LIGHTING 1500</t>
  </si>
  <si>
    <t>GAV 1149</t>
  </si>
  <si>
    <t>A8-719-008</t>
  </si>
  <si>
    <t>ADANdeLA p/ HD 3.4</t>
  </si>
  <si>
    <t>GAV 470</t>
  </si>
  <si>
    <t>Culata p/ K 4</t>
  </si>
  <si>
    <t>A9-755-306</t>
  </si>
  <si>
    <t>Motor de CAMBIO p/ K3</t>
  </si>
  <si>
    <t>A6-683-270</t>
  </si>
  <si>
    <t>A8-754-853</t>
  </si>
  <si>
    <t>Cabezal p/ HD 3.4</t>
  </si>
  <si>
    <t>C6-491-345</t>
  </si>
  <si>
    <t>Filtro de Aire p/ HD 1050-KM100/100 HD 3.5/40 GX 390</t>
  </si>
  <si>
    <t>A5-583-089</t>
  </si>
  <si>
    <t>Tornillo Válvula p/ HD 855</t>
  </si>
  <si>
    <t>GAV 637</t>
  </si>
  <si>
    <t>A6-414-028</t>
  </si>
  <si>
    <t>Filtro de Detergente p/ HDS 1055 HDS 557CI HDS 655 HDS 695 HDS 895</t>
  </si>
  <si>
    <t>A9-755-268</t>
  </si>
  <si>
    <t>Caja electrica para K3</t>
  </si>
  <si>
    <t>A6-273-116</t>
  </si>
  <si>
    <t>Cordón p/ BR 40/25</t>
  </si>
  <si>
    <t>Boquilla de PISO p/ NT 38/1 - 20/1</t>
  </si>
  <si>
    <t>B7-362-501</t>
  </si>
  <si>
    <t>ORING 10.0 X 2.0</t>
  </si>
  <si>
    <t>GAV 119</t>
  </si>
  <si>
    <t>A6-363-587</t>
  </si>
  <si>
    <t>Oring 53.57 X 3.53</t>
  </si>
  <si>
    <t>GAV 80</t>
  </si>
  <si>
    <t>Tuerca de Unión</t>
  </si>
  <si>
    <t>GAV 150</t>
  </si>
  <si>
    <t>A6-731-147</t>
  </si>
  <si>
    <t>Pad Pelo de Chancho  20" ( BLANCO)</t>
  </si>
  <si>
    <t>JJ2</t>
  </si>
  <si>
    <t>A8-717-673</t>
  </si>
  <si>
    <t>Set de Válvula p/ HD 3.5</t>
  </si>
  <si>
    <t>Soporte de squeegee para B40</t>
  </si>
  <si>
    <t>A5-731-625</t>
  </si>
  <si>
    <t>Filtro de Aire para KM 70/30</t>
  </si>
  <si>
    <t>A6-362-580</t>
  </si>
  <si>
    <t>ORING 17.0 X 2.0</t>
  </si>
  <si>
    <t>GAV 595</t>
  </si>
  <si>
    <t>A6-686-006</t>
  </si>
  <si>
    <t>REGULADOR p/ de 4002</t>
  </si>
  <si>
    <t>GAV 417</t>
  </si>
  <si>
    <t>A8-640-609</t>
  </si>
  <si>
    <t>Carcasa p/ SENSOR XP 12</t>
  </si>
  <si>
    <t>A4-037-036</t>
  </si>
  <si>
    <t>Cepillo Cilíndrico Blanco p/ BR 35/12</t>
  </si>
  <si>
    <t>Pistones p/ HDS 10/20</t>
  </si>
  <si>
    <t>A7-401-022</t>
  </si>
  <si>
    <t>ROL 16003</t>
  </si>
  <si>
    <t>GAV 99</t>
  </si>
  <si>
    <t>A8-622-369</t>
  </si>
  <si>
    <t>Tornillo p/ BOLT 17-20</t>
  </si>
  <si>
    <t>GAV 281</t>
  </si>
  <si>
    <t>D073431</t>
  </si>
  <si>
    <t>Enchufe 4 P 30AMP</t>
  </si>
  <si>
    <t>D1-110-061</t>
  </si>
  <si>
    <t>Arandela p/ ES 650</t>
  </si>
  <si>
    <t>GAV 1073</t>
  </si>
  <si>
    <t>D2-112-749</t>
  </si>
  <si>
    <t>Cuchilla Intermedia p/ TRC 40- TRC 50</t>
  </si>
  <si>
    <t>A9-080-455</t>
  </si>
  <si>
    <t>Oring de 10X 2.8 p/ K 5</t>
  </si>
  <si>
    <t>GAV 102</t>
  </si>
  <si>
    <t>D2-112-775</t>
  </si>
  <si>
    <t>SEp/DOR de MARTILLOS TRR 180/190</t>
  </si>
  <si>
    <t>GAV 954</t>
  </si>
  <si>
    <t>I4646490</t>
  </si>
  <si>
    <t>Cepillos de Goma p/S9</t>
  </si>
  <si>
    <t>I4650151</t>
  </si>
  <si>
    <t>Bateria de carga para M6</t>
  </si>
  <si>
    <t>A2-111-009</t>
  </si>
  <si>
    <t>Set de Boquilla Innofoam (500-600 l/h) Easy Lock p/ HD 5/12, HDS 558</t>
  </si>
  <si>
    <t>D1-112-796</t>
  </si>
  <si>
    <t>GAV 1107</t>
  </si>
  <si>
    <t>A5-007-827</t>
  </si>
  <si>
    <t>Placa p/ BD 55/60</t>
  </si>
  <si>
    <t>GAV 726</t>
  </si>
  <si>
    <t>A5-110-079</t>
  </si>
  <si>
    <t>A6-369-471.1</t>
  </si>
  <si>
    <t>Pad Azul</t>
  </si>
  <si>
    <t>LL5</t>
  </si>
  <si>
    <t>A9-761-136</t>
  </si>
  <si>
    <t>Tapa trasera p/HD 6/15</t>
  </si>
  <si>
    <t>D3-111-562</t>
  </si>
  <si>
    <t>CINTA PARA SF-3000</t>
  </si>
  <si>
    <t>A4-580-318</t>
  </si>
  <si>
    <t>By Pass p/ HD 855</t>
  </si>
  <si>
    <t>I4403992</t>
  </si>
  <si>
    <t>Juego de Ruedas de Espuma p/ Robot Mirra</t>
  </si>
  <si>
    <t>A4-117-031</t>
  </si>
  <si>
    <t>Boquilla Triple 0.36 EASY LOCK</t>
  </si>
  <si>
    <t>A8-600-139</t>
  </si>
  <si>
    <t>Bolsa de Papel p/ Cepillo Ligthing 2000 (10 Unidades)</t>
  </si>
  <si>
    <t>A9-765-042</t>
  </si>
  <si>
    <t>Deposito completo para VC 4I</t>
  </si>
  <si>
    <t>A6-304-134</t>
  </si>
  <si>
    <t>TORNILLO BY PASS HD 855</t>
  </si>
  <si>
    <t>GAV 20</t>
  </si>
  <si>
    <t>A6-362-642</t>
  </si>
  <si>
    <t>Oring 7.65X1.78 p/ HD 7/12</t>
  </si>
  <si>
    <t>A6-421-214</t>
  </si>
  <si>
    <t>MANOMETRO 0-300 BAR p/ HD 1090 HD 1094 Y HD 1050</t>
  </si>
  <si>
    <t>Interruptor p/ BV 5/1 - NT 35/1 - 72/2 - 361 - Puzzi 8/1</t>
  </si>
  <si>
    <t>D2-110-288</t>
  </si>
  <si>
    <t>PARTE SUP. DE CANASTA</t>
  </si>
  <si>
    <t>A6-303-557</t>
  </si>
  <si>
    <t>Tornillo de 3 X 12</t>
  </si>
  <si>
    <t>GAV 1258</t>
  </si>
  <si>
    <t>A6-303-562</t>
  </si>
  <si>
    <t>Tornillo D4 X 55 p/ HD 4/9 C</t>
  </si>
  <si>
    <t>GAV 1048</t>
  </si>
  <si>
    <t>A6-362-571</t>
  </si>
  <si>
    <t>Set de Oring p/ HD Y HDS</t>
  </si>
  <si>
    <t>A7-362-502</t>
  </si>
  <si>
    <t>ORING 2.8x1.6 PARA K 270 K 520M K 620M SB-HDW SB-HDW S2 HD 585</t>
  </si>
  <si>
    <t>GAV 364</t>
  </si>
  <si>
    <t>A9-763-041</t>
  </si>
  <si>
    <t>Palanca de Barra de ELEVACION p/ BD 50/60 BD 43/35</t>
  </si>
  <si>
    <t>D1-113-615</t>
  </si>
  <si>
    <t>TORNILLO 3/8 X 1"</t>
  </si>
  <si>
    <t>GAV 947</t>
  </si>
  <si>
    <t>A4-195-243</t>
  </si>
  <si>
    <t>Almacén p/ DS 5.800</t>
  </si>
  <si>
    <t>By Pass p/ HD 5/12C,HD 651,HD 658</t>
  </si>
  <si>
    <t>NTCH101029</t>
  </si>
  <si>
    <t>Paño de Microfibra Azul 40x40 cm</t>
  </si>
  <si>
    <t>2.644-230.0</t>
  </si>
  <si>
    <t>Abánico p/ HDS 10/20</t>
  </si>
  <si>
    <t>A2-645-203</t>
  </si>
  <si>
    <t>Acople de 3/4 KARCHER</t>
  </si>
  <si>
    <t>A2-650-000</t>
  </si>
  <si>
    <t>Fusible p/ SGV 6/5</t>
  </si>
  <si>
    <t>A5-583-125</t>
  </si>
  <si>
    <t>TORNILLO DE VALVULA PARA HDS 895HD 1090HD 1094</t>
  </si>
  <si>
    <t>GAV 1631</t>
  </si>
  <si>
    <t>A6-363-579</t>
  </si>
  <si>
    <t>Oring 35 X 2.5 p/ HDS 6/14</t>
  </si>
  <si>
    <t>GAV 1155</t>
  </si>
  <si>
    <t>A9-755-281</t>
  </si>
  <si>
    <t>Cabezal p/ K 3.48 - K 5.68</t>
  </si>
  <si>
    <t>A6-391-794</t>
  </si>
  <si>
    <t>Manguera p/ K 5.85 - K3.690</t>
  </si>
  <si>
    <t>BB2</t>
  </si>
  <si>
    <t>A4-117-033</t>
  </si>
  <si>
    <t>Boquilla Triple 0.40 EASY LOCK</t>
  </si>
  <si>
    <t>A6-363-613</t>
  </si>
  <si>
    <t>Oring 4.0X2.0 K 5.85 HD 5/12 HD 585</t>
  </si>
  <si>
    <t>A8-629-925</t>
  </si>
  <si>
    <t>Turbina de Aspiración p/ BRC 38/30 C</t>
  </si>
  <si>
    <t>A2-883-402</t>
  </si>
  <si>
    <t>Boquilla Fija 25060 = HD 10/25 -HD 10/90 -HD 10/94 -HDS 655</t>
  </si>
  <si>
    <t>A4-037-057</t>
  </si>
  <si>
    <t>Rueda p/ SQUEEGE de BR 32/12</t>
  </si>
  <si>
    <t>A5-321-692</t>
  </si>
  <si>
    <t>Perilla P/  HD 7/12</t>
  </si>
  <si>
    <t>A5-515-045</t>
  </si>
  <si>
    <t>Polea p/ BR 400</t>
  </si>
  <si>
    <t>GAV 517</t>
  </si>
  <si>
    <t>A6-472-927</t>
  </si>
  <si>
    <t>ACOPLE DE MANGUERA INTERNA</t>
  </si>
  <si>
    <t>GAV 177</t>
  </si>
  <si>
    <t>A6-966-053</t>
  </si>
  <si>
    <t>Rodillo de Direccion p/ KM 70/20</t>
  </si>
  <si>
    <t>A8-614-463</t>
  </si>
  <si>
    <t>Oring de RETENCION p/ AXCESS 12</t>
  </si>
  <si>
    <t>GAV 825</t>
  </si>
  <si>
    <t>A4-037-038</t>
  </si>
  <si>
    <t>Cepillo Cilíndrico Verde p/ BR 35/12</t>
  </si>
  <si>
    <t>2.644-081.0</t>
  </si>
  <si>
    <t>Boquillas de limpiador de superficies domestico</t>
  </si>
  <si>
    <t>A4-683-186</t>
  </si>
  <si>
    <t>Sistema electrico para B60</t>
  </si>
  <si>
    <t>A6-649-933</t>
  </si>
  <si>
    <t>Cable PATCH</t>
  </si>
  <si>
    <t>Manguera de desague para NT 65/2</t>
  </si>
  <si>
    <t>A8-717-210</t>
  </si>
  <si>
    <t>Tapa p/ HD 3.5/30  ST</t>
  </si>
  <si>
    <t>A9-802-171</t>
  </si>
  <si>
    <t>Adaptador p/ HD 3.5</t>
  </si>
  <si>
    <t>A9-154-047</t>
  </si>
  <si>
    <t>Tapón de Válvula p/ G 4000</t>
  </si>
  <si>
    <t>GAV 351</t>
  </si>
  <si>
    <t>B5-103-039</t>
  </si>
  <si>
    <t>CIGUEÑAL p/ HDC 24/15</t>
  </si>
  <si>
    <t>D1-111-378</t>
  </si>
  <si>
    <t>SOPORTE DE MOTOR PARA TR 500G</t>
  </si>
  <si>
    <t>I20939</t>
  </si>
  <si>
    <t>Filtros Aerovac p/ Roomba 620/650 (3 unidades) *****</t>
  </si>
  <si>
    <t>A2-286-001</t>
  </si>
  <si>
    <t>Juego de ESTELAS p/ DS 5500</t>
  </si>
  <si>
    <t>A8-621-752</t>
  </si>
  <si>
    <t>Cobertor p/ LIGHTNING 2000</t>
  </si>
  <si>
    <t>4.551-191.0</t>
  </si>
  <si>
    <t>Cabezal p/ K 2.00 Plus</t>
  </si>
  <si>
    <t>A4-060-813</t>
  </si>
  <si>
    <t>Carcasa de Bomba p/ HD 830</t>
  </si>
  <si>
    <t>A5-394-911</t>
  </si>
  <si>
    <t>Protector antisalpicaduras para B60-140-150</t>
  </si>
  <si>
    <t>Cobertor de Boquilla para equipos version Easy Press</t>
  </si>
  <si>
    <t>RETENEDOR de Agua p/ HDS 1055 HDS 655 HDS 895 SB-HDW S2</t>
  </si>
  <si>
    <t>A6-365-332</t>
  </si>
  <si>
    <t>RETENEDOR INTERMEDIO  P/ 855</t>
  </si>
  <si>
    <t>A7-307-027</t>
  </si>
  <si>
    <t>Perno P KM 100/100</t>
  </si>
  <si>
    <t>D1-110-474</t>
  </si>
  <si>
    <t>GAV 1116</t>
  </si>
  <si>
    <t>A5-625-357</t>
  </si>
  <si>
    <t>Polea p/ BR 40/25</t>
  </si>
  <si>
    <t>6.3 H</t>
  </si>
  <si>
    <t>A6-630-816</t>
  </si>
  <si>
    <t>Interruptor p/ FC 5</t>
  </si>
  <si>
    <t>GAV 1249</t>
  </si>
  <si>
    <t>Tubo de Aspiración p/ NT 38/1</t>
  </si>
  <si>
    <t>C0-000-006</t>
  </si>
  <si>
    <t>Enchufe de 220 Voltios</t>
  </si>
  <si>
    <t>Manguera de Desagüe p/ BD 50/70</t>
  </si>
  <si>
    <t>A4-481-266</t>
  </si>
  <si>
    <t>Palanca AMARRILA p/ B 60</t>
  </si>
  <si>
    <t>A6-362-186</t>
  </si>
  <si>
    <t>Oring 7,65X 1,78</t>
  </si>
  <si>
    <t>GAV 260</t>
  </si>
  <si>
    <t>A7-306-058</t>
  </si>
  <si>
    <t>Tornillo p/ BR 55/60 - B 60- HDS 895 - 655</t>
  </si>
  <si>
    <t>GAV 828</t>
  </si>
  <si>
    <t>A8-637-387</t>
  </si>
  <si>
    <t>Empaque p/Sensor XP 12</t>
  </si>
  <si>
    <t>Cabezal p/ K5</t>
  </si>
  <si>
    <t>A6-343-162</t>
  </si>
  <si>
    <t>SEGURO P/ HD 1090HDS 1055HDS 1295HDS 500CIHDS 655HDS 695HDS 895PUZZI 300, HDS 7/11</t>
  </si>
  <si>
    <t>GAV 156</t>
  </si>
  <si>
    <t>A4-454-000</t>
  </si>
  <si>
    <t>Accionamiento EB 30/1</t>
  </si>
  <si>
    <t>Carcasa de Guía de EMPUJE p/ K 620 M</t>
  </si>
  <si>
    <t>A6-631-989</t>
  </si>
  <si>
    <t>INTERRUPTOR P 4002</t>
  </si>
  <si>
    <t>A7-000-100</t>
  </si>
  <si>
    <t>PROTECCION TERMICA p/ NT35-1</t>
  </si>
  <si>
    <t>GAV 174</t>
  </si>
  <si>
    <t>A8-622-501</t>
  </si>
  <si>
    <t>Soporte p/ LIGHTNING 2000</t>
  </si>
  <si>
    <t>A4-032-037</t>
  </si>
  <si>
    <t>Cepillo para S6</t>
  </si>
  <si>
    <t>A5-263-058</t>
  </si>
  <si>
    <t>SOPORTE P/ HD 855</t>
  </si>
  <si>
    <t>A6-491-919</t>
  </si>
  <si>
    <t>Junta p/ WTC 5000 UF</t>
  </si>
  <si>
    <t>I4408473</t>
  </si>
  <si>
    <t>Cable de Alimentación p/ Braava 380</t>
  </si>
  <si>
    <t>A4-481-257</t>
  </si>
  <si>
    <t>Soporte p/ B 60</t>
  </si>
  <si>
    <t>PRENSA de Cierre p/ Filtro NT 38/1-20/1</t>
  </si>
  <si>
    <t>D2-122-156</t>
  </si>
  <si>
    <t>PLATINA PARA ES-650</t>
  </si>
  <si>
    <t>Oring 60 X 2.0</t>
  </si>
  <si>
    <t>GAV 965</t>
  </si>
  <si>
    <t>A8-717-233</t>
  </si>
  <si>
    <t>Oring p/ HD 3.4</t>
  </si>
  <si>
    <t>GAV 453</t>
  </si>
  <si>
    <t>Filtro de Empaque  p/ Manguera p/ G2500/ G 4000</t>
  </si>
  <si>
    <t>GAV 1057</t>
  </si>
  <si>
    <t>B9-376-023</t>
  </si>
  <si>
    <t>Anillo para HDC 24/15-4 * 36/15-4</t>
  </si>
  <si>
    <t>GAV 327</t>
  </si>
  <si>
    <t>B9-383-001</t>
  </si>
  <si>
    <t>PROTECTOR DE TERMINALES</t>
  </si>
  <si>
    <t>GAV 167</t>
  </si>
  <si>
    <t>A6-286-200</t>
  </si>
  <si>
    <t>A6-286-202</t>
  </si>
  <si>
    <t>A6-632-538</t>
  </si>
  <si>
    <t>Interruptor p/ SG 4/4</t>
  </si>
  <si>
    <t>GAV 352</t>
  </si>
  <si>
    <t>A6-632-542</t>
  </si>
  <si>
    <t>Interruptor p/ BR 35/12</t>
  </si>
  <si>
    <t>A9-001-692</t>
  </si>
  <si>
    <t>Cabezal de Cilindro p/ K5.690, K4</t>
  </si>
  <si>
    <t>Filtro HEPA CV 30/1 - 38/2 - 48/2</t>
  </si>
  <si>
    <t>A4-765-000</t>
  </si>
  <si>
    <t>Boquilla PULVERIZADORA p/ PUZZI</t>
  </si>
  <si>
    <t>GAV 1375</t>
  </si>
  <si>
    <t>A8-721-567</t>
  </si>
  <si>
    <t>Empaque en V</t>
  </si>
  <si>
    <t>Set de FiltroS de SOPLADO p/ T 10/1</t>
  </si>
  <si>
    <t>A4-747-111</t>
  </si>
  <si>
    <t>Sensor de Detergente p/ HDS 6/14 C</t>
  </si>
  <si>
    <t>A5-037-276</t>
  </si>
  <si>
    <t>Piñon p/ BR 35/12</t>
  </si>
  <si>
    <t>GAV 748</t>
  </si>
  <si>
    <t>A6-362-028</t>
  </si>
  <si>
    <t>Oring p/ HD 3.5</t>
  </si>
  <si>
    <t>GAV 686</t>
  </si>
  <si>
    <t>Codo p/ K 2.050</t>
  </si>
  <si>
    <t>CL158600AV</t>
  </si>
  <si>
    <t>Pistola de Impacto 3/4" Industrial</t>
  </si>
  <si>
    <t>D3-111-557</t>
  </si>
  <si>
    <t>GRAPA PARA SF-3000</t>
  </si>
  <si>
    <t>GAV 1108</t>
  </si>
  <si>
    <t>A5-411-100</t>
  </si>
  <si>
    <t>Tornillo de BloqueO HDS 1055</t>
  </si>
  <si>
    <t>GAV 560</t>
  </si>
  <si>
    <t>A6-670-118</t>
  </si>
  <si>
    <t>PANEL de Mando p/ BD 30/4</t>
  </si>
  <si>
    <t>A5-116-468</t>
  </si>
  <si>
    <t>Disco p/ HDS 801B</t>
  </si>
  <si>
    <t>GAV 252</t>
  </si>
  <si>
    <t>A5-731-039</t>
  </si>
  <si>
    <t>Filtro de Combustible p/HDS 558 - 7/11 - 655</t>
  </si>
  <si>
    <t>A9-755-174</t>
  </si>
  <si>
    <t>Mango de RECAMBIO p/ K 5.68</t>
  </si>
  <si>
    <t>B9-086-218</t>
  </si>
  <si>
    <t>Tornillo para HD 585</t>
  </si>
  <si>
    <t>GAV 632</t>
  </si>
  <si>
    <t>D1-112-710</t>
  </si>
  <si>
    <t>ARANDELA PARA ES 650</t>
  </si>
  <si>
    <t>GAV 1106</t>
  </si>
  <si>
    <t>A5-112-340</t>
  </si>
  <si>
    <t>Borner p/ HD 855 S</t>
  </si>
  <si>
    <t>A6-362-477</t>
  </si>
  <si>
    <t>SET DE ORING</t>
  </si>
  <si>
    <t>GAV 41</t>
  </si>
  <si>
    <t>A6-491-965</t>
  </si>
  <si>
    <t>Filtro de Aire p/ HD 9/50</t>
  </si>
  <si>
    <t>A6-683-241</t>
  </si>
  <si>
    <t>Cable de 6 POLOS BUS 150MM</t>
  </si>
  <si>
    <t>A7-303-156</t>
  </si>
  <si>
    <t>Tornillo p/ HD 1050</t>
  </si>
  <si>
    <t>GAV 315</t>
  </si>
  <si>
    <t>A8-633-555</t>
  </si>
  <si>
    <t>ROL p/ LIGHTINING 2000</t>
  </si>
  <si>
    <t>GAV 1119</t>
  </si>
  <si>
    <t>A4-322-048</t>
  </si>
  <si>
    <t>Manguera de Vaporización con Pistola p/ SC2 Easy Fix</t>
  </si>
  <si>
    <t>A4-550-459</t>
  </si>
  <si>
    <t>Cabezal de Cilindro p/ HDS 558</t>
  </si>
  <si>
    <t>A5-007-673</t>
  </si>
  <si>
    <t>Chapa b60</t>
  </si>
  <si>
    <t>A5-583-147</t>
  </si>
  <si>
    <t>TORNILLO DE VALVULA</t>
  </si>
  <si>
    <t>A8-600-062</t>
  </si>
  <si>
    <t>Tanque de Agua p/ BDS 43-51/175 C BOLT 17-20</t>
  </si>
  <si>
    <t>JJJ1</t>
  </si>
  <si>
    <t>A8-621-526</t>
  </si>
  <si>
    <t>Correa p/  BRC 30/ 15 C</t>
  </si>
  <si>
    <t>A7-348-008</t>
  </si>
  <si>
    <t>Correa TRAPECIAL p/ KM 85/50</t>
  </si>
  <si>
    <t>Interruptor p/ NT 38/1-20/1 90/1</t>
  </si>
  <si>
    <t>A5-765-160</t>
  </si>
  <si>
    <t>Boquilla fija alto impacto para HD 9/50</t>
  </si>
  <si>
    <t>GAV 418</t>
  </si>
  <si>
    <t>A5-769-087</t>
  </si>
  <si>
    <t>Inyector p/ HD 1094</t>
  </si>
  <si>
    <t>GAV 1054</t>
  </si>
  <si>
    <t>A6-964-038</t>
  </si>
  <si>
    <t>CABEZAL DE CILINDRO PARA K 310 K 330</t>
  </si>
  <si>
    <t>A9-750-078</t>
  </si>
  <si>
    <t>Guía de Pistones K 2.26- 2.19</t>
  </si>
  <si>
    <t>D2-123-015</t>
  </si>
  <si>
    <t>CUCHILLA PARA CG-40/ RS 40/G</t>
  </si>
  <si>
    <t>A2-885-215</t>
  </si>
  <si>
    <t>Set de Oring p/ Pistola HD 9/50</t>
  </si>
  <si>
    <t>GAV 1042</t>
  </si>
  <si>
    <t>A8-613-997</t>
  </si>
  <si>
    <t>GAV 366</t>
  </si>
  <si>
    <t>A8-639-025</t>
  </si>
  <si>
    <t>Tapa para recipiente para PS 4/7</t>
  </si>
  <si>
    <t>A8-639-053</t>
  </si>
  <si>
    <t>Manguera interna para PS 4/7</t>
  </si>
  <si>
    <t>GAV 770</t>
  </si>
  <si>
    <t>Interruptor de Presión 95-1</t>
  </si>
  <si>
    <t>A9-755-286</t>
  </si>
  <si>
    <t>Cabezal p/ K2</t>
  </si>
  <si>
    <t>CV006415SJ</t>
  </si>
  <si>
    <t>Control de Aceleración p/ 14 HP</t>
  </si>
  <si>
    <t>III3</t>
  </si>
  <si>
    <t>A4-580-104.3</t>
  </si>
  <si>
    <t>Embolo para HD 7/13</t>
  </si>
  <si>
    <t>A7-303-117</t>
  </si>
  <si>
    <t>Tornillo p/ Cobertor de Boquilla p/ PUZZI 8/1 (VERSION NUEVA)</t>
  </si>
  <si>
    <t>GAV 238</t>
  </si>
  <si>
    <t>A4-686-027</t>
  </si>
  <si>
    <t>lLIMITADOR de TEMPERATURA p/ HDS-E 3.3</t>
  </si>
  <si>
    <t>A6-388-683</t>
  </si>
  <si>
    <t>Abrazadera  p/ PUZZI 100 - 8/1</t>
  </si>
  <si>
    <t>GAV 181</t>
  </si>
  <si>
    <t>DA502100</t>
  </si>
  <si>
    <t>Pistola de Sopletear de alto Performance Venturi</t>
  </si>
  <si>
    <t>A4-622-018</t>
  </si>
  <si>
    <t>Transformador de ConTROL p/ HDS 558,HDS 895,HDS 557</t>
  </si>
  <si>
    <t>A5-731-011</t>
  </si>
  <si>
    <t>CRIBA p/ K 5.85</t>
  </si>
  <si>
    <t>GAV 1248</t>
  </si>
  <si>
    <t>A6-273-282</t>
  </si>
  <si>
    <t>OBTURACION p/ BR 40/10</t>
  </si>
  <si>
    <t>A6-906-641</t>
  </si>
  <si>
    <t>Cepillo Rotativo p/ CV 30/1</t>
  </si>
  <si>
    <t>D1-113-008</t>
  </si>
  <si>
    <t>TUERCA PARA ES-650</t>
  </si>
  <si>
    <t>GAV 1071</t>
  </si>
  <si>
    <t>A8-717-225</t>
  </si>
  <si>
    <t>Oring 2.62 X 61.6 p/ HD 3.8-3.5</t>
  </si>
  <si>
    <t>GAV 571</t>
  </si>
  <si>
    <t>A9-751-139</t>
  </si>
  <si>
    <t>Pistola p/ HD 6/15</t>
  </si>
  <si>
    <t>A6-362-383</t>
  </si>
  <si>
    <t>ORING 6.0x2.0 PARA HD 1050B - 1090 - 1094 - 7/13 - K520 - 620M</t>
  </si>
  <si>
    <t>GAV 256</t>
  </si>
  <si>
    <t>Codo DS 5500- 5600</t>
  </si>
  <si>
    <t>A8-707-262</t>
  </si>
  <si>
    <t>Cierre p/ HD 3.4</t>
  </si>
  <si>
    <t>GAV 437</t>
  </si>
  <si>
    <t>B5-115-999</t>
  </si>
  <si>
    <t>Arandela p/ HD 7/13</t>
  </si>
  <si>
    <t>GAV 1234</t>
  </si>
  <si>
    <t>B9-389-006</t>
  </si>
  <si>
    <t>MANGUERA DE Alta PRESION PARA K  JUNIOR, K 340, K 2.93</t>
  </si>
  <si>
    <t>Z3</t>
  </si>
  <si>
    <t>Set de Bomba p/ HD 7/12 ESTE CODIGO INCLUYE LOS INTERMEDIOS.</t>
  </si>
  <si>
    <t>A4-132-010</t>
  </si>
  <si>
    <t>TAPA DE VALVULA G 4.10</t>
  </si>
  <si>
    <t>GAV 293</t>
  </si>
  <si>
    <t>A4-683-097</t>
  </si>
  <si>
    <t>Sistema de ConTROL p/ SGV 6/8</t>
  </si>
  <si>
    <t>A5-032-430</t>
  </si>
  <si>
    <t>Soporte de BoquillaS NT 48/1</t>
  </si>
  <si>
    <t>A9-763-007</t>
  </si>
  <si>
    <t>Tapa de Depósito p/ BD 43/45</t>
  </si>
  <si>
    <t>4.553-318.0</t>
  </si>
  <si>
    <t>Embolo  p/ HD 8/17 8/18</t>
  </si>
  <si>
    <t>A4-775-466</t>
  </si>
  <si>
    <t>Pistola de Proyección Manual p/  TODAS  HD Y HDS</t>
  </si>
  <si>
    <t>Retenedor de Aceite p/ HD 855 - HDS 7/11</t>
  </si>
  <si>
    <t>A2-324-012</t>
  </si>
  <si>
    <t>PALPadOR COMPLETO p/ DS 5600</t>
  </si>
  <si>
    <t>A7-311-510</t>
  </si>
  <si>
    <t>GAV 1348</t>
  </si>
  <si>
    <t>Codo de Aspiración p/ NT 38/1</t>
  </si>
  <si>
    <t>C0-000-009</t>
  </si>
  <si>
    <t>Conector de Bujía</t>
  </si>
  <si>
    <t>GAV 1218</t>
  </si>
  <si>
    <t>A5-332-140</t>
  </si>
  <si>
    <t>RESORTE HELICOIDAL PARA HDS-HD</t>
  </si>
  <si>
    <t>GAV 552</t>
  </si>
  <si>
    <t>A5-553-118</t>
  </si>
  <si>
    <t>Embolo p/ HD 1050</t>
  </si>
  <si>
    <t>GAV 162</t>
  </si>
  <si>
    <t>A4-623-512</t>
  </si>
  <si>
    <t>Motor p/ BR 530 TORNADO</t>
  </si>
  <si>
    <t>Disco p/ HDS 1055, HDS 655, HDS 895, -SB-HDW,  S2-, HD 10/25</t>
  </si>
  <si>
    <t>GAV 687</t>
  </si>
  <si>
    <t>A4-905-025</t>
  </si>
  <si>
    <t>Cepillo de Disco Negro p/ B 40</t>
  </si>
  <si>
    <t>A6-647-738-1</t>
  </si>
  <si>
    <t>Cable de Batería p/ BR 55/60</t>
  </si>
  <si>
    <t>A8-754-846</t>
  </si>
  <si>
    <t>Oring 1.78 X 72.75 p/ HD 3.4</t>
  </si>
  <si>
    <t>GAV 803</t>
  </si>
  <si>
    <t>D2-122-141</t>
  </si>
  <si>
    <t>ASTA DE REGULACION PARA ES 650</t>
  </si>
  <si>
    <t>A8-750-299</t>
  </si>
  <si>
    <t>Válvula By Pass p/ HD 3.4</t>
  </si>
  <si>
    <t>A5-363-768</t>
  </si>
  <si>
    <t>Inserto de OBTURACION 65MPA p/ HD 9/50</t>
  </si>
  <si>
    <t>GAV 1027</t>
  </si>
  <si>
    <t>A6-363-536</t>
  </si>
  <si>
    <t>Oring 21 X 1.5</t>
  </si>
  <si>
    <t>GAV 1082</t>
  </si>
  <si>
    <t>A8-933-020</t>
  </si>
  <si>
    <t>Tornillo p/ HD 2.5</t>
  </si>
  <si>
    <t>GAV 367</t>
  </si>
  <si>
    <t>B5-394-388</t>
  </si>
  <si>
    <t>PROTECTOR DE MICRO PARA HD 585 (PEDIR EN ALEMANIA)</t>
  </si>
  <si>
    <t>A4-037-013</t>
  </si>
  <si>
    <t>GRAPA p/ Pistola p/ HDS 557 CIHDS 558 HDS 655 HDS 895</t>
  </si>
  <si>
    <t>A6-964-035</t>
  </si>
  <si>
    <t>Válvula de Aspiración Completa p/ K3300G</t>
  </si>
  <si>
    <t>GAV 160</t>
  </si>
  <si>
    <t>A9-001-320</t>
  </si>
  <si>
    <t>Pistón K 381 Set</t>
  </si>
  <si>
    <t>D2-122-805</t>
  </si>
  <si>
    <t>Protector Trasero de Correa p/ TRP-400-G</t>
  </si>
  <si>
    <t>D2-123-042</t>
  </si>
  <si>
    <t>LAMINA/CUCHIILLA</t>
  </si>
  <si>
    <t>A2-639-187</t>
  </si>
  <si>
    <t>Set de BoquillaS p/ FR 30 - 25025</t>
  </si>
  <si>
    <t>A5-112-813</t>
  </si>
  <si>
    <t>ESPACIADOR p/ NT 35/1</t>
  </si>
  <si>
    <t>A6-644-279</t>
  </si>
  <si>
    <t>PortaFusible p/ B250</t>
  </si>
  <si>
    <t>GAV 877</t>
  </si>
  <si>
    <t>A6-435-895</t>
  </si>
  <si>
    <t>Rodillo de Direccion para NT 30/1</t>
  </si>
  <si>
    <t>Contactor p/ HD 7/12</t>
  </si>
  <si>
    <t>A2-885-156</t>
  </si>
  <si>
    <t>Juego de piezas de repuesto bloque de co (a2-885-156)</t>
  </si>
  <si>
    <t>GAV 933</t>
  </si>
  <si>
    <t>A9-001-727</t>
  </si>
  <si>
    <t>Pistón p/ K 5.540</t>
  </si>
  <si>
    <t>I4636432</t>
  </si>
  <si>
    <t>Kit de Recambio para Roomba 600</t>
  </si>
  <si>
    <t>Turbina de Aspiración p/ B 40</t>
  </si>
  <si>
    <t>A4-472-002</t>
  </si>
  <si>
    <t>Electro  Válvula B 60</t>
  </si>
  <si>
    <t>A6-369-003-0</t>
  </si>
  <si>
    <t>Pad rojo para B60 Cabezal D65</t>
  </si>
  <si>
    <t>Faja p/ BR 35/12</t>
  </si>
  <si>
    <t>A6-610-248</t>
  </si>
  <si>
    <t>Juego de Carbones BR-BD 55/60</t>
  </si>
  <si>
    <t>GAV 169</t>
  </si>
  <si>
    <t>A4-112-007</t>
  </si>
  <si>
    <t>Lanza Corta 600 mm (Easy Lock)</t>
  </si>
  <si>
    <t>A4-553-193</t>
  </si>
  <si>
    <t>Pistón p/ HDS 558,HD 651***</t>
  </si>
  <si>
    <t>A5-030-834</t>
  </si>
  <si>
    <t>TAPA DE CARCASA AMARILLA p/ HDS 1055-1295-655-695-895</t>
  </si>
  <si>
    <t>A2-643-758</t>
  </si>
  <si>
    <t>WR 50 Eliminador de Malesas</t>
  </si>
  <si>
    <t>MANOMETRO p/ HD 7/12</t>
  </si>
  <si>
    <t>A5-115-720</t>
  </si>
  <si>
    <t>Borner p/ HD 801 B-525-830  G 2500</t>
  </si>
  <si>
    <t>Filtro de Aire p/ DS 5.800</t>
  </si>
  <si>
    <t>D1-113-571</t>
  </si>
  <si>
    <t>ARANDELA AW-07</t>
  </si>
  <si>
    <t>GAV 952</t>
  </si>
  <si>
    <t>A2-880-154</t>
  </si>
  <si>
    <t>SET DE ORING PARA SISTEMA EASY LOCK</t>
  </si>
  <si>
    <t>A7-312-028</t>
  </si>
  <si>
    <t>Arandela p/ BD 50/60</t>
  </si>
  <si>
    <t>GAV 311</t>
  </si>
  <si>
    <t>B6-316-131</t>
  </si>
  <si>
    <t>PIN DE PISTON  PARA HDC 24/15-4 * 36/15-4</t>
  </si>
  <si>
    <t>GAV 326</t>
  </si>
  <si>
    <t>CL155700AV</t>
  </si>
  <si>
    <t>Llave de Impacto de 1" Industrial con extencion de 6"</t>
  </si>
  <si>
    <t>HHH8</t>
  </si>
  <si>
    <t>D3-111-303</t>
  </si>
  <si>
    <t>TORNILLO PARA SF-3000</t>
  </si>
  <si>
    <t>A6-362-927</t>
  </si>
  <si>
    <t>ORING 21.89 X 2.62 PARA DE 4002</t>
  </si>
  <si>
    <t>GAV 16</t>
  </si>
  <si>
    <t>A6-651-275</t>
  </si>
  <si>
    <t>LUZ DE SEÑAL PARA HDS 1055HDS 1295 HDS 557CI HDS 558C HDS 655 HDS 695 HDS 895 SB-HDW</t>
  </si>
  <si>
    <t>GAV 1260</t>
  </si>
  <si>
    <t>A6-960-019</t>
  </si>
  <si>
    <t>Kit de Paños p/ SG 4/4, SC´s</t>
  </si>
  <si>
    <t>A6-997-622</t>
  </si>
  <si>
    <t>Polea de INVERSION p/ KM 70/20</t>
  </si>
  <si>
    <t>GAV 1332</t>
  </si>
  <si>
    <t>A8-636-063</t>
  </si>
  <si>
    <t>A6-363-111</t>
  </si>
  <si>
    <t>Oring 7.0 X 1  HD 10/50</t>
  </si>
  <si>
    <t>GAV 1216</t>
  </si>
  <si>
    <t>A8-751-225</t>
  </si>
  <si>
    <t>Pistón p/ HD 3.5/HD 3.8</t>
  </si>
  <si>
    <t>D2-110-476</t>
  </si>
  <si>
    <t>TAPA PARA HT-500</t>
  </si>
  <si>
    <t>GAV 857</t>
  </si>
  <si>
    <t>D3-111-989</t>
  </si>
  <si>
    <t>CARBONES PARA SF-3000</t>
  </si>
  <si>
    <t>GAV 1105</t>
  </si>
  <si>
    <t>A4-730-102</t>
  </si>
  <si>
    <t>Filtro de Agua p/ todas las HDS &amp; HD (Negro)</t>
  </si>
  <si>
    <t>Q5</t>
  </si>
  <si>
    <t>A4-767-195</t>
  </si>
  <si>
    <t>Boquilla Triple 0.32 p/ HD 4/9</t>
  </si>
  <si>
    <t>A6-348-399</t>
  </si>
  <si>
    <t>CORREA DENTADA PARA BD 55/60 W</t>
  </si>
  <si>
    <t>RETENEDOR de Aceite p/ HD 4/9</t>
  </si>
  <si>
    <t>GAV 702</t>
  </si>
  <si>
    <t>A6-388-249</t>
  </si>
  <si>
    <t>Manguera ICC</t>
  </si>
  <si>
    <t>A6-388-515</t>
  </si>
  <si>
    <t>Abrazadera p/ Manguera p/ HDS 895</t>
  </si>
  <si>
    <t>GAV 153</t>
  </si>
  <si>
    <t>A9-803-947</t>
  </si>
  <si>
    <t>GAV 777</t>
  </si>
  <si>
    <t>D1-112-731</t>
  </si>
  <si>
    <t>Arandela lisa para Bio 300</t>
  </si>
  <si>
    <t>GAV 1353</t>
  </si>
  <si>
    <t>A5-606-005</t>
  </si>
  <si>
    <t>ALETA REGULADORA DE AIRE PARA HDS  655HDS 895HDS 1055</t>
  </si>
  <si>
    <t>A6-649-948</t>
  </si>
  <si>
    <t>Cable 2xAWG22 350mm p/ B60W</t>
  </si>
  <si>
    <t>GAV 769</t>
  </si>
  <si>
    <t>Pistón P/ p/ K 200 Y K370  K520 Juego de TRES UNIDAdeS.</t>
  </si>
  <si>
    <t>A9-751-141</t>
  </si>
  <si>
    <t>Set de Empaques de Lanza p/ HD 6/15</t>
  </si>
  <si>
    <t>GAV 1150</t>
  </si>
  <si>
    <t>D1-111-113</t>
  </si>
  <si>
    <t>ARANDELA PARA ES-650</t>
  </si>
  <si>
    <t>GAV 1018</t>
  </si>
  <si>
    <t>I81005</t>
  </si>
  <si>
    <t>Herramienta de Limpieza de Cepillo</t>
  </si>
  <si>
    <t>A4-622-024</t>
  </si>
  <si>
    <t>TRASFORMADOR de ConTROL  p/ HD 6/14 C</t>
  </si>
  <si>
    <t>A5-321-318</t>
  </si>
  <si>
    <t>Perilla HD 1050</t>
  </si>
  <si>
    <t>GAV 478</t>
  </si>
  <si>
    <t>A6-273-353</t>
  </si>
  <si>
    <t>Juego de Labios de Hule p/ BR 40/25</t>
  </si>
  <si>
    <t>A6-414-808</t>
  </si>
  <si>
    <t>Filtro de Aire NT 80/1</t>
  </si>
  <si>
    <t>A8-751-047</t>
  </si>
  <si>
    <t>MUFLA p/ G 2800 XC</t>
  </si>
  <si>
    <t>A4-055-108</t>
  </si>
  <si>
    <t>Recipiente regulador de suciedad para FC 5</t>
  </si>
  <si>
    <t>A4-427-336</t>
  </si>
  <si>
    <t>Pieza de Nudos 558</t>
  </si>
  <si>
    <t>Oring 24.0 X 1.5 p/ HDS 558C HD 5/12C-651 G 4000 ***</t>
  </si>
  <si>
    <t>GAV 25</t>
  </si>
  <si>
    <t>A6-631-190</t>
  </si>
  <si>
    <t>INTERRUPTOR PROTECTOR PARA HD 1090 HD 1094 HDS 895</t>
  </si>
  <si>
    <t>Acople MACHO p/ G 2500</t>
  </si>
  <si>
    <t>A5-115-255</t>
  </si>
  <si>
    <t>Disco p/ HD 855</t>
  </si>
  <si>
    <t>GAV 668</t>
  </si>
  <si>
    <t>A7-401-112</t>
  </si>
  <si>
    <t>ROL 6008</t>
  </si>
  <si>
    <t>Soporte de Pistola</t>
  </si>
  <si>
    <t>B9-302-296</t>
  </si>
  <si>
    <t>RETENEDOR de Aceite HD 7/13</t>
  </si>
  <si>
    <t>B9-302-299</t>
  </si>
  <si>
    <t>RETENEDOR</t>
  </si>
  <si>
    <t>GAV 196</t>
  </si>
  <si>
    <t>D2-121-559</t>
  </si>
  <si>
    <t>ROLO DE ALINEAMIENTO DENTADO</t>
  </si>
  <si>
    <t>A6-396-715</t>
  </si>
  <si>
    <t>Manguera para K3 Full control</t>
  </si>
  <si>
    <t>A6-401-125</t>
  </si>
  <si>
    <t>ARANDELA PARA HDS 655</t>
  </si>
  <si>
    <t>Bomba de Agua p/ BR 30/4</t>
  </si>
  <si>
    <t>A8-622-458</t>
  </si>
  <si>
    <t>RESORTE p/ LIGHTNING 2000</t>
  </si>
  <si>
    <t>A8-754-826</t>
  </si>
  <si>
    <t>RETENEDOR de Aceite p/ HD 3.4</t>
  </si>
  <si>
    <t>B5-057-034</t>
  </si>
  <si>
    <t>Soporte p/ HD 585</t>
  </si>
  <si>
    <t>GAV 1508</t>
  </si>
  <si>
    <t>A5-600-062</t>
  </si>
  <si>
    <t>Abánico de SERPENTIN HDS 558</t>
  </si>
  <si>
    <t>A8-754-862</t>
  </si>
  <si>
    <t>Casquillo de Cerámica p/ HD 3.4 *****</t>
  </si>
  <si>
    <t>A8-755-187</t>
  </si>
  <si>
    <t>Soporte de Boquilla p/ HD 3.5</t>
  </si>
  <si>
    <t>GAV 452</t>
  </si>
  <si>
    <t>A5-332-934</t>
  </si>
  <si>
    <t>Resorte Palpador p/ NT 35/1</t>
  </si>
  <si>
    <t>A6-630-806.3</t>
  </si>
  <si>
    <t>Interruptor p/ NT 30/1</t>
  </si>
  <si>
    <t>A8-751-037</t>
  </si>
  <si>
    <t>Bobina p/ G 2800 XC</t>
  </si>
  <si>
    <t>B9-303-259</t>
  </si>
  <si>
    <t>Set de Reparación de By Pass p/ Equipos Estacionarios</t>
  </si>
  <si>
    <t>B9-384-098</t>
  </si>
  <si>
    <t>Válvula de Depósito de Agua LIMPIA p/ BR 30/4</t>
  </si>
  <si>
    <t>Arrollador de Cable  p/ DS 5.800</t>
  </si>
  <si>
    <t>A5-600-030</t>
  </si>
  <si>
    <t>Abánico  de Motor p/ HD 585</t>
  </si>
  <si>
    <t>A6-648-279</t>
  </si>
  <si>
    <t>ConTRATuerca M20X1.5</t>
  </si>
  <si>
    <t>GAV 1140</t>
  </si>
  <si>
    <t>A9-803-937</t>
  </si>
  <si>
    <t>RETENEDOR de Aceite p/ HD 2.5</t>
  </si>
  <si>
    <t>Rol 6204</t>
  </si>
  <si>
    <t>A2-640-951</t>
  </si>
  <si>
    <t>Boquilla de ranuras para recolector de cenizas</t>
  </si>
  <si>
    <t>A5-033-208</t>
  </si>
  <si>
    <t>SEGURO de Rueda p/ BR 30/4</t>
  </si>
  <si>
    <t>GAV 248</t>
  </si>
  <si>
    <t>A8-614-485</t>
  </si>
  <si>
    <t>Tornillo M4 X 12</t>
  </si>
  <si>
    <t>GAV 308</t>
  </si>
  <si>
    <t>By Pass p/ G2500-G2800</t>
  </si>
  <si>
    <t>GAV 718</t>
  </si>
  <si>
    <t>A4-322-046</t>
  </si>
  <si>
    <t>Pistola Con Manguera p/ SG 4/4</t>
  </si>
  <si>
    <t>A5-007-675</t>
  </si>
  <si>
    <t>Chapa P BR-BD 55/60</t>
  </si>
  <si>
    <t>GAV 556</t>
  </si>
  <si>
    <t>A6-414-050</t>
  </si>
  <si>
    <t>Contenedor gris para boquilla de espuma industrial easy lock</t>
  </si>
  <si>
    <t>A8-600-050</t>
  </si>
  <si>
    <t>Bolsa de Papel p/ Sensor XP 12 (10 unidades)</t>
  </si>
  <si>
    <t>J1</t>
  </si>
  <si>
    <t>D2-110-287</t>
  </si>
  <si>
    <t>PARTE INF. DE CANASTA</t>
  </si>
  <si>
    <t>A2-883-043</t>
  </si>
  <si>
    <t>Boquilla Fija 25033 p/ HD 4/9</t>
  </si>
  <si>
    <t>A2-883-151</t>
  </si>
  <si>
    <t>Set 5 de Oring p/ de 4002</t>
  </si>
  <si>
    <t>GAV 261</t>
  </si>
  <si>
    <t>Piñon de Motor</t>
  </si>
  <si>
    <t>GAV 1101</t>
  </si>
  <si>
    <t>A5-033-264</t>
  </si>
  <si>
    <t>Cojinete de deSLIZAMIENTO p/ BR 30/4</t>
  </si>
  <si>
    <t>GAV 258</t>
  </si>
  <si>
    <t>A8-621-567</t>
  </si>
  <si>
    <t>Fusible 8 A p/ BRC 38 / 30 C</t>
  </si>
  <si>
    <t>7.3 A</t>
  </si>
  <si>
    <t>A7-304-419</t>
  </si>
  <si>
    <t>GAV 431</t>
  </si>
  <si>
    <t>A9-177-312</t>
  </si>
  <si>
    <t>Disco p/ G 4000</t>
  </si>
  <si>
    <t>GAV 204</t>
  </si>
  <si>
    <t>A9-184-013</t>
  </si>
  <si>
    <t>Válvula de ALIVIO G 4000</t>
  </si>
  <si>
    <t>A9-763-012</t>
  </si>
  <si>
    <t>Junta de Turbina p/ BD 50/60</t>
  </si>
  <si>
    <t>D1-113-573</t>
  </si>
  <si>
    <t>TORNILLO 5/15 X 1</t>
  </si>
  <si>
    <t>GAV 893</t>
  </si>
  <si>
    <t>D1-113-694</t>
  </si>
  <si>
    <t>FAJA EN V PARA TRR 280</t>
  </si>
  <si>
    <t>6.363-574.0</t>
  </si>
  <si>
    <t>Anillo de guarnicion 6x1,2 - NBR 80</t>
  </si>
  <si>
    <t>GAV 766</t>
  </si>
  <si>
    <t>A5-633-013</t>
  </si>
  <si>
    <t>Turbina de Aspiración BD 55/60</t>
  </si>
  <si>
    <t>A6-984-041</t>
  </si>
  <si>
    <t>Disco p/ KMR 1700</t>
  </si>
  <si>
    <t>GAV 807</t>
  </si>
  <si>
    <t>A7-312-073</t>
  </si>
  <si>
    <t>Arandela p/ HD 9/50 GE</t>
  </si>
  <si>
    <t>GAV 838</t>
  </si>
  <si>
    <t>A6-389-053</t>
  </si>
  <si>
    <t>A5-037-421</t>
  </si>
  <si>
    <t>Tapa deL FOLTADOR p/ BR 35/12</t>
  </si>
  <si>
    <t>A5-606-009</t>
  </si>
  <si>
    <t>Aleta REGULADOR p/ HD 6/14 C</t>
  </si>
  <si>
    <t>A6-394-735</t>
  </si>
  <si>
    <t>Soporte de boquilla para Isolar</t>
  </si>
  <si>
    <t>I81002</t>
  </si>
  <si>
    <t>Muro Virtual Lighthouse p/ Roomba 880</t>
  </si>
  <si>
    <t>A2-889-052</t>
  </si>
  <si>
    <t>Prolongación p/ SGV 6/5</t>
  </si>
  <si>
    <t>A2-889-056</t>
  </si>
  <si>
    <t>Oring p/ SGV 6/5</t>
  </si>
  <si>
    <t>GAV 880</t>
  </si>
  <si>
    <t>Retenedor de Agua p/  HD 1090-1094-10/25***</t>
  </si>
  <si>
    <t>GAV 1016</t>
  </si>
  <si>
    <t>Bolsa de Papel p/ T10/1 (10 unidades)</t>
  </si>
  <si>
    <t>A9-802-166</t>
  </si>
  <si>
    <t>Acople Rápido Hembra p/ HD de USA</t>
  </si>
  <si>
    <t>A5-035-437</t>
  </si>
  <si>
    <t>REGULADOR de INDUCCION p/ B60</t>
  </si>
  <si>
    <t>GAV 720</t>
  </si>
  <si>
    <t>A6-110-034</t>
  </si>
  <si>
    <t>Manguera Doble Acople 10 Metros (Versión Nueva)</t>
  </si>
  <si>
    <t>I4652240</t>
  </si>
  <si>
    <t>Rueda Derecha para Roomba S9</t>
  </si>
  <si>
    <t>Bomba de Combustible p/ 7/11</t>
  </si>
  <si>
    <t>A4-580-262</t>
  </si>
  <si>
    <t>Válvula  p/ HDS 895-557-558-655,HD 1090,1094</t>
  </si>
  <si>
    <t>GAV 727</t>
  </si>
  <si>
    <t>A5-063-957</t>
  </si>
  <si>
    <t>TAPA DE COMBUSTIBLE PARA HDS 895 - HDS 1055</t>
  </si>
  <si>
    <t>By Pass p/ K 5</t>
  </si>
  <si>
    <t>GAV 481</t>
  </si>
  <si>
    <t>A8-620-111</t>
  </si>
  <si>
    <t>Bomba de Agua p/ BRC 30/15</t>
  </si>
  <si>
    <t>A9-002-017</t>
  </si>
  <si>
    <t>Inyector p/ K4</t>
  </si>
  <si>
    <t>A9-172-351</t>
  </si>
  <si>
    <t>Filtro de Aire G 4.10</t>
  </si>
  <si>
    <t>A2-883-994</t>
  </si>
  <si>
    <t>Set de PiezaS de REPUESTO p/ T 200</t>
  </si>
  <si>
    <t>A5-035-488</t>
  </si>
  <si>
    <t>Adaptador HOMEBase  p/ B60 W</t>
  </si>
  <si>
    <t>A5-332-160</t>
  </si>
  <si>
    <t>A5-553-347</t>
  </si>
  <si>
    <t>Pistón p/ Pistola SERVOPRESS</t>
  </si>
  <si>
    <t>GAV 516</t>
  </si>
  <si>
    <t>A6-343-165</t>
  </si>
  <si>
    <t>Anillo deNTADO p/ HDS</t>
  </si>
  <si>
    <t>GAV 60</t>
  </si>
  <si>
    <t>A8-637-796</t>
  </si>
  <si>
    <t>Acople de Engraneje p/ BDS 43/175</t>
  </si>
  <si>
    <t>GAV 800</t>
  </si>
  <si>
    <t>A6-273-267</t>
  </si>
  <si>
    <t>Empaque p/ BV 5/1</t>
  </si>
  <si>
    <t>GAV 757</t>
  </si>
  <si>
    <t>A6-391-419</t>
  </si>
  <si>
    <t>Manguera Alta Presión 10 MTS Doble Acople K-Part</t>
  </si>
  <si>
    <t>AA5</t>
  </si>
  <si>
    <t>Panel de Mando p/ B250</t>
  </si>
  <si>
    <t>A6-907-151</t>
  </si>
  <si>
    <t>Cepillo p/ BD 38/12</t>
  </si>
  <si>
    <t>Boquilla de Piso p/ T 201, T 15/1</t>
  </si>
  <si>
    <t>A5-051-294</t>
  </si>
  <si>
    <t>Tapa de Depósito p/ BR 35/12</t>
  </si>
  <si>
    <t>A6-431-303</t>
  </si>
  <si>
    <t>A6-365-574</t>
  </si>
  <si>
    <t>RETENEDOR de Agua p/ HDS 801</t>
  </si>
  <si>
    <t>GAV 251</t>
  </si>
  <si>
    <t>Manguera de Alta Presión p/ HDS 10/20 M</t>
  </si>
  <si>
    <t>A9-803-196</t>
  </si>
  <si>
    <t>Guía p/ HD 2.3</t>
  </si>
  <si>
    <t>Codo p/ NT 361 Y NT 48/1, 35/1</t>
  </si>
  <si>
    <t>A5-332-464</t>
  </si>
  <si>
    <t>Resorte de compresion para K1</t>
  </si>
  <si>
    <t>GAV 1199</t>
  </si>
  <si>
    <t>A5-584-060</t>
  </si>
  <si>
    <t>PERNO DE VENTILADOR VARIAS HDS</t>
  </si>
  <si>
    <t>GAV 28</t>
  </si>
  <si>
    <t>A6-362-958</t>
  </si>
  <si>
    <t>ORING 9.0 X 2.0</t>
  </si>
  <si>
    <t>GAV 133</t>
  </si>
  <si>
    <t>A8-637-168</t>
  </si>
  <si>
    <t>Base p/ CHARIORT 3</t>
  </si>
  <si>
    <t>D2-122-342</t>
  </si>
  <si>
    <t>SARANDA N 3.0 PARA TRF-70</t>
  </si>
  <si>
    <t>D2-122-364</t>
  </si>
  <si>
    <t>SARANDA N.0.8MM PARA JK-700</t>
  </si>
  <si>
    <t>A6-362-480</t>
  </si>
  <si>
    <t>ORING 12.42 X 1.78 PARA HDS 801 B</t>
  </si>
  <si>
    <t>GAV 21</t>
  </si>
  <si>
    <t>A7-303-139</t>
  </si>
  <si>
    <t>Tornillo p/ B60, BR 530 Tornado</t>
  </si>
  <si>
    <t>GAV 227</t>
  </si>
  <si>
    <t>A8-614-145</t>
  </si>
  <si>
    <t>Filtro Pequeño Interno p/ SENSOR XP 12</t>
  </si>
  <si>
    <t>A8-754-847</t>
  </si>
  <si>
    <t>Oring 2.62 X 111.62 p/ HD 3.4</t>
  </si>
  <si>
    <t>I4409704</t>
  </si>
  <si>
    <t>Cubo Northstar p/ Braava 380 ***</t>
  </si>
  <si>
    <t>A4-839-394</t>
  </si>
  <si>
    <t>COMPONENTE Eléctrico T 15/1</t>
  </si>
  <si>
    <t>A5-379-039</t>
  </si>
  <si>
    <t>Cobertor de TERMINALES p/ Batería</t>
  </si>
  <si>
    <t>A5-580-052</t>
  </si>
  <si>
    <t>Válvula de Depósito p/ SGV 6/5</t>
  </si>
  <si>
    <t>GAV 881</t>
  </si>
  <si>
    <t>B9-036-243</t>
  </si>
  <si>
    <t>Empaque p/ HD 585</t>
  </si>
  <si>
    <t>GAV 218</t>
  </si>
  <si>
    <t>A4-686-030</t>
  </si>
  <si>
    <t>Electro Válvula p/ HDS 7/11</t>
  </si>
  <si>
    <t>A5-321-485</t>
  </si>
  <si>
    <t>ASIDERO PARA DE 4002</t>
  </si>
  <si>
    <t>5.3 B</t>
  </si>
  <si>
    <t>A5-364-164</t>
  </si>
  <si>
    <t>SELLO de Hule p/ KM 70/20</t>
  </si>
  <si>
    <t>A6-435-860</t>
  </si>
  <si>
    <t>Tapa de Rueda p/ BR 35/12</t>
  </si>
  <si>
    <t>A6-901-025</t>
  </si>
  <si>
    <t>Manguera de silicona  para FC 3</t>
  </si>
  <si>
    <t>GAV 1310</t>
  </si>
  <si>
    <t>A4-905-017</t>
  </si>
  <si>
    <t>Cepillo Circular Negro D55 p/ B 60</t>
  </si>
  <si>
    <t>A5-769-079</t>
  </si>
  <si>
    <t>GAV 614</t>
  </si>
  <si>
    <t>A6-321-244</t>
  </si>
  <si>
    <t>Tornillo ESTRELLA p/ B 140</t>
  </si>
  <si>
    <t>ARROLLADO de Cable DS 5500</t>
  </si>
  <si>
    <t>I4413943</t>
  </si>
  <si>
    <t>Rueda p/ Braava 380</t>
  </si>
  <si>
    <t>A4-037-039</t>
  </si>
  <si>
    <t>Cepillo Cilíndrico Negro p/ BR 35/12</t>
  </si>
  <si>
    <t>Boquilla Turbo 0.35 p/ HD 585</t>
  </si>
  <si>
    <t>E2</t>
  </si>
  <si>
    <t>A5-321-645</t>
  </si>
  <si>
    <t>Asidero p/ HDS 655</t>
  </si>
  <si>
    <t>GAV 1317</t>
  </si>
  <si>
    <t>A6-686-008</t>
  </si>
  <si>
    <t>Electro Válvula p/ de 4002</t>
  </si>
  <si>
    <t>A9-763-022</t>
  </si>
  <si>
    <t>EJE DE POLEA DE BD 50/60</t>
  </si>
  <si>
    <t>MBR-1101</t>
  </si>
  <si>
    <t>Extractor de Alimentos, Magic Bullet, 11pz, 250 watts, Nutribullet</t>
  </si>
  <si>
    <t>A6-630-047</t>
  </si>
  <si>
    <t>PALPadOR p/ SG 4/4</t>
  </si>
  <si>
    <t>GAV 331</t>
  </si>
  <si>
    <t>A8-600-011</t>
  </si>
  <si>
    <t>Cepillo de Lavado (Dureza Media) p/ BDS 43/175</t>
  </si>
  <si>
    <t>A9-755-270</t>
  </si>
  <si>
    <t>Válvula de Detergente p/ K 3.48 - K 5.68</t>
  </si>
  <si>
    <t>A4-030-125</t>
  </si>
  <si>
    <t>Guía de Cabezal p/ G 2500</t>
  </si>
  <si>
    <t>GAV 63</t>
  </si>
  <si>
    <t>A4-839-412</t>
  </si>
  <si>
    <t>Tarjeta Electrónica p/ SG 4/4</t>
  </si>
  <si>
    <t>A5-120-356</t>
  </si>
  <si>
    <t>Disco Oscilante p/ HD 10/25</t>
  </si>
  <si>
    <t>A6-310-004</t>
  </si>
  <si>
    <t>Tuerca P PUZZI 300 - 8/1 - 100</t>
  </si>
  <si>
    <t>GAV 1341</t>
  </si>
  <si>
    <t>A6-421-178</t>
  </si>
  <si>
    <t>MANOMETRO 0-160 BAR PARA HDS 655</t>
  </si>
  <si>
    <t>A4-115-003</t>
  </si>
  <si>
    <t>A5-033-242</t>
  </si>
  <si>
    <t>Cubierta</t>
  </si>
  <si>
    <t>A5-587-195</t>
  </si>
  <si>
    <t>SOPORTE DE BOYA PARA HDS 558 C</t>
  </si>
  <si>
    <t>A6-321-243</t>
  </si>
  <si>
    <t>Tornillo de ESTRELLA p/ BR 530/BAT XL-55/60</t>
  </si>
  <si>
    <t>A8-600-109</t>
  </si>
  <si>
    <t>Faja  p/ Windsor WAVE</t>
  </si>
  <si>
    <t>Filtro Protector de Motor p/ CV 30/1, 38/2, 48/2</t>
  </si>
  <si>
    <t>A6-388-719</t>
  </si>
  <si>
    <t>TUBO FLEXIBLE PARA HDS 1295 HDS 557CI HDS 558C HDS 655 HDS 695 HDS 895 SB-HDW SB-HDW S2</t>
  </si>
  <si>
    <t>A6-644-276</t>
  </si>
  <si>
    <t>Placa p/ B250</t>
  </si>
  <si>
    <t>GAV 890</t>
  </si>
  <si>
    <t>A8-614-462</t>
  </si>
  <si>
    <t>Seguro p/ Manguera de SENSOR XP 12</t>
  </si>
  <si>
    <t>A4-037-035</t>
  </si>
  <si>
    <t>Set de Labios p/ BR 35/12</t>
  </si>
  <si>
    <t>CLAVIJA p/ HD 3.5</t>
  </si>
  <si>
    <t>A5-692-081</t>
  </si>
  <si>
    <t>Cobertor de Abánico p/ HD 5/12</t>
  </si>
  <si>
    <t>A6-633-339</t>
  </si>
  <si>
    <t>RELE de 12V p/ KMR 1700</t>
  </si>
  <si>
    <t>GAV 997</t>
  </si>
  <si>
    <t>BOQUILLA DE RANURAS DE NT 30/1</t>
  </si>
  <si>
    <t>A2-889-168</t>
  </si>
  <si>
    <t>CODO DE ASPIRACION PARA NT 30/1</t>
  </si>
  <si>
    <t>A2-889-192</t>
  </si>
  <si>
    <t>SET DE TUBOS DE ASPIRACION PARA NT 30/1</t>
  </si>
  <si>
    <t>A6-435-844</t>
  </si>
  <si>
    <t>Rueda resistente para B150</t>
  </si>
  <si>
    <t>A8-925-393</t>
  </si>
  <si>
    <t>Manguera para HD 2.0/1000</t>
  </si>
  <si>
    <t>A9-755-278</t>
  </si>
  <si>
    <t>Inyector p/ K2-K3.48</t>
  </si>
  <si>
    <t>A9-776-059</t>
  </si>
  <si>
    <t>Codo de Entrada K 3.68</t>
  </si>
  <si>
    <t>B5-332-258</t>
  </si>
  <si>
    <t>Resorte Helicoidal p/ HD (se pide a Alemania)</t>
  </si>
  <si>
    <t>GAV 542</t>
  </si>
  <si>
    <t>D1-110-167</t>
  </si>
  <si>
    <t>TORNILLO DE AJUSTE</t>
  </si>
  <si>
    <t>GAV 1069</t>
  </si>
  <si>
    <t>A4-116-000</t>
  </si>
  <si>
    <t>Boquilla de Vapor 1.5mm p/ HDS version easy lock</t>
  </si>
  <si>
    <t>GAV 1426</t>
  </si>
  <si>
    <t>Labios Antisalpicaduras p/ BD 50/60</t>
  </si>
  <si>
    <t>D1-111-966</t>
  </si>
  <si>
    <t>ANILLO PARA ES-650</t>
  </si>
  <si>
    <t>I4413944</t>
  </si>
  <si>
    <t>SENSORES DE GOTA Para Braava</t>
  </si>
  <si>
    <t>A2-883-397</t>
  </si>
  <si>
    <t>Boquilla Fija 25040 p/ HDS 1055- 3.5- 801 B -HD 830 -G 4000</t>
  </si>
  <si>
    <t>A5-321-719</t>
  </si>
  <si>
    <t>Perilla p/ HD 10/25</t>
  </si>
  <si>
    <t>B9-376-048</t>
  </si>
  <si>
    <t>Juego de Retenedores de Agua HDC 24/15-4 Y  36/15-4</t>
  </si>
  <si>
    <t>A5-035-343</t>
  </si>
  <si>
    <t>Conducción de LA Llave p/ B 60</t>
  </si>
  <si>
    <t>A8-639-006</t>
  </si>
  <si>
    <t>Conector para PS 4/7</t>
  </si>
  <si>
    <t>GAV 1288</t>
  </si>
  <si>
    <t>A2-889-136</t>
  </si>
  <si>
    <t>MANGUERA DE ASPIRACION PARA NT 30/1</t>
  </si>
  <si>
    <t>AA1</t>
  </si>
  <si>
    <t>Labio Antisalpicaduras p/ B40</t>
  </si>
  <si>
    <t>Labio de Hule p/ Squegge Transparante p/ B 40, B 60</t>
  </si>
  <si>
    <t>A8-600-713</t>
  </si>
  <si>
    <t>Interruptor BRC 38/ 30 C</t>
  </si>
  <si>
    <t>A8-725-358</t>
  </si>
  <si>
    <t>Set de Retenedores p/ HD 3.5/ HD 3.8</t>
  </si>
  <si>
    <t>A9-080-453</t>
  </si>
  <si>
    <t>Oring de 95 X 6 p/ K 5</t>
  </si>
  <si>
    <t>B4-550-287</t>
  </si>
  <si>
    <t>Cabezal de Cilindro p/K 340 Y K JUNIOR</t>
  </si>
  <si>
    <t>B9-385-043</t>
  </si>
  <si>
    <t>TRANSFORMADOR 440/380 V PARA HDC 24/15</t>
  </si>
  <si>
    <t>A4-470-041</t>
  </si>
  <si>
    <t>Adaptador ROSCA/Acople p/ Kit de Pistola</t>
  </si>
  <si>
    <t>A4-472-009</t>
  </si>
  <si>
    <t>Bomba de Agua Completa p/ SGV 6/5</t>
  </si>
  <si>
    <t>A5-332-461</t>
  </si>
  <si>
    <t>Resorte Helicoidal p/ HD 855</t>
  </si>
  <si>
    <t>A6-369-002-0</t>
  </si>
  <si>
    <t>Pad verde para B60 Cabezal D65</t>
  </si>
  <si>
    <t>Rueda Guía p/ A 2101 A2204 NT 181 Y T171</t>
  </si>
  <si>
    <t>D4-112-095</t>
  </si>
  <si>
    <t>Eje de bisagra para TRR 260</t>
  </si>
  <si>
    <t>A6-375-456</t>
  </si>
  <si>
    <t>GAV 939</t>
  </si>
  <si>
    <t>Set de Válvulas p/ G 2500 Y 2800</t>
  </si>
  <si>
    <t>A9-802-041</t>
  </si>
  <si>
    <t>Codo p/ HD 4/0</t>
  </si>
  <si>
    <t>GAV 1096</t>
  </si>
  <si>
    <t>A5-317-095</t>
  </si>
  <si>
    <t>Perno p/ K 5.85</t>
  </si>
  <si>
    <t>GAV 128</t>
  </si>
  <si>
    <t>A9-001-375</t>
  </si>
  <si>
    <t>I4410724</t>
  </si>
  <si>
    <t>Base de Limpieza en Seco p/ Braava</t>
  </si>
  <si>
    <t>A5-033-459</t>
  </si>
  <si>
    <t>Piñon p/ CV48/2</t>
  </si>
  <si>
    <t>GAV 558</t>
  </si>
  <si>
    <t>A5-112-810</t>
  </si>
  <si>
    <t>Arandela p/ BR 530</t>
  </si>
  <si>
    <t>GAV 108</t>
  </si>
  <si>
    <t>A6-644-275</t>
  </si>
  <si>
    <t>GAV 879</t>
  </si>
  <si>
    <t>A9-182-004</t>
  </si>
  <si>
    <t>A5-308-056</t>
  </si>
  <si>
    <t>Perno de ANCLAJE p/ BR 530</t>
  </si>
  <si>
    <t>GAV 651</t>
  </si>
  <si>
    <t>Disco OSCILANTE K 620</t>
  </si>
  <si>
    <t>A9-754-577</t>
  </si>
  <si>
    <t>Motor De Recambio VC 4S</t>
  </si>
  <si>
    <t>A5-332-216</t>
  </si>
  <si>
    <t>RESORTE HELICOIDAL PARA BR 400</t>
  </si>
  <si>
    <t>PANEL de ConTROL p/ B 250</t>
  </si>
  <si>
    <t>A6-295-987</t>
  </si>
  <si>
    <t>RM 511 Descalcificador en Polvo p/ Vaporizadores (Industriales &amp; Domésticos)</t>
  </si>
  <si>
    <t>A6-491-701</t>
  </si>
  <si>
    <t>Filtro de Aire p/ HDS 801 D</t>
  </si>
  <si>
    <t>A7-316-045</t>
  </si>
  <si>
    <t>Perno 10 X 75</t>
  </si>
  <si>
    <t>cabezal k 200</t>
  </si>
  <si>
    <t>A8-628-445</t>
  </si>
  <si>
    <t>Boquilla de Piso p/ VAC 6</t>
  </si>
  <si>
    <t>A4-035-143</t>
  </si>
  <si>
    <t>Turbina de Aspiración p/ BR 40/10</t>
  </si>
  <si>
    <t>D2-111-109</t>
  </si>
  <si>
    <t>CUCHILLA SUPERIOR (TR 200)</t>
  </si>
  <si>
    <t>A4-613-009</t>
  </si>
  <si>
    <t>Transmision para CV 38/2</t>
  </si>
  <si>
    <t>A4-580-265</t>
  </si>
  <si>
    <t>VALVULA PARA K 620</t>
  </si>
  <si>
    <t>GAV 691</t>
  </si>
  <si>
    <t>A5-411-177</t>
  </si>
  <si>
    <t>Tornillo de BloqueO p/ HDC 24/15</t>
  </si>
  <si>
    <t>GAV 562</t>
  </si>
  <si>
    <t>JUEGO DE LISTELES CEPILLO PARA=NT 65/2- T 201 &amp; NT 700</t>
  </si>
  <si>
    <t>A7-311-511</t>
  </si>
  <si>
    <t>GAV 117</t>
  </si>
  <si>
    <t>A8-627-423</t>
  </si>
  <si>
    <t>Tornillo M8 X 30 p/ BRC 38/30</t>
  </si>
  <si>
    <t>GAV 504</t>
  </si>
  <si>
    <t>A2-883-338</t>
  </si>
  <si>
    <t>Interruptor de LAMINAS p/ HDS 655</t>
  </si>
  <si>
    <t>A4-623-471</t>
  </si>
  <si>
    <t>MOTOR PARA K 50</t>
  </si>
  <si>
    <t>B6-367-095</t>
  </si>
  <si>
    <t>Retenedor 26 X 35 X 5</t>
  </si>
  <si>
    <t>B9-369-161</t>
  </si>
  <si>
    <t>TAPON PARA HDC 24/15</t>
  </si>
  <si>
    <t>GAV 172</t>
  </si>
  <si>
    <t>D2-114-008</t>
  </si>
  <si>
    <t>MARTILLOS PARA TRF 300G</t>
  </si>
  <si>
    <t>Pistón p/ HD 4/9</t>
  </si>
  <si>
    <t>D2-120-129</t>
  </si>
  <si>
    <t>CARCASA DERECHA P/ HT 500</t>
  </si>
  <si>
    <t>I4624868</t>
  </si>
  <si>
    <t>Bin para Roomba series E &amp; I</t>
  </si>
  <si>
    <t>Boquilla de Tapicería p/ Puzzi 8/1</t>
  </si>
  <si>
    <t>A6-435-039</t>
  </si>
  <si>
    <t>RUEDA GUIA PUZZI 100</t>
  </si>
  <si>
    <t>A8-783-039</t>
  </si>
  <si>
    <t>Lanza p/ HD 2.3 2.5</t>
  </si>
  <si>
    <t>A4-839-370</t>
  </si>
  <si>
    <t>Pieza Electrónica p/ NT 48/1</t>
  </si>
  <si>
    <t>A6-414-689</t>
  </si>
  <si>
    <t>Filtro p/ BR 47/35</t>
  </si>
  <si>
    <t>GAV 1239</t>
  </si>
  <si>
    <t>A6-769-040</t>
  </si>
  <si>
    <t>Disulfito de Sodio 5KG</t>
  </si>
  <si>
    <t>A7-306-218</t>
  </si>
  <si>
    <t>GAV 225</t>
  </si>
  <si>
    <t>A8-616-320</t>
  </si>
  <si>
    <t>A8-752-120</t>
  </si>
  <si>
    <t>Tanque p/ K 3000</t>
  </si>
  <si>
    <t>A6-330-409</t>
  </si>
  <si>
    <t>Resorte de traccion para B140</t>
  </si>
  <si>
    <t>GAV 1196</t>
  </si>
  <si>
    <t>Anillo de Guarnición 18.77 X 1.78 p/ HD 6/15</t>
  </si>
  <si>
    <t>GAV 699</t>
  </si>
  <si>
    <t>Oring p/ HD 6/15</t>
  </si>
  <si>
    <t>GAV 694</t>
  </si>
  <si>
    <t>B6-362-423</t>
  </si>
  <si>
    <t>ORING 15.0 X 1.0</t>
  </si>
  <si>
    <t>GAV 43</t>
  </si>
  <si>
    <t>A2-863-145</t>
  </si>
  <si>
    <t>Boquilla tipo Pato DN 35</t>
  </si>
  <si>
    <t>A6-670-212</t>
  </si>
  <si>
    <t>Rueda p/  BD 30/4</t>
  </si>
  <si>
    <t>A9-803-215</t>
  </si>
  <si>
    <t>GAV 427</t>
  </si>
  <si>
    <t>B9-369-354</t>
  </si>
  <si>
    <t>A5-032-554</t>
  </si>
  <si>
    <t>Conducción p/ HD 5/12</t>
  </si>
  <si>
    <t>A8-752-122</t>
  </si>
  <si>
    <t>Rueda p/ K 3000</t>
  </si>
  <si>
    <t>A4-481-039</t>
  </si>
  <si>
    <t>Mini Lanza Artículada  (version vieja)</t>
  </si>
  <si>
    <t>A8-600-311-1</t>
  </si>
  <si>
    <t>Tapa de Tanque p/ BRC 38/30</t>
  </si>
  <si>
    <t>A4-580-675</t>
  </si>
  <si>
    <t>By Pass p/ K 520M</t>
  </si>
  <si>
    <t>A5-584-034</t>
  </si>
  <si>
    <t>ACOPLE PARA PUZZI 100-300</t>
  </si>
  <si>
    <t>GAV 420</t>
  </si>
  <si>
    <t>A8-622-346</t>
  </si>
  <si>
    <t>Rectificador de Corriente (Puente p/ LIGHTINNG 2000)</t>
  </si>
  <si>
    <t>GAV 610</t>
  </si>
  <si>
    <t>A4-063-873</t>
  </si>
  <si>
    <t>Válvula Detergente p/ HD 6/14 C</t>
  </si>
  <si>
    <t>A8-602-801</t>
  </si>
  <si>
    <t>Juego de Almacén  p/ CLIPPER 12</t>
  </si>
  <si>
    <t>A8-628-370</t>
  </si>
  <si>
    <t>Cepillo de Lavado Dureza Media p/BDS 51/175 C BOLT 20</t>
  </si>
  <si>
    <t>A8-707-139</t>
  </si>
  <si>
    <t>Adaptador macho de 1/4</t>
  </si>
  <si>
    <t>GAV 1301</t>
  </si>
  <si>
    <t>Caja Eléctrica p/ K2.68</t>
  </si>
  <si>
    <t>I4646124</t>
  </si>
  <si>
    <t>Set de Mantenimiento p/S9</t>
  </si>
  <si>
    <t>A4-590-095</t>
  </si>
  <si>
    <t>Válvula de ALIVIO p/ HD 9/50</t>
  </si>
  <si>
    <t>GAV 1026</t>
  </si>
  <si>
    <t>A8-751-237</t>
  </si>
  <si>
    <t>Casquillo de CERAMICA p/ HD 3.5/30 ST EG</t>
  </si>
  <si>
    <t>D2-110-912</t>
  </si>
  <si>
    <t>ABANICO</t>
  </si>
  <si>
    <t>A5-032-362</t>
  </si>
  <si>
    <t>Acople p/ NT 48/1</t>
  </si>
  <si>
    <t>D1-112-760</t>
  </si>
  <si>
    <t>GAV 1017</t>
  </si>
  <si>
    <t>A6-648-344</t>
  </si>
  <si>
    <t>Acople p/ CableS de B250</t>
  </si>
  <si>
    <t>GAV 886</t>
  </si>
  <si>
    <t>A5-042-463</t>
  </si>
  <si>
    <t>Soporte</t>
  </si>
  <si>
    <t>A6-362-614</t>
  </si>
  <si>
    <t>Oring 21.0 X 4.0</t>
  </si>
  <si>
    <t>GAV 26</t>
  </si>
  <si>
    <t>A6-391-848</t>
  </si>
  <si>
    <t>Manguera de 10mts para HD 9/50</t>
  </si>
  <si>
    <t>A6-622-167</t>
  </si>
  <si>
    <t>Transformador Alta  558</t>
  </si>
  <si>
    <t>A7-362-003</t>
  </si>
  <si>
    <t>Anillo de OBTURACION p/ HDS 1000C HD 801B HDS 1055 HDS 1295 HDS 655 HDS 695 HDS 895 SB-HDW SB-HDW</t>
  </si>
  <si>
    <t>GAV 585</t>
  </si>
  <si>
    <t>A8-750-247</t>
  </si>
  <si>
    <t>Pistola p/ HD 2.3- 2.5 HD 3.8 HD 3.5/40</t>
  </si>
  <si>
    <t>A4-035-076</t>
  </si>
  <si>
    <t>Llave Blanca Kit p/ Fregadoras</t>
  </si>
  <si>
    <t>A6-630-005</t>
  </si>
  <si>
    <t>Interruptor (BR 530)</t>
  </si>
  <si>
    <t>Manguera de Aspiración p/ DS 5.800</t>
  </si>
  <si>
    <t>A8-717-672</t>
  </si>
  <si>
    <t>Set de Oring p/ By Pass de HD 3.5</t>
  </si>
  <si>
    <t>Anillo CortaNTE p/ HD - HDS</t>
  </si>
  <si>
    <t>GAV 57</t>
  </si>
  <si>
    <t>A4-839-136</t>
  </si>
  <si>
    <t>PiezaS EléctricaS BR 400</t>
  </si>
  <si>
    <t>A6-491-017</t>
  </si>
  <si>
    <t>Inyector de COMBUSTIBLE p/ K M 105</t>
  </si>
  <si>
    <t>GAV 472</t>
  </si>
  <si>
    <t>A7-306-094</t>
  </si>
  <si>
    <t>Tornillo p/ K 5.85 M</t>
  </si>
  <si>
    <t>GAV 1212</t>
  </si>
  <si>
    <t>Presion de cepillo completo para B40</t>
  </si>
  <si>
    <t>D1-110-060</t>
  </si>
  <si>
    <t>Arandela de Presión p/ TRP-400G</t>
  </si>
  <si>
    <t>GAV 1129</t>
  </si>
  <si>
    <t>D2-112-750</t>
  </si>
  <si>
    <t>CUCHILLA INFERIO PARA TRC 40 Y TRC 50</t>
  </si>
  <si>
    <t>A4-195-223</t>
  </si>
  <si>
    <t>Tanque de SUCIEDAD p/ DS 5.800</t>
  </si>
  <si>
    <t>III1</t>
  </si>
  <si>
    <t>D4-111-292</t>
  </si>
  <si>
    <t>CUCHILLA P/WM 350</t>
  </si>
  <si>
    <t>I4650989</t>
  </si>
  <si>
    <t>Modulo de cepillo lateral para Roomba S9</t>
  </si>
  <si>
    <t>PA117000AV</t>
  </si>
  <si>
    <t>Llave de Esfera &amp; Conectores de 60 galones</t>
  </si>
  <si>
    <t>GGG3</t>
  </si>
  <si>
    <t>Cable de Aceleracion para MC-850-G</t>
  </si>
  <si>
    <t>A2-111-018</t>
  </si>
  <si>
    <t>Set de BoquillaS INNOFOAM 600-700L EASY LOCK</t>
  </si>
  <si>
    <t>Embrague Completo p/ BR 30/4</t>
  </si>
  <si>
    <t>A4-580-349</t>
  </si>
  <si>
    <t>Válvula p/ HDS 895,HDS 558C,HDS 655</t>
  </si>
  <si>
    <t>Manguera p/ CV 30/1 ( 2° Tipo)</t>
  </si>
  <si>
    <t>A8-621-801</t>
  </si>
  <si>
    <t>Fusible p/ VAC PAC 6</t>
  </si>
  <si>
    <t>GAV 1171</t>
  </si>
  <si>
    <t>A2-638-093</t>
  </si>
  <si>
    <t>Filtro Especial HEPA Tipo H 14 p/ T201</t>
  </si>
  <si>
    <t>A8-628-477</t>
  </si>
  <si>
    <t>Filtro de Motor p/ AXCESS</t>
  </si>
  <si>
    <t>A9-042-129</t>
  </si>
  <si>
    <t>Guía de Pistones p/ K 4</t>
  </si>
  <si>
    <t>A2-638-792</t>
  </si>
  <si>
    <t>Sand Blasting p/ Equipo Doméstico</t>
  </si>
  <si>
    <t>Bolsa de Papel p/ WD3, A2204, WD 3.200 (5 unidades)</t>
  </si>
  <si>
    <t>Tubo de Aspiración p/ WD1 + A 2101 +2204 +2004</t>
  </si>
  <si>
    <t>TT5</t>
  </si>
  <si>
    <t>A6-962-239</t>
  </si>
  <si>
    <t>Vehículo de transportte p/ Vaporizador DE 4002</t>
  </si>
  <si>
    <t>A8-929-512</t>
  </si>
  <si>
    <t>Boquilla de nebulizacion para HD 2.0/1000</t>
  </si>
  <si>
    <t>A5-322-103</t>
  </si>
  <si>
    <t>EMPUÑADIRA GIRATORIA p/ HDS-E 3.3</t>
  </si>
  <si>
    <t>A6-362-613</t>
  </si>
  <si>
    <t>Oring p/ HDS E 3.3</t>
  </si>
  <si>
    <t>GAV 381</t>
  </si>
  <si>
    <t>A6-362-634</t>
  </si>
  <si>
    <t>Oring de 15.6 X1.78 NBR</t>
  </si>
  <si>
    <t>GAV 459</t>
  </si>
  <si>
    <t>A6-622-207</t>
  </si>
  <si>
    <t>TRANSFORMADOR 4002</t>
  </si>
  <si>
    <t>A6-641-464</t>
  </si>
  <si>
    <t>GAZAS PLASTICAS p/ HDS 558 ECO</t>
  </si>
  <si>
    <t>A6-903-801</t>
  </si>
  <si>
    <t>Labio de Hule p/ KM-70/20, KM 70/30</t>
  </si>
  <si>
    <t>Disco p/ BD/BR 55/60 HD 1050 ICC 1</t>
  </si>
  <si>
    <t>A8-717-337</t>
  </si>
  <si>
    <t>Boquilla 4.00 X 90</t>
  </si>
  <si>
    <t>GAV 1117</t>
  </si>
  <si>
    <t>Culata de Cabezal p/ HD 4/9</t>
  </si>
  <si>
    <t>A6-685-845</t>
  </si>
  <si>
    <t>Válvula MAGNETICA p/ HDS 1055--558C-695-895</t>
  </si>
  <si>
    <t>A7-367-002</t>
  </si>
  <si>
    <t>RETENEDOR 17 X 35 X 7 p/ K 520</t>
  </si>
  <si>
    <t>GAV 239</t>
  </si>
  <si>
    <t>Manguera de Aspiración p/ BD 50/50 &amp;60 - BD 43/35</t>
  </si>
  <si>
    <t>C0-000-239</t>
  </si>
  <si>
    <t>Oring para lanza de equipos de gasolina.</t>
  </si>
  <si>
    <t>GAV 1318</t>
  </si>
  <si>
    <t>Polea para compresor</t>
  </si>
  <si>
    <t>FFF2</t>
  </si>
  <si>
    <t>A5-035-342</t>
  </si>
  <si>
    <t>EMPALME de Manguera Agua LIMPIA B60 NEW</t>
  </si>
  <si>
    <t>A5-310-062</t>
  </si>
  <si>
    <t>Tuerca p/ HDS 7-11</t>
  </si>
  <si>
    <t>GAV 1328</t>
  </si>
  <si>
    <t>A6-389-882</t>
  </si>
  <si>
    <t>Abrazadera de 4002</t>
  </si>
  <si>
    <t>GAV 596</t>
  </si>
  <si>
    <t>Roll Cónico p/ HD 1000C HD 1050B HD 1090 HD 1094 HDS 1055 HDS 1295 HDS 622 HDS 695 HDS 895 SB-HDW</t>
  </si>
  <si>
    <t>D2-112-470</t>
  </si>
  <si>
    <t>POLEA PARA ES 650</t>
  </si>
  <si>
    <t>Rueda p/ DS 5.800</t>
  </si>
  <si>
    <t>A4-481-209</t>
  </si>
  <si>
    <t>Palanca de Pistola HD &amp; HDS (Versión Vieja)</t>
  </si>
  <si>
    <t>A6-273-210</t>
  </si>
  <si>
    <t>Juego de BORdeS de GOMA p/ B250 SQUEEGGE de 1400</t>
  </si>
  <si>
    <t>A6-362-686</t>
  </si>
  <si>
    <t>Anillo de Guarnición p/ HD 10/25</t>
  </si>
  <si>
    <t>GAV 1281</t>
  </si>
  <si>
    <t>Rodillo de direccion p/ NT 30/1</t>
  </si>
  <si>
    <t>A9-755-282</t>
  </si>
  <si>
    <t>Culata p/ K2 - k3000 - K 3.48</t>
  </si>
  <si>
    <t>D4-111-127</t>
  </si>
  <si>
    <t>Cuchilla p/ TRF 70,TRF 80,TRF 90, TRF 300, JK 700 TRP 40</t>
  </si>
  <si>
    <t>A4-035-054</t>
  </si>
  <si>
    <t>Turbina de Aspiración 24V BR 40/25</t>
  </si>
  <si>
    <t>D1-110-177</t>
  </si>
  <si>
    <t>GAV 832</t>
  </si>
  <si>
    <t>A5-317-099</t>
  </si>
  <si>
    <t>Perno Electro ConductoR p/ NT 72/2</t>
  </si>
  <si>
    <t>GAV 1203</t>
  </si>
  <si>
    <t>A6-472-128</t>
  </si>
  <si>
    <t>GAV 27</t>
  </si>
  <si>
    <t>A6-630-413</t>
  </si>
  <si>
    <t>Interruptor p/ EB 30/1</t>
  </si>
  <si>
    <t>GAV 275</t>
  </si>
  <si>
    <t>A6-421-124</t>
  </si>
  <si>
    <t>MANOMETRO 0-250 BAR HD 2000</t>
  </si>
  <si>
    <t>A8-614-505</t>
  </si>
  <si>
    <t>Embrague p/ SENSOR XP 12</t>
  </si>
  <si>
    <t>D2-122-162</t>
  </si>
  <si>
    <t>CONJUNTO DE RODILLO DENTADO PARA ES 650</t>
  </si>
  <si>
    <t>A4-767-117</t>
  </si>
  <si>
    <t>Boquilla Turbo 040  p/ HD 5/12</t>
  </si>
  <si>
    <t>C0-000-240</t>
  </si>
  <si>
    <t>Oring para acople de pistola de equipos de gasolina.</t>
  </si>
  <si>
    <t>GAV 1319</t>
  </si>
  <si>
    <t>A2-889-154</t>
  </si>
  <si>
    <t>Bolsa de Filtro p/ NT 30/1 (5 unidades)</t>
  </si>
  <si>
    <t>A5-332-167</t>
  </si>
  <si>
    <t>Boquilla de Tapicería p/ DS 5500- 5600</t>
  </si>
  <si>
    <t>MicroInterruptor p/ HDS E 3.3</t>
  </si>
  <si>
    <t>Retenedor de Agua p/K2 -k 340 -k 2.68</t>
  </si>
  <si>
    <t>GAV 688</t>
  </si>
  <si>
    <t>A7-401-029</t>
  </si>
  <si>
    <t>ROL 30206 p/ B250</t>
  </si>
  <si>
    <t>A2-111-010</t>
  </si>
  <si>
    <t>Limpiador de Superficies FRV 30 (Easy Lock)</t>
  </si>
  <si>
    <t>SS4</t>
  </si>
  <si>
    <t>A2-111-012</t>
  </si>
  <si>
    <t>Limpiador de superficies FRV 30 ME</t>
  </si>
  <si>
    <t>A5-060-685</t>
  </si>
  <si>
    <t>CONDUCCION DE AIRE PARA HD 855 S</t>
  </si>
  <si>
    <t>A6-362-427</t>
  </si>
  <si>
    <t>ORING 15.0 X 2.0 PARA HD 1050 K620 Y HDS 557 - 7/11 K1 K3 FC</t>
  </si>
  <si>
    <t>A6-491-675</t>
  </si>
  <si>
    <t>Filtro de Combustible p/ KMR 1700</t>
  </si>
  <si>
    <t>D1-113-779</t>
  </si>
  <si>
    <t>TORNILLO PARA TRC40</t>
  </si>
  <si>
    <t>GAV 1068</t>
  </si>
  <si>
    <t>A6-365-438</t>
  </si>
  <si>
    <t>RETENEDOR INTERMEDIO  HD 651 HDS 558C</t>
  </si>
  <si>
    <t>GAV 657</t>
  </si>
  <si>
    <t>A4-112-021</t>
  </si>
  <si>
    <t>Lanza Dosificadora 2050 mm Easy Lock p/ HD -HDS</t>
  </si>
  <si>
    <t>A4-427-183</t>
  </si>
  <si>
    <t>Pieza de Nudos p/ HD 651, HD 525</t>
  </si>
  <si>
    <t>Cepillo de Disco Rojo p/ BD50/60,B250,B40</t>
  </si>
  <si>
    <t>A6-303-315</t>
  </si>
  <si>
    <t>Tornillo 8 X 35</t>
  </si>
  <si>
    <t>GAV 1254</t>
  </si>
  <si>
    <t>A6-401-396.3</t>
  </si>
  <si>
    <t>Rol conico para HD 7/13</t>
  </si>
  <si>
    <t>A7-303-186</t>
  </si>
  <si>
    <t>GAV 615</t>
  </si>
  <si>
    <t>A4-324-008</t>
  </si>
  <si>
    <t>PALPadOR</t>
  </si>
  <si>
    <t>A5-035-219</t>
  </si>
  <si>
    <t>Carcasa Parte Inferior B40</t>
  </si>
  <si>
    <t>TORNILLO DE VALVULA VARIAS HD-HDS</t>
  </si>
  <si>
    <t>GAV 529</t>
  </si>
  <si>
    <t>D1-110-173</t>
  </si>
  <si>
    <t>GAV 1022</t>
  </si>
  <si>
    <t>A2-640-850</t>
  </si>
  <si>
    <t>Extensión de Manguera de Presión p/ Equipos K</t>
  </si>
  <si>
    <t>A8-600-166</t>
  </si>
  <si>
    <t>Seguro p/ Rueda BRC 38/30</t>
  </si>
  <si>
    <t>GAV 561</t>
  </si>
  <si>
    <t>D2-122-609</t>
  </si>
  <si>
    <t>TOLBA PARA TRP 400</t>
  </si>
  <si>
    <t>D1-111-263</t>
  </si>
  <si>
    <t>PINO ELASTICO PARA ES 400</t>
  </si>
  <si>
    <t>GAV 1102</t>
  </si>
  <si>
    <t>A4-550-997</t>
  </si>
  <si>
    <t>Cabezal de Cilindro p/ HD 6/14 C</t>
  </si>
  <si>
    <t>Serpentín de Acero Inoxidable (HDS 895/655/3.5)</t>
  </si>
  <si>
    <t>A5-112-819</t>
  </si>
  <si>
    <t>DiscoS  p/ HD 9/50 GE</t>
  </si>
  <si>
    <t>GAV 849</t>
  </si>
  <si>
    <t>A5-515-029</t>
  </si>
  <si>
    <t>Rueda p/ T 201</t>
  </si>
  <si>
    <t>A4-195-241</t>
  </si>
  <si>
    <t>Palpador de ON/OFF  p/ DS 5.800</t>
  </si>
  <si>
    <t>A4-195-244</t>
  </si>
  <si>
    <t>Rejilla p/ DS 5.800</t>
  </si>
  <si>
    <t>A6-610-333</t>
  </si>
  <si>
    <t>Set de Carbones p/ B 40</t>
  </si>
  <si>
    <t>Contactor p/ HDS 801 E HD 10/25 HDS 895HDS 1055, HDS 655</t>
  </si>
  <si>
    <t>A7-318-005</t>
  </si>
  <si>
    <t>CUÑA CUÑA HDS 558</t>
  </si>
  <si>
    <t>GAV 116</t>
  </si>
  <si>
    <t>A2-885-163</t>
  </si>
  <si>
    <t>Pin Accionante P/ HD 9/50</t>
  </si>
  <si>
    <t>GAV 1333</t>
  </si>
  <si>
    <t>Cepillo Cilíndrico Rojo p/ BR 35/12</t>
  </si>
  <si>
    <t>A8-639-014</t>
  </si>
  <si>
    <t>Empaque para pistola de PS 4/7</t>
  </si>
  <si>
    <t>GAV 1290</t>
  </si>
  <si>
    <t>A8-639-015</t>
  </si>
  <si>
    <t>Boquilla para PS 4/7</t>
  </si>
  <si>
    <t>GAV 1274</t>
  </si>
  <si>
    <t>A5-103-038</t>
  </si>
  <si>
    <t>Arbol p/ BR 530</t>
  </si>
  <si>
    <t>A6-110-031</t>
  </si>
  <si>
    <t>Manguera de 10 Metros (Easy Lock  315 Bar)</t>
  </si>
  <si>
    <t>CC3</t>
  </si>
  <si>
    <t>A6-369-078</t>
  </si>
  <si>
    <t>Pad Verde (Duro) de 20"</t>
  </si>
  <si>
    <t>JJ1</t>
  </si>
  <si>
    <t>A8-640-808</t>
  </si>
  <si>
    <t>Anillos de Retención (10 unidades)</t>
  </si>
  <si>
    <t>B6-959-090</t>
  </si>
  <si>
    <t>ORING 5.28 X 1.78</t>
  </si>
  <si>
    <t>GAV 155</t>
  </si>
  <si>
    <t>D2-112-169</t>
  </si>
  <si>
    <t>D2-112-260</t>
  </si>
  <si>
    <t>CUCHILLA PARA TR 500/500T/500G/500E/BIO 300</t>
  </si>
  <si>
    <t>A4-730-127</t>
  </si>
  <si>
    <t>Filtro Interno p/ HDS</t>
  </si>
  <si>
    <t>A8-622-509</t>
  </si>
  <si>
    <t>Interruptor p/ CARACOL WIND HANDLE-AB 84</t>
  </si>
  <si>
    <t>A9-755-221</t>
  </si>
  <si>
    <t>CLAVIJA p/ K 5.68</t>
  </si>
  <si>
    <t>A6-464-897</t>
  </si>
  <si>
    <t>Bolsa de Filtro p/ WTC 5000 UF</t>
  </si>
  <si>
    <t>A6-610-285</t>
  </si>
  <si>
    <t>Carbones PUZZI 8/1</t>
  </si>
  <si>
    <t>Asiento de Válvula p/ HD 6/15</t>
  </si>
  <si>
    <t>GAV 88</t>
  </si>
  <si>
    <t>Anillo de OBTURACION W 42X55X8 p/ HD 6/15</t>
  </si>
  <si>
    <t>D3-111-567</t>
  </si>
  <si>
    <t>MOTOR SF-3000</t>
  </si>
  <si>
    <t>SEGURO p/ Manguera p/ BV 5/1</t>
  </si>
  <si>
    <t>GAV 395</t>
  </si>
  <si>
    <t>A6-362-478</t>
  </si>
  <si>
    <t>ORING 12.42 X 1.78</t>
  </si>
  <si>
    <t>GAV 582</t>
  </si>
  <si>
    <t>ROL Conico HD 7/12</t>
  </si>
  <si>
    <t>A8-614-146</t>
  </si>
  <si>
    <t>SEGURO de Cobertor de Filtro p/ AXCESS 12</t>
  </si>
  <si>
    <t>RETENEDOR 15 X 24 X 5</t>
  </si>
  <si>
    <t>GAV 910</t>
  </si>
  <si>
    <t>A5-033-377</t>
  </si>
  <si>
    <t>Soporte de ACCESORIOS p/ T 15/1</t>
  </si>
  <si>
    <t>A4-075-010</t>
  </si>
  <si>
    <t>TAPA DE CIERRE PARA DE 4002</t>
  </si>
  <si>
    <t>A6-903-850</t>
  </si>
  <si>
    <t>TUBO DE ASPIRACION T171 T 201</t>
  </si>
  <si>
    <t>A4-767-119</t>
  </si>
  <si>
    <t>Boquilla Turbo 0.60 K-PART</t>
  </si>
  <si>
    <t>Manguera de Aspiración p/ FC 5</t>
  </si>
  <si>
    <t>D2-110-295</t>
  </si>
  <si>
    <t>A4-550-936</t>
  </si>
  <si>
    <t>Culata de Cabezal p/ HD 9/50</t>
  </si>
  <si>
    <t>A5-511-011</t>
  </si>
  <si>
    <t>Borner  p/ HD 9/50 GE</t>
  </si>
  <si>
    <t>Fusible p/ BR 75/140</t>
  </si>
  <si>
    <t>RETENEDOR 24 X 37 X 7 p/ HD 5/12 C</t>
  </si>
  <si>
    <t>A8-640-606</t>
  </si>
  <si>
    <t>Carcasa Superior p/ SENSOR XP 12</t>
  </si>
  <si>
    <t>MBM-VE051CM</t>
  </si>
  <si>
    <t>Vaso Grande p/ Magic Bullet (Recambio)</t>
  </si>
  <si>
    <t>A5-059-401</t>
  </si>
  <si>
    <t>SEGURO p/ TOMA de Agua p/ K 5.85</t>
  </si>
  <si>
    <t>GAV 898</t>
  </si>
  <si>
    <t>D4-111-228</t>
  </si>
  <si>
    <t>CUCHILLA PARA TRF 700</t>
  </si>
  <si>
    <t>D4-111-229</t>
  </si>
  <si>
    <t>CUCHILLA PARA TRP 400</t>
  </si>
  <si>
    <t>Soporte de CepilloCV 30/1 - 38/2 - 48/2</t>
  </si>
  <si>
    <t>I4639168</t>
  </si>
  <si>
    <t>kit de Mantenimiento p/ Roomba series E &amp; I</t>
  </si>
  <si>
    <t>AAA2</t>
  </si>
  <si>
    <t>A2-885-323</t>
  </si>
  <si>
    <t>Válvula de Detergente p/ K 2.93</t>
  </si>
  <si>
    <t>GAV 937</t>
  </si>
  <si>
    <t>A5-443-246</t>
  </si>
  <si>
    <t>Boquilla de Manguera p/ PUZZI</t>
  </si>
  <si>
    <t>A6-388-216</t>
  </si>
  <si>
    <t>Manguera BR 400 HD 830-855 K370</t>
  </si>
  <si>
    <t>A6-631-955</t>
  </si>
  <si>
    <t>MicroInterruptor p/ BR 90/140</t>
  </si>
  <si>
    <t>GAV 1219</t>
  </si>
  <si>
    <t>A6-906-509</t>
  </si>
  <si>
    <t>Cepillo Central p/ KM 85/50</t>
  </si>
  <si>
    <t>A9-755-217</t>
  </si>
  <si>
    <t>Codo de Entrada  p/ K 3.48</t>
  </si>
  <si>
    <t>A5-411-152</t>
  </si>
  <si>
    <t>Tornillo de Bloque HD 10/25</t>
  </si>
  <si>
    <t>A5-762-172</t>
  </si>
  <si>
    <t>CEPILLO CILINDRICO BLANCO/SUAVE BR 530 TORNADO</t>
  </si>
  <si>
    <t>T1</t>
  </si>
  <si>
    <t>NBM-VE011CM</t>
  </si>
  <si>
    <t>Vaso Grande p/ Nutribullet NB 600 (Recambio)</t>
  </si>
  <si>
    <t>GRAPA p/ ENRROLADOR p/ EquipoS K</t>
  </si>
  <si>
    <t>GAV 1123</t>
  </si>
  <si>
    <t>A5-600-029</t>
  </si>
  <si>
    <t>Abanico para HD 7/13</t>
  </si>
  <si>
    <t>A8-717-544</t>
  </si>
  <si>
    <t>PRISIONERO p/ HD 3.8/ HD 3.5</t>
  </si>
  <si>
    <t>GAV 372</t>
  </si>
  <si>
    <t>A9-764-838</t>
  </si>
  <si>
    <t>Boquilla de tapiceria para VC 4I</t>
  </si>
  <si>
    <t>D1-112-313</t>
  </si>
  <si>
    <t>ROL 6206-C3</t>
  </si>
  <si>
    <t>GAV 1303</t>
  </si>
  <si>
    <t>A5-581-091</t>
  </si>
  <si>
    <t>Asiento de Válvula</t>
  </si>
  <si>
    <t>GAV 274</t>
  </si>
  <si>
    <t>BOQUILLA DE RANURAS T 201, BV 5/1, T 15/1</t>
  </si>
  <si>
    <t>D2-122-248</t>
  </si>
  <si>
    <t>FUNIL DE ALIMENTACION PARA ES 650</t>
  </si>
  <si>
    <t>Inyector p/ G 2500</t>
  </si>
  <si>
    <t>A9-802-036</t>
  </si>
  <si>
    <t>Niple 1/2- 3/8 para HDS 4.0</t>
  </si>
  <si>
    <t>GAV 1291</t>
  </si>
  <si>
    <t>Manómetro de Presión</t>
  </si>
  <si>
    <t>III4</t>
  </si>
  <si>
    <t>Labios de Aspiración Transparentes p/ B 60- B 150, BR 55/60</t>
  </si>
  <si>
    <t>Retenedor Intermedio p/ HD 5/12</t>
  </si>
  <si>
    <t>GAV 647</t>
  </si>
  <si>
    <t>A8-629-552</t>
  </si>
  <si>
    <t>Cepillop/ BRC 38 30 C</t>
  </si>
  <si>
    <t>A8-725-361</t>
  </si>
  <si>
    <t>Set de RETENEDORES p/ HD 3.3/30 ST</t>
  </si>
  <si>
    <t>Manguera de aspiracion p/ BR 35/12</t>
  </si>
  <si>
    <t>A4-744-272</t>
  </si>
  <si>
    <t>Interruptor COMPLETO HD 7/12</t>
  </si>
  <si>
    <t>A6-310-181</t>
  </si>
  <si>
    <t>Tuerca de MARIPOSA p/ BR 530 TORNADO Y BR 55/60</t>
  </si>
  <si>
    <t>Oring 5.28 X 1.78 HD 7/12</t>
  </si>
  <si>
    <t>GAV 101</t>
  </si>
  <si>
    <t>A7-312-014</t>
  </si>
  <si>
    <t>Arandela p/ BR 40/10</t>
  </si>
  <si>
    <t>GAV 1192</t>
  </si>
  <si>
    <t>A4-680-123</t>
  </si>
  <si>
    <t>Serpentín p/ HDS 1055 - 3,5 (Versión Vieja)</t>
  </si>
  <si>
    <t>Bomba de Combustible p/ CI HDS 655 HDS 695 HDS 895 HDS 690</t>
  </si>
  <si>
    <t>A6-966-068</t>
  </si>
  <si>
    <t>A9-763-011</t>
  </si>
  <si>
    <t>Junta de Llave p/ BD 50/60</t>
  </si>
  <si>
    <t>GAV 731</t>
  </si>
  <si>
    <t>B4-775-264</t>
  </si>
  <si>
    <t>PISTOLA DE PROYECCION MANUAL (NO CLIP)</t>
  </si>
  <si>
    <t>A6-391-479</t>
  </si>
  <si>
    <t>Manguera Destaqueo 20 MTS K-PART</t>
  </si>
  <si>
    <t>A6-906-548</t>
  </si>
  <si>
    <t>Soporte de Cierre NT 48/1  PLASTICO</t>
  </si>
  <si>
    <t>A8-621-533</t>
  </si>
  <si>
    <t>Faja BDP 51/1500 C</t>
  </si>
  <si>
    <t>I4636451</t>
  </si>
  <si>
    <t>Depósito  Para Braava</t>
  </si>
  <si>
    <t>CCC7</t>
  </si>
  <si>
    <t>I4637207</t>
  </si>
  <si>
    <t>Batería p/ Braava 380</t>
  </si>
  <si>
    <t>DDD5</t>
  </si>
  <si>
    <t>A6-110-027</t>
  </si>
  <si>
    <t>Manguera de Alta Presión de 20 Metros Long Life  (Easy Lock)</t>
  </si>
  <si>
    <t>Oring 7.5 X 2.0</t>
  </si>
  <si>
    <t>GAV 89</t>
  </si>
  <si>
    <t>Retenedor de Aceite p/HD 5/12, K340,K2.68, HDS 6/14 G 2500, G 2800</t>
  </si>
  <si>
    <t>GAV 401</t>
  </si>
  <si>
    <t>A6-438-005</t>
  </si>
  <si>
    <t>Rueda de TREN p/ B 150</t>
  </si>
  <si>
    <t>A8-755-846</t>
  </si>
  <si>
    <t>Boquilla turbo para K1700</t>
  </si>
  <si>
    <t>A8-755-852</t>
  </si>
  <si>
    <t>Manguera para K1700</t>
  </si>
  <si>
    <t>A9-047-026</t>
  </si>
  <si>
    <t>RESORTE HELICOIDAL PARA K 200 - 209 - 370 - 2.68</t>
  </si>
  <si>
    <t>GAV 215</t>
  </si>
  <si>
    <t>ST127012AV</t>
  </si>
  <si>
    <t>Aceite para Herramientas de Aire  oil (8z.)</t>
  </si>
  <si>
    <t>A5-408-038</t>
  </si>
  <si>
    <t>Codo de Tubería</t>
  </si>
  <si>
    <t>A6-363-027</t>
  </si>
  <si>
    <t>Set de Oring p/ TOMA de Agua p/ K 5.85</t>
  </si>
  <si>
    <t>D1-110-178</t>
  </si>
  <si>
    <t>GAV 829</t>
  </si>
  <si>
    <t>D1-110-179</t>
  </si>
  <si>
    <t>GAV 858</t>
  </si>
  <si>
    <t>D1-110-206</t>
  </si>
  <si>
    <t>TUERCA PARA MASTER 2001</t>
  </si>
  <si>
    <t>GAV 1064</t>
  </si>
  <si>
    <t>A6-984-098</t>
  </si>
  <si>
    <t>Chapa IZQUIERDA</t>
  </si>
  <si>
    <t>D4-113-040</t>
  </si>
  <si>
    <t>GAV 1013</t>
  </si>
  <si>
    <t>A4-550-507</t>
  </si>
  <si>
    <t>Cabezal de Cilindro p/ K201</t>
  </si>
  <si>
    <t>BORNE PARA HD 5/12</t>
  </si>
  <si>
    <t>GAV 661</t>
  </si>
  <si>
    <t>A5-321-509</t>
  </si>
  <si>
    <t>Perilla p/ BR 530</t>
  </si>
  <si>
    <t>GAV 1165</t>
  </si>
  <si>
    <t>A6-363-503</t>
  </si>
  <si>
    <t>GAV 744</t>
  </si>
  <si>
    <t>A6-435-809</t>
  </si>
  <si>
    <t>Rueda de Dirección p/ B60</t>
  </si>
  <si>
    <t>A8-621-530</t>
  </si>
  <si>
    <t>Faja p/ BRS 43 500 C</t>
  </si>
  <si>
    <t>A8-621-532</t>
  </si>
  <si>
    <t>Faja 15MM X 300MM p/ BRS 43 500 C</t>
  </si>
  <si>
    <t>A5-033-279</t>
  </si>
  <si>
    <t>Pasador p/ BR 30/4</t>
  </si>
  <si>
    <t>GAV 259</t>
  </si>
  <si>
    <t>A6-330-083</t>
  </si>
  <si>
    <t>RESORTE p/ SC 1</t>
  </si>
  <si>
    <t>GAV 876</t>
  </si>
  <si>
    <t>A8-600-110</t>
  </si>
  <si>
    <t>Correa p/ Clipper 12</t>
  </si>
  <si>
    <t>A4-038-678</t>
  </si>
  <si>
    <t>Soporte de RODILLO p/ BR 55-60</t>
  </si>
  <si>
    <t>A9-182-353</t>
  </si>
  <si>
    <t>Tuerca para agarradera de equipo de gasolina</t>
  </si>
  <si>
    <t>A9-182-356</t>
  </si>
  <si>
    <t>ESPACIADOR p/ G4000</t>
  </si>
  <si>
    <t>GAV 208</t>
  </si>
  <si>
    <t>A9-184-012</t>
  </si>
  <si>
    <t>Válvula G 4000</t>
  </si>
  <si>
    <t>GAV 1217</t>
  </si>
  <si>
    <t>MBM-VE052CM</t>
  </si>
  <si>
    <t>Vaso Pequeño p/ Magic Bullet (Recambio)</t>
  </si>
  <si>
    <t>A4-324-047</t>
  </si>
  <si>
    <t>Palpador con resorte P/ EB 30/1</t>
  </si>
  <si>
    <t>A5-060-943</t>
  </si>
  <si>
    <t>Culata p/ K 5.85</t>
  </si>
  <si>
    <t>A5-423-417</t>
  </si>
  <si>
    <t>Conducto de COMBUSTIBLE p/ HD 6/14 C</t>
  </si>
  <si>
    <t>Abrazadera P PUZZI 8/1 - de 4002</t>
  </si>
  <si>
    <t>A8-614-086</t>
  </si>
  <si>
    <t>Boquilla de RANURAS  p/ SENSOR XP 12</t>
  </si>
  <si>
    <t>A8-639-008</t>
  </si>
  <si>
    <t>Soporte para interruptor de PS 4/7</t>
  </si>
  <si>
    <t>GAV 1287</t>
  </si>
  <si>
    <t>A2-640-729</t>
  </si>
  <si>
    <t>Set de Oring p/ Reparación de Lanzas Domésticas</t>
  </si>
  <si>
    <t>B1</t>
  </si>
  <si>
    <t>A5-332-246</t>
  </si>
  <si>
    <t>RESORTE HELICOIDAL p/ HDS 3.5</t>
  </si>
  <si>
    <t>GAV 773</t>
  </si>
  <si>
    <t>A6-330-123</t>
  </si>
  <si>
    <t>RESORTE p/ FC 5</t>
  </si>
  <si>
    <t>GAV 1267</t>
  </si>
  <si>
    <t>D4-111-158</t>
  </si>
  <si>
    <t>PIÑON SIN FIN DE LA ES-400</t>
  </si>
  <si>
    <t>I4650988</t>
  </si>
  <si>
    <t>Cabezal de Cepillo para Roomba S9</t>
  </si>
  <si>
    <t>Motor de Elevación p/ B150</t>
  </si>
  <si>
    <t>A6-391-913</t>
  </si>
  <si>
    <t>TUBULADURA ACODADA p/ BD 50/60</t>
  </si>
  <si>
    <t>GAV 302</t>
  </si>
  <si>
    <t>A6-362-858</t>
  </si>
  <si>
    <t>Oring 11.0 X 1.5 p/ HD 10-50</t>
  </si>
  <si>
    <t>GAV 544</t>
  </si>
  <si>
    <t>ROL 6305-2Z p/ HD-HDS</t>
  </si>
  <si>
    <t>A6-431-057</t>
  </si>
  <si>
    <t>Cable de Mando p/ HD 9/50</t>
  </si>
  <si>
    <t>A6-491-018</t>
  </si>
  <si>
    <t>Válvula SELENOIde p/ KM 105</t>
  </si>
  <si>
    <t>GAV 387</t>
  </si>
  <si>
    <t>D4-110-292</t>
  </si>
  <si>
    <t>RUEDA P/WM 350</t>
  </si>
  <si>
    <t>2.633-131.0</t>
  </si>
  <si>
    <t>Paño de Limpieza de Microfibra  WV 1</t>
  </si>
  <si>
    <t>A2-640-733</t>
  </si>
  <si>
    <t>Articulación Boquilla Doméstico</t>
  </si>
  <si>
    <t>Ñ5</t>
  </si>
  <si>
    <t>A4-764-293</t>
  </si>
  <si>
    <t>Boquilla Turbo p/ Equipo Doméstico</t>
  </si>
  <si>
    <t>A6-330-136</t>
  </si>
  <si>
    <t>RESORTE de COMPRESION p/ KM 85/50</t>
  </si>
  <si>
    <t>GAV 969</t>
  </si>
  <si>
    <t>A6-610-331</t>
  </si>
  <si>
    <t>Carbones p/ B 40 Eléctrica</t>
  </si>
  <si>
    <t>A9-755-334</t>
  </si>
  <si>
    <t>Inyector p/ K 5.68</t>
  </si>
  <si>
    <t>B4-402-049</t>
  </si>
  <si>
    <t>Terminal con Rosca de Pistola</t>
  </si>
  <si>
    <t>D2-113-129</t>
  </si>
  <si>
    <t>PIN DE TRAVA</t>
  </si>
  <si>
    <t>GAV 1012</t>
  </si>
  <si>
    <t>I4648035</t>
  </si>
  <si>
    <t>Base de Carga p/ Roomba</t>
  </si>
  <si>
    <t>A5-037-028</t>
  </si>
  <si>
    <t>Cojinete p/ BD 38/12</t>
  </si>
  <si>
    <t>Resorte Helicoidal</t>
  </si>
  <si>
    <t>A9-802-884</t>
  </si>
  <si>
    <t>GAV 466</t>
  </si>
  <si>
    <t>B6-903-258</t>
  </si>
  <si>
    <t>RUEDA PARA NT 181K2501 Y NT 351</t>
  </si>
  <si>
    <t>Ñ2</t>
  </si>
  <si>
    <t>A4-444-015</t>
  </si>
  <si>
    <t>Manguera de Succión Manual p/ Fregadoras</t>
  </si>
  <si>
    <t>A4-880-058</t>
  </si>
  <si>
    <t>Rueda PEQUEÑA p/ BR 30/4</t>
  </si>
  <si>
    <t>GAV 695</t>
  </si>
  <si>
    <t>A5-032-774</t>
  </si>
  <si>
    <t>Cubierta de Cabezal de Cepillos p/ BR 40/25</t>
  </si>
  <si>
    <t>A5-363-533</t>
  </si>
  <si>
    <t>Anillo de COMBUSTIBLE p/ HD 558</t>
  </si>
  <si>
    <t>A5-363-547</t>
  </si>
  <si>
    <t>Anillo de Guarnición BR 55/60W</t>
  </si>
  <si>
    <t>D2-110-161</t>
  </si>
  <si>
    <t>TAPA PLASTICA</t>
  </si>
  <si>
    <t>Pin P Micro p/ HDS 895,558C,655</t>
  </si>
  <si>
    <t>GAV 1237</t>
  </si>
  <si>
    <t>A5-063-700</t>
  </si>
  <si>
    <t>Tapa Gris p/ DE 4002</t>
  </si>
  <si>
    <t>A5-321-529</t>
  </si>
  <si>
    <t>PERILLA PARA DE 4002</t>
  </si>
  <si>
    <t>GAV 931</t>
  </si>
  <si>
    <t>A5-409-261</t>
  </si>
  <si>
    <t>Boquilla PUZZI</t>
  </si>
  <si>
    <t>GAV 51</t>
  </si>
  <si>
    <t>A6-907-048</t>
  </si>
  <si>
    <t>Junta 5 X 3</t>
  </si>
  <si>
    <t>A8-623-316</t>
  </si>
  <si>
    <t>CLAMP p/ BRC 38/30</t>
  </si>
  <si>
    <t>GAV 767</t>
  </si>
  <si>
    <t>A9-802-921</t>
  </si>
  <si>
    <t>Tapón de Aceite p/ HD 3.8-3.5</t>
  </si>
  <si>
    <t>D4-111-060</t>
  </si>
  <si>
    <t>CHAPA DE FLEXION</t>
  </si>
  <si>
    <t>GAV 1060</t>
  </si>
  <si>
    <t>A4-035-030</t>
  </si>
  <si>
    <t>Manguera de Aspiración p/ B 150</t>
  </si>
  <si>
    <t>A5-115-671</t>
  </si>
  <si>
    <t>ARANDELA DE PRESION PARA HD 801 B830 BS-HDS 801 B***</t>
  </si>
  <si>
    <t>GAV 662</t>
  </si>
  <si>
    <t>A6-365-581</t>
  </si>
  <si>
    <t>RETENEDOR de Aceite p/ K2 BASIC 12X18X4/6</t>
  </si>
  <si>
    <t>GAV 982</t>
  </si>
  <si>
    <t>Caja de RECAMBIO p/ K 3.68</t>
  </si>
  <si>
    <t>A5-470-034</t>
  </si>
  <si>
    <t>EMBRAGUE P/ BR 530</t>
  </si>
  <si>
    <t>GAV 1365</t>
  </si>
  <si>
    <t>A6-647-681</t>
  </si>
  <si>
    <t>Abrazadera de Cable</t>
  </si>
  <si>
    <t>A6-959-166</t>
  </si>
  <si>
    <t>ConSOLA de Motor Completa</t>
  </si>
  <si>
    <t>A8-629-503</t>
  </si>
  <si>
    <t>RESORTE p/ BRC 38/ 30 C</t>
  </si>
  <si>
    <t>DH540000</t>
  </si>
  <si>
    <t>Pistola de Spray por Gravedad</t>
  </si>
  <si>
    <t>HHH4</t>
  </si>
  <si>
    <t>A6-330-456</t>
  </si>
  <si>
    <t>Resorte de Tracción RZ-1771 p/ B 150</t>
  </si>
  <si>
    <t>D2-122-337</t>
  </si>
  <si>
    <t>SARANDA N.0,8 TRF 300</t>
  </si>
  <si>
    <t>MP323000AV</t>
  </si>
  <si>
    <t>Conexión 3 - 1 para Connexion de Mangueras</t>
  </si>
  <si>
    <t>9.755-285.0</t>
  </si>
  <si>
    <t>Válvula para K 3 full</t>
  </si>
  <si>
    <t>A9-755-166</t>
  </si>
  <si>
    <t>Cubierta de VENTILADOR p/ K 2.93</t>
  </si>
  <si>
    <t>A5-762-266</t>
  </si>
  <si>
    <t>CepilloTRASERO SUAVE BLANCO</t>
  </si>
  <si>
    <t>A6-363-073</t>
  </si>
  <si>
    <t>Oring 14X1.78 p/ TODAS LAS HDS</t>
  </si>
  <si>
    <t>GAV 297</t>
  </si>
  <si>
    <t>A8-622-459</t>
  </si>
  <si>
    <t>A9-803-954</t>
  </si>
  <si>
    <t>Anillo de Tolerancia p/ HD 2.5</t>
  </si>
  <si>
    <t>A6-491-915</t>
  </si>
  <si>
    <t>Llave de Combustible p/ HD 9/50</t>
  </si>
  <si>
    <t>Anillo RETEN RADIAL p/ K5.540</t>
  </si>
  <si>
    <t>GAV 1211</t>
  </si>
  <si>
    <t>D2-122-112</t>
  </si>
  <si>
    <t>SARANDA 1.2 p/ TRF 800</t>
  </si>
  <si>
    <t>D2-122-142</t>
  </si>
  <si>
    <t>TAPA PARA ES 650</t>
  </si>
  <si>
    <t>2.644-086.0</t>
  </si>
  <si>
    <t>Limpiador de Superficies T2</t>
  </si>
  <si>
    <t>A4-550-535</t>
  </si>
  <si>
    <t>Cabezal de Cilindro p/ HDS 655, HDS 895</t>
  </si>
  <si>
    <t>A5-570-075</t>
  </si>
  <si>
    <t>Anillo de Tubo de Aspiración p/ CV 30/1</t>
  </si>
  <si>
    <t>A8-614-629</t>
  </si>
  <si>
    <t>Boquilla de TAPICERIA p/ AXCESS 12</t>
  </si>
  <si>
    <t>A8-638-827</t>
  </si>
  <si>
    <t>Parachoques para BDS 51/175</t>
  </si>
  <si>
    <t>A9-802-925</t>
  </si>
  <si>
    <t>Válvula de ALIVIO p/ HD 2.3/ 2.5/ 3.5/ 3.8</t>
  </si>
  <si>
    <t>GAV 446</t>
  </si>
  <si>
    <t>B9-376-012</t>
  </si>
  <si>
    <t>ORING 139.37 X 2.62 PARA HD 585</t>
  </si>
  <si>
    <t>GAV 178</t>
  </si>
  <si>
    <t>C7-401-197</t>
  </si>
  <si>
    <t>ARRACADOR PARA MOTOR DE TRF 700</t>
  </si>
  <si>
    <t>A5-332-322</t>
  </si>
  <si>
    <t>RESORTE p/ HD 9/50</t>
  </si>
  <si>
    <t>GAV 758</t>
  </si>
  <si>
    <t>A8-637-278</t>
  </si>
  <si>
    <t>Tornillo p/ BOLT</t>
  </si>
  <si>
    <t>A4-421-645</t>
  </si>
  <si>
    <t>Tubería p/ SERPENTIN p/ HDS 3.5- HDS 895</t>
  </si>
  <si>
    <t>A6-994-111</t>
  </si>
  <si>
    <t>Interruptor p/ BD 17/5</t>
  </si>
  <si>
    <t>A4-741-021</t>
  </si>
  <si>
    <t>Control de Revoluciones p/ HD 1050 B</t>
  </si>
  <si>
    <t>A5-094-127</t>
  </si>
  <si>
    <t>Tapa  de Motor HD 5/12</t>
  </si>
  <si>
    <t>A6-363-328</t>
  </si>
  <si>
    <t>Oring 23.16 X 5.33</t>
  </si>
  <si>
    <t>GAV 527</t>
  </si>
  <si>
    <t>A5-402-705</t>
  </si>
  <si>
    <t>Juego de PiezaS HDS p/ HDS 10/20 - 7/11 - 895</t>
  </si>
  <si>
    <t>A5-769-139</t>
  </si>
  <si>
    <t>Inyector p/ HD 855 S</t>
  </si>
  <si>
    <t>GAV 620</t>
  </si>
  <si>
    <t>Válvula p/ HD 6/15</t>
  </si>
  <si>
    <t>A5-107-147</t>
  </si>
  <si>
    <t>Barra para K 5.20M</t>
  </si>
  <si>
    <t>GAV 369</t>
  </si>
  <si>
    <t>Asiento de Válvula p/ HD 3.5</t>
  </si>
  <si>
    <t>GAV 46</t>
  </si>
  <si>
    <t>A5-582-075</t>
  </si>
  <si>
    <t>PLATILLO DE VALVULA PARA HD 855 S</t>
  </si>
  <si>
    <t>GAV 532</t>
  </si>
  <si>
    <t>A6-630-168</t>
  </si>
  <si>
    <t>TERMOSTATO PARA K 1102</t>
  </si>
  <si>
    <t>GAV 166</t>
  </si>
  <si>
    <t>A9-803-267</t>
  </si>
  <si>
    <t>kit de reparacion de lanza para hds 4.0</t>
  </si>
  <si>
    <t>I4639162</t>
  </si>
  <si>
    <t>Set de Cepillos Laterales para Roomba E &amp; I</t>
  </si>
  <si>
    <t>A2-885-336</t>
  </si>
  <si>
    <t>Tarjeta Electrónica p/ HDS 3.3/25</t>
  </si>
  <si>
    <t>A2-885-385</t>
  </si>
  <si>
    <t>By Pass p/ HD 10/25  NUEVA VERSION</t>
  </si>
  <si>
    <t>PIÑON CV 30/1 - 38/1</t>
  </si>
  <si>
    <t>A6-369-470</t>
  </si>
  <si>
    <t>PAD Rojo de 17" (Dureza Media)</t>
  </si>
  <si>
    <t>KK2</t>
  </si>
  <si>
    <t>A6-904-167</t>
  </si>
  <si>
    <t>Bolsa de Papel p/( A2101 (5 unids)</t>
  </si>
  <si>
    <t>I1</t>
  </si>
  <si>
    <t>A8-751-229</t>
  </si>
  <si>
    <t>Tapa de CAMARA de Aceite p/ HD 3.5</t>
  </si>
  <si>
    <t>Seguro de rueda para HD 585</t>
  </si>
  <si>
    <t>GAV 96</t>
  </si>
  <si>
    <t>D2-122-606</t>
  </si>
  <si>
    <t>TAPA DE SALIDA PARA TRP 400</t>
  </si>
  <si>
    <t>A5-048-187</t>
  </si>
  <si>
    <t>PLATINA de BR 530</t>
  </si>
  <si>
    <t>A8-640-608</t>
  </si>
  <si>
    <t>Tapa p/ SENSOR XP 12</t>
  </si>
  <si>
    <t>D1-113-587</t>
  </si>
  <si>
    <t>FAJA PARA TRR 180-190 B-26</t>
  </si>
  <si>
    <t>A2-882-414</t>
  </si>
  <si>
    <t>Juego de MODIFICACION</t>
  </si>
  <si>
    <t>A5-059-300</t>
  </si>
  <si>
    <t>GRAPA de TOMA de Agua p/ K 5.85</t>
  </si>
  <si>
    <t>GAV 899</t>
  </si>
  <si>
    <t>A6-273-213</t>
  </si>
  <si>
    <t>Juego de Labios de Hule p/ B 40, BD 50/60</t>
  </si>
  <si>
    <t>A6-681-123</t>
  </si>
  <si>
    <t>Set de proteccion BDS 51</t>
  </si>
  <si>
    <t>D2-113-114</t>
  </si>
  <si>
    <t>EJE DE CORONA SIN FIN PARA ES-400</t>
  </si>
  <si>
    <t>D4-111-157</t>
  </si>
  <si>
    <t>CORONA SIN FIN PARA ES-400</t>
  </si>
  <si>
    <t>A4-363-016</t>
  </si>
  <si>
    <t>Guía p/ K 3.40</t>
  </si>
  <si>
    <t>GAV 1010</t>
  </si>
  <si>
    <t>A9-754-583</t>
  </si>
  <si>
    <t>Sistema de ciclon completo para VC 4IS</t>
  </si>
  <si>
    <t>A5-037-009</t>
  </si>
  <si>
    <t>Gancho p/ SC 1</t>
  </si>
  <si>
    <t>GAV 878</t>
  </si>
  <si>
    <t>Filtro Plano PES p/ NT 65/2 - NT 72/2</t>
  </si>
  <si>
    <t>A6-295-490</t>
  </si>
  <si>
    <t>RM 769 Detergente Quita Manchas (0.5 litro)</t>
  </si>
  <si>
    <t>A6-348-483</t>
  </si>
  <si>
    <t>Cordón de CUERO p/ KM 700</t>
  </si>
  <si>
    <t>Juego de RuedaS p/ MV 1</t>
  </si>
  <si>
    <t>A8-628-430</t>
  </si>
  <si>
    <t>PortaPad de 20" p/ BDS 51/175 BOLT 20</t>
  </si>
  <si>
    <t>C0-000-032</t>
  </si>
  <si>
    <t>RESORTE DE ACELERACION GX 390-340-420</t>
  </si>
  <si>
    <t>8.701-773.0</t>
  </si>
  <si>
    <t>Llave de Inicio para Motores GX</t>
  </si>
  <si>
    <t>GAV 1372</t>
  </si>
  <si>
    <t>A2-638-526</t>
  </si>
  <si>
    <t>Boquilla SANDBLASTING 0.35 p/ EquipoS de 450 - 550 L/H</t>
  </si>
  <si>
    <t>A5-734-099</t>
  </si>
  <si>
    <t>CRIBA p/ PUZZI 8/1</t>
  </si>
  <si>
    <t>A6-390-058</t>
  </si>
  <si>
    <t>Manguera 2.5M p/ WTC 5000 UF</t>
  </si>
  <si>
    <t>A8-639-058</t>
  </si>
  <si>
    <t>Fusible para PS 4/7</t>
  </si>
  <si>
    <t>GAV 934</t>
  </si>
  <si>
    <t>A5-122-425</t>
  </si>
  <si>
    <t>Brida p/ NT 48/1</t>
  </si>
  <si>
    <t>A6-414-439</t>
  </si>
  <si>
    <t>Filtro de Polvo Fino p/ DE 4002</t>
  </si>
  <si>
    <t>GAV 929</t>
  </si>
  <si>
    <t>Caja Eléctrica p/  K2.19</t>
  </si>
  <si>
    <t>A6-365-394</t>
  </si>
  <si>
    <t>RETENEDOR de Agua p/ HD 525S HD 801B K 520M G 2500</t>
  </si>
  <si>
    <t>GAV 565</t>
  </si>
  <si>
    <t>A6-365-409</t>
  </si>
  <si>
    <t>RETENEDOR de Agua p/ HD 9/16</t>
  </si>
  <si>
    <t>GAV 573</t>
  </si>
  <si>
    <t>A6-393-334</t>
  </si>
  <si>
    <t>CUBO MON Manguito de 10L p/ WTC 5000 UF</t>
  </si>
  <si>
    <t>A6-610-220</t>
  </si>
  <si>
    <t>CARBONES BD 55/60 W</t>
  </si>
  <si>
    <t>Juego de ESTELAS FILTRANTES NT 38/1 NT 20/1</t>
  </si>
  <si>
    <t>8.756-219.0</t>
  </si>
  <si>
    <t>Carburador para G2700</t>
  </si>
  <si>
    <t>A4-112-011</t>
  </si>
  <si>
    <t>Cobertor de Boquilla (Versión Nueva)</t>
  </si>
  <si>
    <t>D1-110-210</t>
  </si>
  <si>
    <t>GAV 856</t>
  </si>
  <si>
    <t>D2-111-111</t>
  </si>
  <si>
    <t>Cuchilla intermedia TR 200</t>
  </si>
  <si>
    <t>A5-550-034.3</t>
  </si>
  <si>
    <t>Cabezal para HD 7/13</t>
  </si>
  <si>
    <t>A5-033-666</t>
  </si>
  <si>
    <t>Rueda de Ajuste p/ Cabezal de B 140</t>
  </si>
  <si>
    <t>A8-706-865</t>
  </si>
  <si>
    <t>GAV 799</t>
  </si>
  <si>
    <t>A5-032-643</t>
  </si>
  <si>
    <t>Pieza PERFILADA p/ KM 70/20 - KM 70/30</t>
  </si>
  <si>
    <t>A7-382-233</t>
  </si>
  <si>
    <t>Tornillo de BloqueO p/ HB 1050 B</t>
  </si>
  <si>
    <t>GAV 1345</t>
  </si>
  <si>
    <t>Juego de Empaques</t>
  </si>
  <si>
    <t>A4-762-446</t>
  </si>
  <si>
    <t>Porta Pad para B60 cabezal D65</t>
  </si>
  <si>
    <t>A5-317-781</t>
  </si>
  <si>
    <t>GAV 988</t>
  </si>
  <si>
    <t>Turbina de Aspiración p/ NT 38/1 &amp; NT 20/1</t>
  </si>
  <si>
    <t>C0-000-089</t>
  </si>
  <si>
    <t>Tapa de Depósito de Combustible</t>
  </si>
  <si>
    <t>A6-348-376</t>
  </si>
  <si>
    <t>FAJA BR/530</t>
  </si>
  <si>
    <t>A8-902-421</t>
  </si>
  <si>
    <t>Sistema para Conección en T p/ HD 2.0/1000 (dos Mangueras)</t>
  </si>
  <si>
    <t>A2-642-168</t>
  </si>
  <si>
    <t>Set de Conexión</t>
  </si>
  <si>
    <t>A5-305-296</t>
  </si>
  <si>
    <t>Tornillo p/ Squegge de BR 530, BD 55/60</t>
  </si>
  <si>
    <t>AMORTIGUADOR de SONIDOS NT 48/1</t>
  </si>
  <si>
    <t>A9-001-380</t>
  </si>
  <si>
    <t>Codo K 370 Y K 200</t>
  </si>
  <si>
    <t>A9-763-081</t>
  </si>
  <si>
    <t>Rueda p/ BD 50/60</t>
  </si>
  <si>
    <t>A2-640-688</t>
  </si>
  <si>
    <t>Boquilla P/ INNOFOAM de 700 - 1000 L/H p/ HD 7/12, HDS 3.5</t>
  </si>
  <si>
    <t>A5-035-414</t>
  </si>
  <si>
    <t>Carcasa de PLATO IMPULSOR D43 p/ B40</t>
  </si>
  <si>
    <t>A6-362-703</t>
  </si>
  <si>
    <t>Oring 6.0 X 1.5</t>
  </si>
  <si>
    <t>GAV 584</t>
  </si>
  <si>
    <t>Caja Eléctrica de K 2.21 - 2.250</t>
  </si>
  <si>
    <t>A4-114-027</t>
  </si>
  <si>
    <t>Boquilla Turbo 0.50 EASY LOCK HD 7/12</t>
  </si>
  <si>
    <t>A6-362-411</t>
  </si>
  <si>
    <t>Oring 25.0 X 2.0</t>
  </si>
  <si>
    <t>GAV 1147</t>
  </si>
  <si>
    <t>A8-600-367</t>
  </si>
  <si>
    <t>Porta Fusible p/ BDP 51/1500</t>
  </si>
  <si>
    <t>A9-760-635</t>
  </si>
  <si>
    <t>Agarradera TRASERA p/ K 3.690</t>
  </si>
  <si>
    <t>A5-112-633</t>
  </si>
  <si>
    <t>HEMBRILLA</t>
  </si>
  <si>
    <t>PRENSA de Tanque p/ MV 1</t>
  </si>
  <si>
    <t>A9-770-861</t>
  </si>
  <si>
    <t>BUMPER p/ NT 90/2</t>
  </si>
  <si>
    <t>D2-110-176</t>
  </si>
  <si>
    <t>RUEDA MASTER 2001</t>
  </si>
  <si>
    <t>A5-114-511</t>
  </si>
  <si>
    <t>Anillo de APOYO p/ HD 10/25</t>
  </si>
  <si>
    <t>A5-321-633</t>
  </si>
  <si>
    <t>PERILLA PARA HDS 3.5-895-655</t>
  </si>
  <si>
    <t>A5-404-076</t>
  </si>
  <si>
    <t>TORNILLO HUECO</t>
  </si>
  <si>
    <t>A5-734-087</t>
  </si>
  <si>
    <t>Filtro de PELUSAS p/ PUZZI 100</t>
  </si>
  <si>
    <t>Turbina de Aspiración  p/ NT 48/1</t>
  </si>
  <si>
    <t>A7-312-232</t>
  </si>
  <si>
    <t>GAV 1191</t>
  </si>
  <si>
    <t>A8-600-341</t>
  </si>
  <si>
    <t>Diodo p/ SABER CUTTER</t>
  </si>
  <si>
    <t>GAV 819</t>
  </si>
  <si>
    <t>A8-639-054</t>
  </si>
  <si>
    <t>A4-613-003</t>
  </si>
  <si>
    <t>Motor p/ CV 48/2</t>
  </si>
  <si>
    <t>A5-037-322</t>
  </si>
  <si>
    <t>Grapa para K1</t>
  </si>
  <si>
    <t>GAV 1036</t>
  </si>
  <si>
    <t>A6-682-464</t>
  </si>
  <si>
    <t>SENSOR p/ B150</t>
  </si>
  <si>
    <t>A5-033-747</t>
  </si>
  <si>
    <t>Depósito de Agua SUCIA p/ BR 30/4</t>
  </si>
  <si>
    <t>A9-139-358</t>
  </si>
  <si>
    <t>Set 3 Pistones p/  G 4000</t>
  </si>
  <si>
    <t>A4-411-008</t>
  </si>
  <si>
    <t>TORNILLO DE VALVULA PARA HD 651 HD 658</t>
  </si>
  <si>
    <t>A7-343-005</t>
  </si>
  <si>
    <t>GAV 214</t>
  </si>
  <si>
    <t>VP74</t>
  </si>
  <si>
    <t>Lanza de Extensión 24" / 60 cm p/ Victory Innovation</t>
  </si>
  <si>
    <t>A4-680-130</t>
  </si>
  <si>
    <t>Serpentín Inoxidable p/ HDS 6/14</t>
  </si>
  <si>
    <t>D2-111-323</t>
  </si>
  <si>
    <t>Tapa para TRF 700</t>
  </si>
  <si>
    <t>A5-055-693</t>
  </si>
  <si>
    <t>Tapa gris para FC 5</t>
  </si>
  <si>
    <t>A6-348-375</t>
  </si>
  <si>
    <t>Correa deNTADA p/ BD 530</t>
  </si>
  <si>
    <t>B9-386-003</t>
  </si>
  <si>
    <t>Tuerca de Agarradera p/ HD 585</t>
  </si>
  <si>
    <t>Faja p/ BR 30/4</t>
  </si>
  <si>
    <t>A6-313-022</t>
  </si>
  <si>
    <t>CLAVIJA de Soporte p/ B 60</t>
  </si>
  <si>
    <t>GAV 901</t>
  </si>
  <si>
    <t>D4-111-057</t>
  </si>
  <si>
    <t>TAPA DE CAJA DE TRANSMISION</t>
  </si>
  <si>
    <t>I4636429</t>
  </si>
  <si>
    <t>Muro virtual (Serie 600 &amp; 900)</t>
  </si>
  <si>
    <t>A6-610-294</t>
  </si>
  <si>
    <t>Juego de Carbones p/ B 60</t>
  </si>
  <si>
    <t>GAV 896</t>
  </si>
  <si>
    <t>A8-725-360</t>
  </si>
  <si>
    <t>Set de RETENEDORES p/ HD 3.5/30 ST EG B</t>
  </si>
  <si>
    <t>B4-363-016</t>
  </si>
  <si>
    <t>Guía de Cabezal</t>
  </si>
  <si>
    <t>GAV 537</t>
  </si>
  <si>
    <t>B9-385-051</t>
  </si>
  <si>
    <t>FUENTE DE PODER 24VDC PARA HDC 24/15</t>
  </si>
  <si>
    <t>D2-112-774</t>
  </si>
  <si>
    <t>EJE DE FIJACION PARA TRR 260/280</t>
  </si>
  <si>
    <t>Kit de Manguera &amp; Pistola p/ Equipos K</t>
  </si>
  <si>
    <t>CC2</t>
  </si>
  <si>
    <t>A2-644-186</t>
  </si>
  <si>
    <t>Set de tiras laterales para KM 70/20</t>
  </si>
  <si>
    <t>A6-110-008</t>
  </si>
  <si>
    <t>Manguera de Destaqueo (20 mt Easy Lock)</t>
  </si>
  <si>
    <t>DD2</t>
  </si>
  <si>
    <t>A6-295-878</t>
  </si>
  <si>
    <t>RM 111 Antiincrustante (1 Litro)</t>
  </si>
  <si>
    <t>A6-362-406</t>
  </si>
  <si>
    <t>Oring 33.05x1.78 p/ HD 855 S - HDS 7/11</t>
  </si>
  <si>
    <t>GAV 47</t>
  </si>
  <si>
    <t>A8-600-391</t>
  </si>
  <si>
    <t>Empaque p/ BRC 38/30</t>
  </si>
  <si>
    <t>A8-600-393</t>
  </si>
  <si>
    <t>Junta p/ Tapa de Tanque p/ BRC 38/30</t>
  </si>
  <si>
    <t>Manguera de Sálida p/ B250</t>
  </si>
  <si>
    <t>A8-600-347</t>
  </si>
  <si>
    <t>Codo 1/4 p/ BRC 38/30</t>
  </si>
  <si>
    <t>GAV 1067</t>
  </si>
  <si>
    <t>A8-600-366</t>
  </si>
  <si>
    <t>Fusible p/ BDP 51/1500 25A</t>
  </si>
  <si>
    <t>GAV 506</t>
  </si>
  <si>
    <t>B5-553-489</t>
  </si>
  <si>
    <t>Pin p/ HD 7/13</t>
  </si>
  <si>
    <t>GAV 650</t>
  </si>
  <si>
    <t>Filtro de Tela p/ WD1, MV1</t>
  </si>
  <si>
    <t>Culata de Cilindro p/ K 2.19 - 2.21 - 3.68 - 2.26-2.68</t>
  </si>
  <si>
    <t>A9-761-269</t>
  </si>
  <si>
    <t>RESISTENCIA Con Cable p/ HD 6/15</t>
  </si>
  <si>
    <t>D2-117-148</t>
  </si>
  <si>
    <t>ANILLO DISTANCIADOR PATA TR 500</t>
  </si>
  <si>
    <t>A5-363-366</t>
  </si>
  <si>
    <t>Anillo de OBTURACION p/ SG 4/4</t>
  </si>
  <si>
    <t>A6-363-142</t>
  </si>
  <si>
    <t>Oring de 10 X 1.5 p/ FRV 30</t>
  </si>
  <si>
    <t>A9-802-402</t>
  </si>
  <si>
    <t>Bushing para HD 4.0</t>
  </si>
  <si>
    <t>A4-321-101</t>
  </si>
  <si>
    <t>GATILLO PARA PUZZI 100</t>
  </si>
  <si>
    <t>A2-889-231</t>
  </si>
  <si>
    <t>Bolsas Desechables p/ NT 30/1 (10 unidades)</t>
  </si>
  <si>
    <t>Asiento de Válvula  p/ HD 7/12</t>
  </si>
  <si>
    <t>A6-365-495</t>
  </si>
  <si>
    <t>RETENEDORES INTERMEDIOS p/ HDS-E 3.3</t>
  </si>
  <si>
    <t>A8-725-355</t>
  </si>
  <si>
    <t>Set de Retenedores p/ HD 2.5</t>
  </si>
  <si>
    <t>A4-113-004</t>
  </si>
  <si>
    <t>Cepillo Rotativo de Nylon p/ 500–800 l/h Easy Lock</t>
  </si>
  <si>
    <t>A5-332-437</t>
  </si>
  <si>
    <t>RESORTE HELICOIDAL HD 525 HD 801 B</t>
  </si>
  <si>
    <t>Oring 27.5 X 1.5 p/ HD 1050B 7/12 ***</t>
  </si>
  <si>
    <t>GAV 146</t>
  </si>
  <si>
    <t>A8-600-397</t>
  </si>
  <si>
    <t>Junta p/ BRC 38/30</t>
  </si>
  <si>
    <t>Tapa de Rueda p/ KM 70/20</t>
  </si>
  <si>
    <t>A5-481-203</t>
  </si>
  <si>
    <t>Cable</t>
  </si>
  <si>
    <t>SENSOR REED HDS 3,5</t>
  </si>
  <si>
    <t>A8-600-355</t>
  </si>
  <si>
    <t>Espuma Antisonido p/ Windsor WAVE</t>
  </si>
  <si>
    <t>A6-362-496</t>
  </si>
  <si>
    <t>ORING 17.12 X 2.62 PARA HD-HDS HDC 24/15</t>
  </si>
  <si>
    <t>GAV 7</t>
  </si>
  <si>
    <t>A8-705-115</t>
  </si>
  <si>
    <t>Acople para manguera</t>
  </si>
  <si>
    <t>GAV 1276</t>
  </si>
  <si>
    <t>A8-706-168</t>
  </si>
  <si>
    <t>Codo p/ HD 3.8</t>
  </si>
  <si>
    <t>GAV 370</t>
  </si>
  <si>
    <t>Filtro de Agua P/ HD651-801- HDS 500-700</t>
  </si>
  <si>
    <t>GAV 1246</t>
  </si>
  <si>
    <t>A6-906-185</t>
  </si>
  <si>
    <t>Boquilla de Piso p/ SG 4/4</t>
  </si>
  <si>
    <t>D1-111-417</t>
  </si>
  <si>
    <t>GAV 865</t>
  </si>
  <si>
    <t>A6-664-015</t>
  </si>
  <si>
    <t>Diodo p/ BR 400, PUZZI 8/1, PUZZI 100, PUZZI 300</t>
  </si>
  <si>
    <t>GAV 714</t>
  </si>
  <si>
    <t>RETENEDOR 30 X 40 X 7 p/ HD 855 S Y K 620</t>
  </si>
  <si>
    <t>A7-373-019</t>
  </si>
  <si>
    <t>Abrazadera p/ Manguera p/ PUZZI 100</t>
  </si>
  <si>
    <t>GAV 447</t>
  </si>
  <si>
    <t>A8-757-050</t>
  </si>
  <si>
    <t>Boquilla de tapiceria para TV1</t>
  </si>
  <si>
    <t>A8-757-052</t>
  </si>
  <si>
    <t>Boquilla tipo pato para TV1</t>
  </si>
  <si>
    <t>A9-104-030</t>
  </si>
  <si>
    <t>Set de Boquillas Fijas 040 p/ G 4000, HD 3.8</t>
  </si>
  <si>
    <t>A5-110-608</t>
  </si>
  <si>
    <t>Tapón de Válvula p/ HDS 558</t>
  </si>
  <si>
    <t>A6-348-430</t>
  </si>
  <si>
    <t>Correa p/ BD 45/40</t>
  </si>
  <si>
    <t>A9-037-693</t>
  </si>
  <si>
    <t>Perilla p/ K 4-K 5</t>
  </si>
  <si>
    <t>A4-408-051</t>
  </si>
  <si>
    <t>Codo p/ T 201, T 171, BV 111</t>
  </si>
  <si>
    <t>B9-385-371</t>
  </si>
  <si>
    <t>INTERRUPTOR PARA HDC 24/15</t>
  </si>
  <si>
    <t>D1-110-063</t>
  </si>
  <si>
    <t>ARANDELA DE PRESION ES 400</t>
  </si>
  <si>
    <t>GAV 855</t>
  </si>
  <si>
    <t>VP30</t>
  </si>
  <si>
    <t>Tanque con Tapa p/ VP200ES  (1 litro)</t>
  </si>
  <si>
    <t>A4-111-037</t>
  </si>
  <si>
    <t>Unión de Mangueras EASY LOCK</t>
  </si>
  <si>
    <t>A6-313-014</t>
  </si>
  <si>
    <t>Resorte de Lámina p/ HD 895</t>
  </si>
  <si>
    <t>GAV 19</t>
  </si>
  <si>
    <t>A6-907-479</t>
  </si>
  <si>
    <t>Bolsa de Filtro p/ NT 35/1, NT 361 (5 unidades)</t>
  </si>
  <si>
    <t>K1</t>
  </si>
  <si>
    <t>I4636433</t>
  </si>
  <si>
    <t>Set de Filtros p/ Roomba 800-900</t>
  </si>
  <si>
    <t>I4636456</t>
  </si>
  <si>
    <t>Base de Carga p/ Braava 380</t>
  </si>
  <si>
    <t>A4-580-367</t>
  </si>
  <si>
    <t>Válvula CHEM p/ HDS 558C</t>
  </si>
  <si>
    <t>A6-362-397</t>
  </si>
  <si>
    <t>Anillo de Guarnición 18.0 X 1.5 p/ HD 9/50</t>
  </si>
  <si>
    <t>GAV 1034</t>
  </si>
  <si>
    <t>Bolsa de Papel p/ NT 65/2, NT 48/1, NT 72/2 (5 unidades)</t>
  </si>
  <si>
    <t>R3</t>
  </si>
  <si>
    <t>A8-640-615</t>
  </si>
  <si>
    <t>Rueda Guía p/ SENSOR XP 12</t>
  </si>
  <si>
    <t>GAV 936</t>
  </si>
  <si>
    <t>D1-113-826</t>
  </si>
  <si>
    <t>LLAVETA PARA MC-RM 80/90G</t>
  </si>
  <si>
    <t>GAV 949</t>
  </si>
  <si>
    <t>A2-889-101</t>
  </si>
  <si>
    <t>Termometro p/ SG 4/4</t>
  </si>
  <si>
    <t>A4-070-561</t>
  </si>
  <si>
    <t>Depósito de SUCIEDAD p/ K 55</t>
  </si>
  <si>
    <t>A5-481-354</t>
  </si>
  <si>
    <t>PLATINA deL Soporte</t>
  </si>
  <si>
    <t>A7-303-116</t>
  </si>
  <si>
    <t>Tornillo p/ Cobertor de Boquilla p/ PUZZI</t>
  </si>
  <si>
    <t>A7-343-031</t>
  </si>
  <si>
    <t>SEGURO p/ BD 50/60</t>
  </si>
  <si>
    <t>GAV 318</t>
  </si>
  <si>
    <t>D2-110-227</t>
  </si>
  <si>
    <t>PROTECCION DE SALIDA PARA MC/RM 600/650</t>
  </si>
  <si>
    <t>A6-363-022</t>
  </si>
  <si>
    <t>Oring 7.0 X 2.0 p/ K 1102</t>
  </si>
  <si>
    <t>GAV 107</t>
  </si>
  <si>
    <t>A6-682-863</t>
  </si>
  <si>
    <t>Cargador K 50-55</t>
  </si>
  <si>
    <t>A8-639-120</t>
  </si>
  <si>
    <t>GAV 1323</t>
  </si>
  <si>
    <t>A5-324-173</t>
  </si>
  <si>
    <t>PALPadOR p/ NT 65/2</t>
  </si>
  <si>
    <t>A8-600-858</t>
  </si>
  <si>
    <t>SEGURO de RODILLO p/ BRC 38/30</t>
  </si>
  <si>
    <t>GAV 805</t>
  </si>
  <si>
    <t>A8-702-088</t>
  </si>
  <si>
    <t>Oring 3/8</t>
  </si>
  <si>
    <t>GAV 1205</t>
  </si>
  <si>
    <t>C7-401-031</t>
  </si>
  <si>
    <t>ROL 6001</t>
  </si>
  <si>
    <t>A2-885-051</t>
  </si>
  <si>
    <t>Sensor Reed p/ HD 6/14 C</t>
  </si>
  <si>
    <t>Pistón p/ HD 5/12***</t>
  </si>
  <si>
    <t>A5-587-054</t>
  </si>
  <si>
    <t>Caja de Válvula p/ HDS 895</t>
  </si>
  <si>
    <t>A8-706-860</t>
  </si>
  <si>
    <t>Acople p/ HD 3.8</t>
  </si>
  <si>
    <t>C0-000-230</t>
  </si>
  <si>
    <t>TAPA DE TANQUE DE COMBUSTIBLE PARA GX 390</t>
  </si>
  <si>
    <t>A2-883-869</t>
  </si>
  <si>
    <t>Set de Bomba HD 651,HD 658</t>
  </si>
  <si>
    <t>8.627-764.0</t>
  </si>
  <si>
    <t>Tornillo 1/4-20 X 3/4 PTHMS SS</t>
  </si>
  <si>
    <t>GAV 1231</t>
  </si>
  <si>
    <t>A6-296-105</t>
  </si>
  <si>
    <t>RM 650** Limpiador de Cristales de Automóvil</t>
  </si>
  <si>
    <t>A6-626-049</t>
  </si>
  <si>
    <t>Boquilla FLEXIBLE p/ PC 100 M1  BIO</t>
  </si>
  <si>
    <t>C7-401-105</t>
  </si>
  <si>
    <t>ROLL 6003</t>
  </si>
  <si>
    <t>A4-553-222</t>
  </si>
  <si>
    <t>PISTON HD PARA 10/25</t>
  </si>
  <si>
    <t>A6-601-482</t>
  </si>
  <si>
    <t>SEGURO de Tanque BDS 43/150</t>
  </si>
  <si>
    <t>A8-924-173</t>
  </si>
  <si>
    <t>Bomba LP3035G para HD 3.0/27 G</t>
  </si>
  <si>
    <t>A9-139-359</t>
  </si>
  <si>
    <t>Asiento de By Pass p/ G 4000</t>
  </si>
  <si>
    <t>A2-884-873</t>
  </si>
  <si>
    <t>Set de Válvula G 4.10 K 5.85</t>
  </si>
  <si>
    <t>A2-884-876</t>
  </si>
  <si>
    <t>Set de Válvula p/ K620</t>
  </si>
  <si>
    <t>A7-382-085</t>
  </si>
  <si>
    <t>Tornillo de Aceite</t>
  </si>
  <si>
    <t>GAV 547</t>
  </si>
  <si>
    <t>A8-635-395</t>
  </si>
  <si>
    <t>Manguera de deSAGUE p/ CHARIORT 3</t>
  </si>
  <si>
    <t>Juego de Estelas Filtrantes p/ NT 90/2</t>
  </si>
  <si>
    <t>A4-047-003</t>
  </si>
  <si>
    <t>Perilla ACTIVANTE  p/ K 520 M</t>
  </si>
  <si>
    <t>A4-118-008</t>
  </si>
  <si>
    <t>Regulador de Presión (Easy Lock)</t>
  </si>
  <si>
    <t>A4-409-001-0</t>
  </si>
  <si>
    <t>NIPLE PUZZI 8/1 - 100</t>
  </si>
  <si>
    <t>A5-034-847</t>
  </si>
  <si>
    <t>Perno de ANCLAJE p/ BR 40/10</t>
  </si>
  <si>
    <t>GAV 903</t>
  </si>
  <si>
    <t>I4632813</t>
  </si>
  <si>
    <t>Detergente de Pisos p/ Braava</t>
  </si>
  <si>
    <t>Filtro DISPOSITVO de VACIADO p/ B60 B 40 NEW B 150</t>
  </si>
  <si>
    <t>A5-055-506</t>
  </si>
  <si>
    <t>Boquilla de Manguera p/ FC 5</t>
  </si>
  <si>
    <t>GAV 1250</t>
  </si>
  <si>
    <t>A8-917-698</t>
  </si>
  <si>
    <t>Tornillo p/ HD 3.8/30</t>
  </si>
  <si>
    <t>GAV 473</t>
  </si>
  <si>
    <t>A9-439-065</t>
  </si>
  <si>
    <t>Empaque PUZZI 8/1</t>
  </si>
  <si>
    <t>GAV 400</t>
  </si>
  <si>
    <t>D2-122-331</t>
  </si>
  <si>
    <t>SARANDA NR 5,0  PARA TRF 80/90</t>
  </si>
  <si>
    <t>D2-122-332</t>
  </si>
  <si>
    <t>SARANDA NR 3,0  PARA TRF 80/90</t>
  </si>
  <si>
    <t>A8-621-969</t>
  </si>
  <si>
    <t>Tuerca de SQUEEGGE p/ CHARIOT 3</t>
  </si>
  <si>
    <t>A8-640-811</t>
  </si>
  <si>
    <t>GAV 295</t>
  </si>
  <si>
    <t>A9-755-243</t>
  </si>
  <si>
    <t>ENROLLADOR de Manguera p/ K 5.68</t>
  </si>
  <si>
    <t>A2-863-290</t>
  </si>
  <si>
    <t>Boquilla Para Colchon VC 4S</t>
  </si>
  <si>
    <t>A6-330-245</t>
  </si>
  <si>
    <t>Resorte de Soporte BR 75/140</t>
  </si>
  <si>
    <t>A6-363-037</t>
  </si>
  <si>
    <t>Set de Oring p/ HDS 1295-557CI-558C-655-695-895 SB-HDW</t>
  </si>
  <si>
    <t>A6-390-177</t>
  </si>
  <si>
    <t>MANGUERA DE DESAGUE PARA BR 530</t>
  </si>
  <si>
    <t>A6-966-007</t>
  </si>
  <si>
    <t>Polea p/ KM 70/20</t>
  </si>
  <si>
    <t>GAV 523</t>
  </si>
  <si>
    <t>A8-600-351</t>
  </si>
  <si>
    <t>Filtro p/ BRC 38/30</t>
  </si>
  <si>
    <t>A9-036-801</t>
  </si>
  <si>
    <t>Codo K381</t>
  </si>
  <si>
    <t>A6-362-500</t>
  </si>
  <si>
    <t>A9-804-582</t>
  </si>
  <si>
    <t>ROL p/ HD 2.3/2.5</t>
  </si>
  <si>
    <t>C7-401-033</t>
  </si>
  <si>
    <t>ROL 6203</t>
  </si>
  <si>
    <t>4.035-607.0</t>
  </si>
  <si>
    <t>Flotador p/ BD 38/12</t>
  </si>
  <si>
    <t>A2-642-997</t>
  </si>
  <si>
    <t>Limpiador de Superficies FR 30</t>
  </si>
  <si>
    <t>A6-414-142</t>
  </si>
  <si>
    <t>FILTRO DE AGUA P/ HD1050 B</t>
  </si>
  <si>
    <t>GAV 123</t>
  </si>
  <si>
    <t>Base de Agarradera p/ HD 585 (Gris)</t>
  </si>
  <si>
    <t>A4-070-719</t>
  </si>
  <si>
    <t>ConTENEDOR de Aceite p/ HD 6/14 C</t>
  </si>
  <si>
    <t>2.863-294.0</t>
  </si>
  <si>
    <t>Bolsa de Filtro lavable para VC 1</t>
  </si>
  <si>
    <t>Turbina de Aspiración p/ B 250</t>
  </si>
  <si>
    <t>A6-682-306</t>
  </si>
  <si>
    <t>TARJETA ELECTRONICA PARA HDS 558C HDS 895 SB-HDW S2</t>
  </si>
  <si>
    <t>A8-756-796</t>
  </si>
  <si>
    <t>Inyector para equipo de gasolina</t>
  </si>
  <si>
    <t>A5-100-191</t>
  </si>
  <si>
    <t>Arbol de Transmisión p/ BR 530 TORNADO**</t>
  </si>
  <si>
    <t>Manguera p/ MANOMETRO p/ HDS 1055-1295-655-695-895</t>
  </si>
  <si>
    <t>A4-111-034</t>
  </si>
  <si>
    <t>Adaptador de Pistola Y Equipos (Easy Lock) p/ Manguera M22 X 1.5</t>
  </si>
  <si>
    <t>A2-644-048</t>
  </si>
  <si>
    <t>Boquilla Regulable p/ Equipos K</t>
  </si>
  <si>
    <t>C1</t>
  </si>
  <si>
    <t>A5-332-414</t>
  </si>
  <si>
    <t>A5-112-521</t>
  </si>
  <si>
    <t>GAV 1230</t>
  </si>
  <si>
    <t>D2-110-216</t>
  </si>
  <si>
    <t>EMPUÑADURA IZQ.</t>
  </si>
  <si>
    <t>A4-035-195</t>
  </si>
  <si>
    <t>Capo para B150</t>
  </si>
  <si>
    <t>A4-427-215</t>
  </si>
  <si>
    <t>Pieza de Nudos p/ HDS 558 ECO</t>
  </si>
  <si>
    <t>A5-114-468</t>
  </si>
  <si>
    <t>ANILLO DE MANGUERA</t>
  </si>
  <si>
    <t>GAV 286</t>
  </si>
  <si>
    <t>A6-363-031</t>
  </si>
  <si>
    <t>SET DE ORING (K 520)</t>
  </si>
  <si>
    <t>D2-111-114</t>
  </si>
  <si>
    <t>CUCHILLA P/ MC80/MC500</t>
  </si>
  <si>
    <t>A5-110-282</t>
  </si>
  <si>
    <t>CASQUILLO DE CERAMICA PARA HD 1000C HDS 1295 HDS 895</t>
  </si>
  <si>
    <t>a5-324-124</t>
  </si>
  <si>
    <t>PALPadOR p/ NT 35/1</t>
  </si>
  <si>
    <t>D2-120-028</t>
  </si>
  <si>
    <t>CARRUCHA PARA ORILLADORA</t>
  </si>
  <si>
    <t>Manguito p/ HD 6/15</t>
  </si>
  <si>
    <t>GAV 654</t>
  </si>
  <si>
    <t>A4-035-474</t>
  </si>
  <si>
    <t>REGULADOR de LA MARCHA p/ B60</t>
  </si>
  <si>
    <t>A6-362-468</t>
  </si>
  <si>
    <t>Set de Oring HD Y HDS</t>
  </si>
  <si>
    <t>A6-903-276</t>
  </si>
  <si>
    <t>Cepillo de Lavado Fijo</t>
  </si>
  <si>
    <t>A8-757-049</t>
  </si>
  <si>
    <t>Boquilla de ranuras para TV1</t>
  </si>
  <si>
    <t>B7-314-664</t>
  </si>
  <si>
    <t>Pin 3.0 x 20 p/ HD 585</t>
  </si>
  <si>
    <t>GAV 1177</t>
  </si>
  <si>
    <t>A4-651-026</t>
  </si>
  <si>
    <t>Luz de SEÑALIZACION p/ HDS 558</t>
  </si>
  <si>
    <t>A5-427-154</t>
  </si>
  <si>
    <t>Pieza de Nudos p/ HDS 1295, HDS 655, HDS 695, HDS 895</t>
  </si>
  <si>
    <t>I4632811</t>
  </si>
  <si>
    <t>Set de espojas lavables para M6</t>
  </si>
  <si>
    <t>B9-386-002</t>
  </si>
  <si>
    <t>Tornillo  p/ HD 585</t>
  </si>
  <si>
    <t>GAV 190</t>
  </si>
  <si>
    <t>D1-110-153</t>
  </si>
  <si>
    <t>RESORTE PARA MASTER 2001</t>
  </si>
  <si>
    <t>GAV 1139</t>
  </si>
  <si>
    <t>I4419699</t>
  </si>
  <si>
    <t>Depósito de Suciedad p/ Para Roomba 880</t>
  </si>
  <si>
    <t>AAA3</t>
  </si>
  <si>
    <t>A4-390-007</t>
  </si>
  <si>
    <t>Manguera de ASPIARACION BR 530 BAT PACK</t>
  </si>
  <si>
    <t>A5-731-646</t>
  </si>
  <si>
    <t>Cesto Filtrante p/ WD 3.200</t>
  </si>
  <si>
    <t>A8-632-478</t>
  </si>
  <si>
    <t>Carcasa Inferior p/ AXCESS 12</t>
  </si>
  <si>
    <t>A5-112-576</t>
  </si>
  <si>
    <t>Borner P/ HD 651-HDS 558 ***</t>
  </si>
  <si>
    <t>A7-343-029</t>
  </si>
  <si>
    <t>Anillo de Seguridad p/ B 40</t>
  </si>
  <si>
    <t>A8-613-678</t>
  </si>
  <si>
    <t>Tornillo p/ LIGHTNING 2000</t>
  </si>
  <si>
    <t>Turbina p/ VC 5100</t>
  </si>
  <si>
    <t>D2-110-116</t>
  </si>
  <si>
    <t>TAPA DE RUEDA PARA TRR 260-190</t>
  </si>
  <si>
    <t>A8-639-119</t>
  </si>
  <si>
    <t>Adaptador para pistola de PS 4/7</t>
  </si>
  <si>
    <t>GAV 1284</t>
  </si>
  <si>
    <t>B5-584-135</t>
  </si>
  <si>
    <t>GAV 645</t>
  </si>
  <si>
    <t>A4-762-400</t>
  </si>
  <si>
    <t>Cepillo p/EB 30/1</t>
  </si>
  <si>
    <t>A9-804-585</t>
  </si>
  <si>
    <t>SELLO p/ CIGUEÑAL p/ HD2.5</t>
  </si>
  <si>
    <t>GAV 1167</t>
  </si>
  <si>
    <t>D2-120-025</t>
  </si>
  <si>
    <t>COBERTOR DE CUERDA</t>
  </si>
  <si>
    <t>9.765-231.0</t>
  </si>
  <si>
    <t>Interruptor  control de rotaciones para VC 1</t>
  </si>
  <si>
    <t>A4-035-339</t>
  </si>
  <si>
    <t>Polea de Barra de Aspiración p/ B 40-60- 140</t>
  </si>
  <si>
    <t>A5-070-521</t>
  </si>
  <si>
    <t>DEPOSITO DE ACEITE  PARA HDS 558</t>
  </si>
  <si>
    <t>D1-111-546</t>
  </si>
  <si>
    <t>JUN TA PARA ES-400</t>
  </si>
  <si>
    <t>A1-258-004</t>
  </si>
  <si>
    <t>Escoba Doméstica KB 5 * MX</t>
  </si>
  <si>
    <t>BOD 7</t>
  </si>
  <si>
    <t>Sujeccion de placa para B60</t>
  </si>
  <si>
    <t>A8-621-514</t>
  </si>
  <si>
    <t>BARRERA p/ BDP 51/1500</t>
  </si>
  <si>
    <t>GAV 1169</t>
  </si>
  <si>
    <t>A8-631-095</t>
  </si>
  <si>
    <t>Sujecion de barra de ajuste</t>
  </si>
  <si>
    <t>D2-111-527</t>
  </si>
  <si>
    <t>CUCHILLA PARA RM 600</t>
  </si>
  <si>
    <t>Vidrio de Señal de Nivel de  Aceite</t>
  </si>
  <si>
    <t>A5-055-526</t>
  </si>
  <si>
    <t>Tapa de cierre para FC 3</t>
  </si>
  <si>
    <t>GAV 1357</t>
  </si>
  <si>
    <t>A6-415-664</t>
  </si>
  <si>
    <t>INYECTOR PARA HDS 558 C 0.85</t>
  </si>
  <si>
    <t>GAV 921</t>
  </si>
  <si>
    <t>A8-613-729</t>
  </si>
  <si>
    <t>Arandela p/ LIGHTNING 2000</t>
  </si>
  <si>
    <t>GAV 35</t>
  </si>
  <si>
    <t>Tornillo de Estrella p/ NT 90/2</t>
  </si>
  <si>
    <t>A2-645-180</t>
  </si>
  <si>
    <t>Enrollador de Manguera HT 3.400</t>
  </si>
  <si>
    <t>Rueda de Ajuste p/ CV 30/1</t>
  </si>
  <si>
    <t>A5-033-183</t>
  </si>
  <si>
    <t>Palanca de Cierre p/ BR 30/4</t>
  </si>
  <si>
    <t>PERNO DE VALVULA P HDS 558 C-655-895 - 7/11 - HD 7/13</t>
  </si>
  <si>
    <t>GAV 644</t>
  </si>
  <si>
    <t>A6-630-294</t>
  </si>
  <si>
    <t>MicroInterruptor p/ KM 105</t>
  </si>
  <si>
    <t>GAV 813</t>
  </si>
  <si>
    <t>A8-614-231</t>
  </si>
  <si>
    <t>Cable INTERNO p/ SENSOR XP</t>
  </si>
  <si>
    <t>A8-639-118</t>
  </si>
  <si>
    <t>Cobertor de boquilla para PS 4/7</t>
  </si>
  <si>
    <t>GAV 1369</t>
  </si>
  <si>
    <t>A9-036-444</t>
  </si>
  <si>
    <t>Acople p/ K370-209</t>
  </si>
  <si>
    <t>GAV 219</t>
  </si>
  <si>
    <t>A2-642-430</t>
  </si>
  <si>
    <t>Set de Boquilla 0.35  P/ FRV 30 p/ HD 5/12 - HDS 558 - HD FOOD</t>
  </si>
  <si>
    <t>A6-362-498</t>
  </si>
  <si>
    <t>ORING 6.75 X 1.78 PARA K 2.00 K 270 K 520M PUZZI 100 PUZZI 200 PUZZI 300</t>
  </si>
  <si>
    <t>GAV 601</t>
  </si>
  <si>
    <t>A6-905-038</t>
  </si>
  <si>
    <t>FijaCION deRECHA</t>
  </si>
  <si>
    <t>GAV 514</t>
  </si>
  <si>
    <t>C7-401-123</t>
  </si>
  <si>
    <t>ROLL 6205</t>
  </si>
  <si>
    <t>A4-553-231</t>
  </si>
  <si>
    <t>Pistón p/ HD 3.0</t>
  </si>
  <si>
    <t>A6-414-280</t>
  </si>
  <si>
    <t>A7-304-098-1</t>
  </si>
  <si>
    <t>Tornillo HEXAGONAL M8 X 80-8.8 p/ G 2500</t>
  </si>
  <si>
    <t>GAV 1204</t>
  </si>
  <si>
    <t>A8-613-838</t>
  </si>
  <si>
    <t>Set de Carbones p/ AXCESS 12</t>
  </si>
  <si>
    <t>B9-311-825</t>
  </si>
  <si>
    <t>Acople PARA HDC</t>
  </si>
  <si>
    <t>A5-110-707</t>
  </si>
  <si>
    <t>Casquillo p/ HD 830 G 2500***</t>
  </si>
  <si>
    <t>A6-631-768</t>
  </si>
  <si>
    <t>ACOPLE DE INTERRUPTOR PARA BR 530 TORNADO</t>
  </si>
  <si>
    <t>GAV 158</t>
  </si>
  <si>
    <t>A6-903-217</t>
  </si>
  <si>
    <t>Interruptor BV 111</t>
  </si>
  <si>
    <t>A5-363-344</t>
  </si>
  <si>
    <t>Anillo de Obturación p/ BR 40-10, B140</t>
  </si>
  <si>
    <t>A5-427-249</t>
  </si>
  <si>
    <t>Pieza de Nudos p/  HDS 558 C</t>
  </si>
  <si>
    <t>A6-490-274</t>
  </si>
  <si>
    <t>PROTECCION TERMICA BV 5/1</t>
  </si>
  <si>
    <t>GAV 191</t>
  </si>
  <si>
    <t>A8-755-855</t>
  </si>
  <si>
    <t>Tapa de tanque para K1700</t>
  </si>
  <si>
    <t>B6-362-550</t>
  </si>
  <si>
    <t>Oring 21,89 X 2,62</t>
  </si>
  <si>
    <t>C0-000-088</t>
  </si>
  <si>
    <t>Carburador p/ GX 200</t>
  </si>
  <si>
    <t>Bomba Cilíndrica Inclinada</t>
  </si>
  <si>
    <t>ÑÑ5</t>
  </si>
  <si>
    <t>Varilla del Respiradero</t>
  </si>
  <si>
    <t>A6-348-374</t>
  </si>
  <si>
    <t>Correa deNTADA HTD 475-5M-30-CXP</t>
  </si>
  <si>
    <t>Filtro de Membrana p/ NT 90/2- 70/2</t>
  </si>
  <si>
    <t>D2-122-311</t>
  </si>
  <si>
    <t>Saranda N.12</t>
  </si>
  <si>
    <t>A6-661-217</t>
  </si>
  <si>
    <t>Condesandor ANTIp/SITO HDS 558</t>
  </si>
  <si>
    <t>A7-311-072</t>
  </si>
  <si>
    <t>Tuerca HEXAGONAL M16</t>
  </si>
  <si>
    <t>GAV 1153</t>
  </si>
  <si>
    <t>A8-640-816</t>
  </si>
  <si>
    <t>Cobertor para sensor s12</t>
  </si>
  <si>
    <t>A9-149-005</t>
  </si>
  <si>
    <t>Conector p/ HD 2.5</t>
  </si>
  <si>
    <t>GAV 1044</t>
  </si>
  <si>
    <t>A9-152-372</t>
  </si>
  <si>
    <t>Anillo de Pistón p/ HD 2.3- 2.5</t>
  </si>
  <si>
    <t>Fusible 125A BR 55/60W</t>
  </si>
  <si>
    <t>GAV 992</t>
  </si>
  <si>
    <t>A9-011-852</t>
  </si>
  <si>
    <t>Guía de Pistones K 3.68</t>
  </si>
  <si>
    <t>C7-401-148</t>
  </si>
  <si>
    <t>ROLL 6305</t>
  </si>
  <si>
    <t>HL018200AV</t>
  </si>
  <si>
    <t>Filtro de Compresor de 8 Galones</t>
  </si>
  <si>
    <t>A6-362-533</t>
  </si>
  <si>
    <t>ORING 14.0 X 1.5 PARA HD 1090 HD 1050 B HD 1094  HD 5/12C - HD 7/13***</t>
  </si>
  <si>
    <t>A6-362-534</t>
  </si>
  <si>
    <t>ORING 18.0 X 2.0 PARA HD 1000C HDS 1055 HDS 1295 HDS 655 HDS 695 HDS 895 K 205 K 520M K 620M SB-HDW</t>
  </si>
  <si>
    <t>GAV 97</t>
  </si>
  <si>
    <t>A8-613-805</t>
  </si>
  <si>
    <t>SEGURO p/ SENXOR XP 12</t>
  </si>
  <si>
    <t>A8-623-608</t>
  </si>
  <si>
    <t>Filtro EXTERNO  p/ Windsor WAVE</t>
  </si>
  <si>
    <t>A9-761-081</t>
  </si>
  <si>
    <t>Anillo de Guarnición p/ 6/15</t>
  </si>
  <si>
    <t>GAV 125</t>
  </si>
  <si>
    <t>A1-667-200</t>
  </si>
  <si>
    <t>Aspiradora NT 70/2 Me Classic</t>
  </si>
  <si>
    <t>A2-884-877</t>
  </si>
  <si>
    <t>Set de VálvulaS p/ K 5.85</t>
  </si>
  <si>
    <t>A4-680-135</t>
  </si>
  <si>
    <t>SERPENTIN HDS 7/11</t>
  </si>
  <si>
    <t>A8-757-051</t>
  </si>
  <si>
    <t>Set de tubos para TV1</t>
  </si>
  <si>
    <t>Interruptor P/VC 1800</t>
  </si>
  <si>
    <t>A5-427-178</t>
  </si>
  <si>
    <t>CLAVIJA de NUDO</t>
  </si>
  <si>
    <t>A6-371-246-1</t>
  </si>
  <si>
    <t>Pad Diamantado Blanco 280MM p/ B60</t>
  </si>
  <si>
    <t>A8-756-365</t>
  </si>
  <si>
    <t>Rueda para HD 2.0/1000</t>
  </si>
  <si>
    <t>A9-802-603</t>
  </si>
  <si>
    <t>Set de VálvulaS p/ HD 3.8 - 3.5..... 6 unidades</t>
  </si>
  <si>
    <t>A5-035-404</t>
  </si>
  <si>
    <t>Empuñadura GIRATORIA p/ B 60 - B 40</t>
  </si>
  <si>
    <t>A5-055-530</t>
  </si>
  <si>
    <t>Alojamiento de deposito para FC 3</t>
  </si>
  <si>
    <t>GAV 1311</t>
  </si>
  <si>
    <t>A6-651-645</t>
  </si>
  <si>
    <t>Luz de SEÑALIZACION</t>
  </si>
  <si>
    <t>GAV 1043</t>
  </si>
  <si>
    <t>B9-385-509</t>
  </si>
  <si>
    <t>SENSOR DE FLUJO PARA  HDC 24/15-4 * 36/15-4</t>
  </si>
  <si>
    <t>D1-110-161</t>
  </si>
  <si>
    <t>TORNILLO PARA MASTER 2001</t>
  </si>
  <si>
    <t>GAV 1074</t>
  </si>
  <si>
    <t>MC036400SJ</t>
  </si>
  <si>
    <t>Motor Eléctrico 5 HP 208/2</t>
  </si>
  <si>
    <t>III8</t>
  </si>
  <si>
    <t>A5-055-439</t>
  </si>
  <si>
    <t>Cubierta de cabezal de cepillos para FC 5</t>
  </si>
  <si>
    <t>Oring 28.0 X 3.0 ConTEN. Aceite HD 7/12 Y HD 10/25</t>
  </si>
  <si>
    <t>GAV 154</t>
  </si>
  <si>
    <t>A9-755-494</t>
  </si>
  <si>
    <t>Interruptor p/ BD 50/60 BD 43/35</t>
  </si>
  <si>
    <t>A5-365-172</t>
  </si>
  <si>
    <t>Empaque K 620 M</t>
  </si>
  <si>
    <t>GAV 692</t>
  </si>
  <si>
    <t>A6-467-049</t>
  </si>
  <si>
    <t>FRENO MAGNETICO p/ B250</t>
  </si>
  <si>
    <t>Arandela de Presión p/  BR 75/140- B 60</t>
  </si>
  <si>
    <t>A9-803-098</t>
  </si>
  <si>
    <t>AGARAdeRA p/ HD 3.8</t>
  </si>
  <si>
    <t>Arandela p/ HD 1090-10/25</t>
  </si>
  <si>
    <t>GAV 659</t>
  </si>
  <si>
    <t>A8-614-356</t>
  </si>
  <si>
    <t>Cobertor de Motor p/ SENSOR XP 12</t>
  </si>
  <si>
    <t>A1-098-305</t>
  </si>
  <si>
    <t>Aspiradora Doméstica WD 1 *MX</t>
  </si>
  <si>
    <t>A4-055-228</t>
  </si>
  <si>
    <t>Conduccion de aire para FC 5</t>
  </si>
  <si>
    <t>A5-645-674</t>
  </si>
  <si>
    <t>Tubo izquierdo para HD 4/9</t>
  </si>
  <si>
    <t>BloqueO p/ HD 4/9</t>
  </si>
  <si>
    <t>A8-711-898</t>
  </si>
  <si>
    <t>Rueda p/ HD 3.4</t>
  </si>
  <si>
    <t>Manguera de Aspiración p/ WD 3</t>
  </si>
  <si>
    <t>Parte Superior CV 30/1</t>
  </si>
  <si>
    <t>RESORTE HELICOIDAL p/ HD 3.5</t>
  </si>
  <si>
    <t>GAV 752</t>
  </si>
  <si>
    <t>Interruptor A2101 - A2204 - WD 3200</t>
  </si>
  <si>
    <t>GAV 1590</t>
  </si>
  <si>
    <t>A4-062-008</t>
  </si>
  <si>
    <t>Carcasa Superior PRA CV 38/2</t>
  </si>
  <si>
    <t>A4-775-423</t>
  </si>
  <si>
    <t>PISTOLA DE PROYECCION MANUAL</t>
  </si>
  <si>
    <t>A6-110-038</t>
  </si>
  <si>
    <t>Manguera de 10 Metros DN8 p/ HDS (Versión Nueva)</t>
  </si>
  <si>
    <t>Lanza p/ G4000 G2500</t>
  </si>
  <si>
    <t>D1-111-060</t>
  </si>
  <si>
    <t>GAV 874</t>
  </si>
  <si>
    <t>A5-115-844</t>
  </si>
  <si>
    <t>Disco HDS 558 C</t>
  </si>
  <si>
    <t>A5-332-529</t>
  </si>
  <si>
    <t>Resorte para HD 7/13</t>
  </si>
  <si>
    <t>A6-630-978</t>
  </si>
  <si>
    <t>Interruptor para HD 7/13</t>
  </si>
  <si>
    <t>A7-312-003</t>
  </si>
  <si>
    <t>Disco p/ BRAZO GIRATORIA</t>
  </si>
  <si>
    <t>GAV 349</t>
  </si>
  <si>
    <t>D2-122-502</t>
  </si>
  <si>
    <t>CONJUNTO DE SOPORTE DE CUCHILLAS PARA TRC 40-50</t>
  </si>
  <si>
    <t>A9-763-050</t>
  </si>
  <si>
    <t>PERFIL OBTURADOR p/ BD 50/60 BD 43/35</t>
  </si>
  <si>
    <t>9.080-494.0</t>
  </si>
  <si>
    <t>Anillo de guarnicion 20x2 p/ K5</t>
  </si>
  <si>
    <t>GAV 634</t>
  </si>
  <si>
    <t>A5-365-181</t>
  </si>
  <si>
    <t>Empaque p/ HD 7/12</t>
  </si>
  <si>
    <t>GAV 559</t>
  </si>
  <si>
    <t>A6-296-108</t>
  </si>
  <si>
    <t>RM 660 Cera para Pulir (0,5 litro)</t>
  </si>
  <si>
    <t>Manguera de Aspiración p/ WD 3.200, A2204, A2004</t>
  </si>
  <si>
    <t>A2-863-172</t>
  </si>
  <si>
    <t>Kit de Paños de Microfibra p/ Vaporizadores</t>
  </si>
  <si>
    <t>A2-885-049</t>
  </si>
  <si>
    <t>Boquilla 40065 p/ HDS 3.5</t>
  </si>
  <si>
    <t>A4-553-215</t>
  </si>
  <si>
    <t>Pistón p/  G 4.10</t>
  </si>
  <si>
    <t>A8-925-154</t>
  </si>
  <si>
    <t>Manguera p/ HD 2.5- 2.3-3.5- 3.8</t>
  </si>
  <si>
    <t>CC4</t>
  </si>
  <si>
    <t>B9-311-795</t>
  </si>
  <si>
    <t>VALVULA DE SEGURIDAD PARA HDC 24/15</t>
  </si>
  <si>
    <t>B9-340-014</t>
  </si>
  <si>
    <t>TAPA DE RUEDA ( HD 585 )</t>
  </si>
  <si>
    <t>A5-032-641</t>
  </si>
  <si>
    <t>Pieza Perfilada p/ KM 70/20</t>
  </si>
  <si>
    <t>A5-037-029</t>
  </si>
  <si>
    <t>ARTICULACION p/ BD 38/12</t>
  </si>
  <si>
    <t>A5-037-030</t>
  </si>
  <si>
    <t>FijaCION de Barra p/ BD 38/12</t>
  </si>
  <si>
    <t>A6-415-817</t>
  </si>
  <si>
    <t>Orificio de la boquilla</t>
  </si>
  <si>
    <t>GAV 498</t>
  </si>
  <si>
    <t>A6-903-278</t>
  </si>
  <si>
    <t>Juego de Barras de Cepillo p/ T 201, NT 181, NT 48/1</t>
  </si>
  <si>
    <t>A6-903-284</t>
  </si>
  <si>
    <t>Boquilla de Piso p/ NT 35/1, NT 48/1, NT 361</t>
  </si>
  <si>
    <t>Codo de Entrada de Agua p/ K2</t>
  </si>
  <si>
    <t>A9-802-773</t>
  </si>
  <si>
    <t>Tuercas para HD 3.5/40</t>
  </si>
  <si>
    <t>GAV 798</t>
  </si>
  <si>
    <t>A2-642-789</t>
  </si>
  <si>
    <t>Prolongacion de Manguera p/ Equipo Doméstico</t>
  </si>
  <si>
    <t>Y5</t>
  </si>
  <si>
    <t>A4-550-708</t>
  </si>
  <si>
    <t>Culata de Cilindro p/ HD 7/12. USAR 804</t>
  </si>
  <si>
    <t>Juego de RuedaS p/ HD 7/12</t>
  </si>
  <si>
    <t>A5-664-195</t>
  </si>
  <si>
    <t>Pieza deL QUEMADOR p/ HDS 3.5</t>
  </si>
  <si>
    <t>A6-415-682</t>
  </si>
  <si>
    <t>Inyector p/ HDS 895 ECO 1.35</t>
  </si>
  <si>
    <t>GAV 987</t>
  </si>
  <si>
    <t>A6-651-647</t>
  </si>
  <si>
    <t>Adaptador p/ HD 2.3</t>
  </si>
  <si>
    <t>A8-641-281</t>
  </si>
  <si>
    <t>Filtro para Sensor XP 12</t>
  </si>
  <si>
    <t>A5-363-681</t>
  </si>
  <si>
    <t>A2-880-990</t>
  </si>
  <si>
    <t>Set de Oring  p/ HD &amp; HDS  (5 unidades)</t>
  </si>
  <si>
    <t>A7-343-015</t>
  </si>
  <si>
    <t>Arandela de Seguridad p/ BR 35/12</t>
  </si>
  <si>
    <t>A9-039-188</t>
  </si>
  <si>
    <t>Abánico de Motor K 2.93 - 2.68</t>
  </si>
  <si>
    <t>D2-110-178</t>
  </si>
  <si>
    <t>RODILLO PARA MASTER 2001</t>
  </si>
  <si>
    <t>Retenedor Intermedio p/ G 2500</t>
  </si>
  <si>
    <t>GAV 811</t>
  </si>
  <si>
    <t>A6-966-009</t>
  </si>
  <si>
    <t>Tubo p/ KM 70/20</t>
  </si>
  <si>
    <t>GAV 1356</t>
  </si>
  <si>
    <t>D1-110-205</t>
  </si>
  <si>
    <t>GAV 854</t>
  </si>
  <si>
    <t>Turbina p/ T15/1 - T10/1 - BV 5/1</t>
  </si>
  <si>
    <t>C7-401-035</t>
  </si>
  <si>
    <t>Rol 6002</t>
  </si>
  <si>
    <t>D2-120-007</t>
  </si>
  <si>
    <t>CARRETE PARA MASTER 350</t>
  </si>
  <si>
    <t>A9-104-016</t>
  </si>
  <si>
    <t>Set de BoquillaS G 2500</t>
  </si>
  <si>
    <t>D2-111-168</t>
  </si>
  <si>
    <t>CAPO PRICIPAL</t>
  </si>
  <si>
    <t>Set de Bomba p/ HD 10/25, HD 3.5/30 -4s</t>
  </si>
  <si>
    <t>A8-600-182</t>
  </si>
  <si>
    <t>Juego de Carbones p/ BDP 51/1500</t>
  </si>
  <si>
    <t>GAV 548</t>
  </si>
  <si>
    <t>A8-920-045</t>
  </si>
  <si>
    <t>Set de Reparación del By Pass p/ HD 2.3/2.5</t>
  </si>
  <si>
    <t>B9-302-006</t>
  </si>
  <si>
    <t>SET DE BOMBA K 340-JUNIOR</t>
  </si>
  <si>
    <t>B9-386-004</t>
  </si>
  <si>
    <t>Tornillo de Agarradera</t>
  </si>
  <si>
    <t>GAV 176</t>
  </si>
  <si>
    <t>D2-122-323</t>
  </si>
  <si>
    <t>SARANDA N. 12 PARA TRF-500/700</t>
  </si>
  <si>
    <t>VP20B</t>
  </si>
  <si>
    <t>Batería Iones de Litio de 16.8 voltios, 6800mAh</t>
  </si>
  <si>
    <t>4.427-039.0</t>
  </si>
  <si>
    <t>Clavija de Nudos p/ HDS 3.5</t>
  </si>
  <si>
    <t>A4-035-414</t>
  </si>
  <si>
    <t>Interruptor PRINCIPAL p/ B 40 Eléctrica</t>
  </si>
  <si>
    <t>A5-250-152</t>
  </si>
  <si>
    <t>HuleS p/ PUZZI 8/1</t>
  </si>
  <si>
    <t>GAV 1028</t>
  </si>
  <si>
    <t>A6-296-106</t>
  </si>
  <si>
    <t>RM 651** Limpiador de Interiores (0,5 L)</t>
  </si>
  <si>
    <t>A2-642-982</t>
  </si>
  <si>
    <t>Set de Boquillas p/ FRV 30</t>
  </si>
  <si>
    <t>A2-863-161</t>
  </si>
  <si>
    <t>Separador Previo de Filtro p/ Suciedad</t>
  </si>
  <si>
    <t>Manguera de Sálida Con Tapa Amarilla p/B40 &amp; B60 NEW</t>
  </si>
  <si>
    <t>A6-414-282</t>
  </si>
  <si>
    <t>CRIBA - Filtro P/ HD 1000-1050- 700B</t>
  </si>
  <si>
    <t>GAV 132</t>
  </si>
  <si>
    <t>A7-304-382</t>
  </si>
  <si>
    <t>Tornillo HEXAGONAL p/ KM 1700</t>
  </si>
  <si>
    <t>GAV 510</t>
  </si>
  <si>
    <t>A8-706-731</t>
  </si>
  <si>
    <t>Bushing 3/4 para PS 4/7</t>
  </si>
  <si>
    <t>GAV 1300</t>
  </si>
  <si>
    <t>RESORTE p/ HD 6/15</t>
  </si>
  <si>
    <t>A2-884-903</t>
  </si>
  <si>
    <t>Set de Válvula p/ HDS 1055, HDS,655, HDS 895 VIEJA ,HDS 9/16-4 ST,HDS 1291 ST,HDS 12/14-4 ST ECO</t>
  </si>
  <si>
    <t>A4-070-632</t>
  </si>
  <si>
    <t>Depósito de SUCIEDAD p/ PUZZI 8/1</t>
  </si>
  <si>
    <t>A4-682-001</t>
  </si>
  <si>
    <t>Tarjeta Electrónica CV 30/1 CV 38/1 CV 48/2</t>
  </si>
  <si>
    <t>A4-682-103</t>
  </si>
  <si>
    <t>Tarjeta p/ PUZZI 8/1</t>
  </si>
  <si>
    <t>A5-037-051</t>
  </si>
  <si>
    <t>Labio Antisalpicaduras p/ BD 38/12</t>
  </si>
  <si>
    <t>A6-369-726</t>
  </si>
  <si>
    <t>Pad Rojo P/Cilindro ( UNIDAdeS) p/ BR 40/25-40/10-400</t>
  </si>
  <si>
    <t>A6-369-895</t>
  </si>
  <si>
    <t>Cepillo Rojo WEISS p/ BDS 43/150</t>
  </si>
  <si>
    <t>A6-415-775</t>
  </si>
  <si>
    <t>Inyector p/ HDS 655, HDS 558 - HDS 7/11</t>
  </si>
  <si>
    <t>GAV 197</t>
  </si>
  <si>
    <t>A6-631-747</t>
  </si>
  <si>
    <t>INTERRUPTOR (BR 400)</t>
  </si>
  <si>
    <t>GAV 1232</t>
  </si>
  <si>
    <t>N0000SE1322A</t>
  </si>
  <si>
    <t>ACC/ Alpha Balde Plástico Hermético " TOP DOWN"  (Azul 20 litros)</t>
  </si>
  <si>
    <t>A2-642-729</t>
  </si>
  <si>
    <t>Boquilla Turbo DB 180</t>
  </si>
  <si>
    <t>A4-050-956</t>
  </si>
  <si>
    <t>Válvula de RETENCION p/ BR 40/10</t>
  </si>
  <si>
    <t>GAV 356</t>
  </si>
  <si>
    <t>A4-762-445</t>
  </si>
  <si>
    <t>Porta Pad B 60 D</t>
  </si>
  <si>
    <t>Turbina de Aspiración p/ BR 35/12</t>
  </si>
  <si>
    <t>I4624873</t>
  </si>
  <si>
    <t>Rueda derecha para serie E &amp; I</t>
  </si>
  <si>
    <t>A6-907-519</t>
  </si>
  <si>
    <t>Filtro de Aire p/ KM 105</t>
  </si>
  <si>
    <t>A8-639-020</t>
  </si>
  <si>
    <t>Bushing 1/2 para PS 4/7</t>
  </si>
  <si>
    <t>GAV 1289</t>
  </si>
  <si>
    <t>I4639161</t>
  </si>
  <si>
    <t>Set de 3 filtros p/ Roomba series E &amp; I</t>
  </si>
  <si>
    <t>By Pass p/ HD 3.5</t>
  </si>
  <si>
    <t>A5-332-169</t>
  </si>
  <si>
    <t>RESORTE de COMPRESION p/ DS 5.800</t>
  </si>
  <si>
    <t>GAV 636</t>
  </si>
  <si>
    <t>RETENEDOR de Aceite p/HDS 655</t>
  </si>
  <si>
    <t>GAV 621</t>
  </si>
  <si>
    <t>A4-472-008</t>
  </si>
  <si>
    <t>Bomba Completa p/ SGV 6/5</t>
  </si>
  <si>
    <t>A5-332-460</t>
  </si>
  <si>
    <t>RESORTE HELICOIDAL HDS 558 C</t>
  </si>
  <si>
    <t>GAV 211</t>
  </si>
  <si>
    <t>A6-369-079</t>
  </si>
  <si>
    <t>PAD Rojo de 20"</t>
  </si>
  <si>
    <t>Filtro de Aire P/ NT 65/2, NT 72/2</t>
  </si>
  <si>
    <t>A8-600-382</t>
  </si>
  <si>
    <t>A9-802-889</t>
  </si>
  <si>
    <t>GAV 455</t>
  </si>
  <si>
    <t>Rueda p/ NT 38/1- 20/1</t>
  </si>
  <si>
    <t>D2-110-209</t>
  </si>
  <si>
    <t>PROTECCION DE SALIDA PARA MC 50/80/600</t>
  </si>
  <si>
    <t>A4-775-529</t>
  </si>
  <si>
    <t>Pistola de Proyección Manual p/ HD 5/12, HD 801 B</t>
  </si>
  <si>
    <t>A5-112-875</t>
  </si>
  <si>
    <t>Borner p/ HD 6/14 C</t>
  </si>
  <si>
    <t>GAV 663</t>
  </si>
  <si>
    <t>A8-639-285</t>
  </si>
  <si>
    <t>Filtro HEPA p/ VAC PAC 6</t>
  </si>
  <si>
    <t>PRENSA de Filtro p/ NT 48/1</t>
  </si>
  <si>
    <t>A2-885-139</t>
  </si>
  <si>
    <t>Set de VálvulaS p/ HDS E 3.3</t>
  </si>
  <si>
    <t>A4-035-426</t>
  </si>
  <si>
    <t>Llave de bola para B60</t>
  </si>
  <si>
    <t>A4-070-904</t>
  </si>
  <si>
    <t>Depósito de RECAMBIO p/ HDS 7/11</t>
  </si>
  <si>
    <t>A5-110-177</t>
  </si>
  <si>
    <t>Manguito p/ B 140</t>
  </si>
  <si>
    <t>GAV 678</t>
  </si>
  <si>
    <t>A5-515-397</t>
  </si>
  <si>
    <t>Rueda p/ Equipo DOMESTICO</t>
  </si>
  <si>
    <t>A4-071-017.3</t>
  </si>
  <si>
    <t>Deposito completo para OC 3</t>
  </si>
  <si>
    <t>MANOMETRO p/ HD 10/25, , HD 3.5/30 -4S</t>
  </si>
  <si>
    <t>Pistón COMPLETO P HD 7/12***</t>
  </si>
  <si>
    <t>a4-744-239</t>
  </si>
  <si>
    <t>Microinterruptor completo p/ HD 3.5</t>
  </si>
  <si>
    <t>A5-001-752</t>
  </si>
  <si>
    <t>Chapa</t>
  </si>
  <si>
    <t>Arandela de PRESION p/ B60</t>
  </si>
  <si>
    <t>GAV 240</t>
  </si>
  <si>
    <t>A9-761-078</t>
  </si>
  <si>
    <t>Disco D9.3 X 24 p/ HD 6/15</t>
  </si>
  <si>
    <t>GAV 653</t>
  </si>
  <si>
    <t>6.363-516.0</t>
  </si>
  <si>
    <t>Oring 8.5 X 2</t>
  </si>
  <si>
    <t>GAV 768</t>
  </si>
  <si>
    <t>A5-035-346</t>
  </si>
  <si>
    <t>CARCASA INFERIOR DE PANEL PARA B 40</t>
  </si>
  <si>
    <t>a6-362-853</t>
  </si>
  <si>
    <t>Oring 4.47 X 1.78</t>
  </si>
  <si>
    <t>GAV 603</t>
  </si>
  <si>
    <t>A6-491-349</t>
  </si>
  <si>
    <t>Bobina de encendido para KM 100/100</t>
  </si>
  <si>
    <t>A9-763-174</t>
  </si>
  <si>
    <t>Condesandor de 110 MF p/ BD 50/60</t>
  </si>
  <si>
    <t>A6-296-048</t>
  </si>
  <si>
    <t>RM 667 Limpiador de Llantas (0.5 litros)</t>
  </si>
  <si>
    <t>Bolsa de Papel p/CV 30/1 - 38/2 - 48/2 (10 unidades)</t>
  </si>
  <si>
    <t>R2</t>
  </si>
  <si>
    <t>A8-640-617</t>
  </si>
  <si>
    <t>Cobertor Superior p/ SENSOR XP 12</t>
  </si>
  <si>
    <t>A7-303-128</t>
  </si>
  <si>
    <t>Tornillo p/ SB DUO</t>
  </si>
  <si>
    <t>GAV 533</t>
  </si>
  <si>
    <t>A8-613-728</t>
  </si>
  <si>
    <t>Arandela p/ BOLT 17/20</t>
  </si>
  <si>
    <t>GAV 1004</t>
  </si>
  <si>
    <t>A8-755-848</t>
  </si>
  <si>
    <t>Limpiador de superficies para K1700</t>
  </si>
  <si>
    <t>A5-407-135</t>
  </si>
  <si>
    <t>Manguito de Aspiración p/ CV 30/1</t>
  </si>
  <si>
    <t>A6-645-013</t>
  </si>
  <si>
    <t>Caja de DISTRIBUCION p/ B250</t>
  </si>
  <si>
    <t>D2-111-135</t>
  </si>
  <si>
    <t>SOPORTE DE MOTOR TRF 70</t>
  </si>
  <si>
    <t>A2-863-011</t>
  </si>
  <si>
    <t>Set de Cepillos p/ SGV 6/5</t>
  </si>
  <si>
    <t>Tapa de Rueda p/ HD 4/9 NT 30/1</t>
  </si>
  <si>
    <t>A5-762-323</t>
  </si>
  <si>
    <t>Cepillo p/ Juntas p/ B90</t>
  </si>
  <si>
    <t>A6-645-538</t>
  </si>
  <si>
    <t>Conector  p/ Equipos de Gasolina</t>
  </si>
  <si>
    <t>Cabezal de Cilindro Superior K 226</t>
  </si>
  <si>
    <t>D2-120-020</t>
  </si>
  <si>
    <t>MARIPOSA PLASTICA 1/4"</t>
  </si>
  <si>
    <t>GAV 1467</t>
  </si>
  <si>
    <t>A5-401-321</t>
  </si>
  <si>
    <t>Cobertor de Boquilla p/ HD 9/50</t>
  </si>
  <si>
    <t>A5-402-075</t>
  </si>
  <si>
    <t>Arbolde PROPULSION de Cepillos</t>
  </si>
  <si>
    <t>GAV 467</t>
  </si>
  <si>
    <t>A6-295-743</t>
  </si>
  <si>
    <t>RM 615 Shampoo Ultra Espuma (1 Litro)</t>
  </si>
  <si>
    <t>4.324-002.0</t>
  </si>
  <si>
    <t>Turbina de Aspiración p/ NT 30/1</t>
  </si>
  <si>
    <t>Disco p/  HDS 1055-655-895-SB-HDW S2-HD 10/25***</t>
  </si>
  <si>
    <t>GAV 664</t>
  </si>
  <si>
    <t>A6-622-354</t>
  </si>
  <si>
    <t>Transformador de ConTROL 460V</t>
  </si>
  <si>
    <t>A8-637-627</t>
  </si>
  <si>
    <t>Acumulador para PS 4/7</t>
  </si>
  <si>
    <t>A9-172-302</t>
  </si>
  <si>
    <t>Set de PiezaS p/ HD 4/0</t>
  </si>
  <si>
    <t>A4-063-807</t>
  </si>
  <si>
    <t>TAPA DE DEPOSITO</t>
  </si>
  <si>
    <t>A5-036-103</t>
  </si>
  <si>
    <t>BALANCIN p/ BD 50/60</t>
  </si>
  <si>
    <t>A5-394-887</t>
  </si>
  <si>
    <t>Labio de CepilloCentral p/ KM 105</t>
  </si>
  <si>
    <t>Embolo p/ HD 4/9</t>
  </si>
  <si>
    <t>A2-885-411</t>
  </si>
  <si>
    <t>Kit Boquilla de Pisos p/  SC 1</t>
  </si>
  <si>
    <t>Válvula DOSIFICADORA p/ HD 7/12</t>
  </si>
  <si>
    <t>A6-321-239</t>
  </si>
  <si>
    <t>Mango ESTRELLADO BR 40/25</t>
  </si>
  <si>
    <t>a6-435-250</t>
  </si>
  <si>
    <t>RODILLO de DIRECCION p/ SG 4/4</t>
  </si>
  <si>
    <t>A5-411-166</t>
  </si>
  <si>
    <t>Tornillo de Cierre p/ HD 3.5</t>
  </si>
  <si>
    <t>GAV 1202</t>
  </si>
  <si>
    <t>A6-904-097</t>
  </si>
  <si>
    <t>Filtro de Aire T 201  (5 unidades)</t>
  </si>
  <si>
    <t>Q1</t>
  </si>
  <si>
    <t>A8-621-636</t>
  </si>
  <si>
    <t>Bumper p/ LIGHTHING 1500</t>
  </si>
  <si>
    <t>EJE HD 585</t>
  </si>
  <si>
    <t>6.273-023.0</t>
  </si>
  <si>
    <t>Labios de Aspiración BD 50/70</t>
  </si>
  <si>
    <t>A6-401-405</t>
  </si>
  <si>
    <t>ROLL ConICO p/ HDS 7/11</t>
  </si>
  <si>
    <t>A8-754-843</t>
  </si>
  <si>
    <t>D2-122-155</t>
  </si>
  <si>
    <t>CONTRA CUCHILLA PARA ES-650</t>
  </si>
  <si>
    <t>A6-903-404</t>
  </si>
  <si>
    <t>Boquilla Tipo Cepillo p/ T 201, T 15/1</t>
  </si>
  <si>
    <t>A7-362-002</t>
  </si>
  <si>
    <t>Anillo de Seguridad 8 X 11.5 p/ BR 40/10</t>
  </si>
  <si>
    <t>GAV 408</t>
  </si>
  <si>
    <t>A8-614-494</t>
  </si>
  <si>
    <t>Cobertor de Cepillo</t>
  </si>
  <si>
    <t>A8-614-508</t>
  </si>
  <si>
    <t>A8-750-396</t>
  </si>
  <si>
    <t>Cobertor de Filtro p/ G 2600</t>
  </si>
  <si>
    <t>A6-900-952</t>
  </si>
  <si>
    <t>Boquilla tipo Pato p/ NT 65/2</t>
  </si>
  <si>
    <t>Pistón COMPLETO p/ G 2500***</t>
  </si>
  <si>
    <t>A8-640-613</t>
  </si>
  <si>
    <t>Soporte de Cepillo p/ SENSOR XP 12</t>
  </si>
  <si>
    <t>A2-889-104</t>
  </si>
  <si>
    <t>Tapón de Cierre</t>
  </si>
  <si>
    <t>A5-763-062</t>
  </si>
  <si>
    <t>Boquilla de destaqueo para equipos domesticos</t>
  </si>
  <si>
    <t>GAV 283</t>
  </si>
  <si>
    <t>A6-392-936</t>
  </si>
  <si>
    <t>Manguera de Aspiración p/ B60 New - B40</t>
  </si>
  <si>
    <t>A8-621-722</t>
  </si>
  <si>
    <t>Gancho para cable para PS 4/7</t>
  </si>
  <si>
    <t>GAV 1296</t>
  </si>
  <si>
    <t>B5-553-483</t>
  </si>
  <si>
    <t>Pistón p/ HDC 24/15-4 * 36/15-4</t>
  </si>
  <si>
    <t>D2-111-007</t>
  </si>
  <si>
    <t>SEGURO DE RUEDA</t>
  </si>
  <si>
    <t>GAV 1179</t>
  </si>
  <si>
    <t>A4-070-853</t>
  </si>
  <si>
    <t>Depósito de RM p/ HDS 6/14</t>
  </si>
  <si>
    <t>SEGURO PARA CV 30/1 - 38/2 - 48/2</t>
  </si>
  <si>
    <t>A6-362-501</t>
  </si>
  <si>
    <t>Oring 68.0 X 2.0</t>
  </si>
  <si>
    <t>GAV 141</t>
  </si>
  <si>
    <t>A6-390-867</t>
  </si>
  <si>
    <t>Manguera de deSAGUE NT 48/1</t>
  </si>
  <si>
    <t>MicroInterruptor COMPLETO (HD 7/12)</t>
  </si>
  <si>
    <t>A5-033-585</t>
  </si>
  <si>
    <t>Manguito PATA KM 70/20</t>
  </si>
  <si>
    <t>GAV 763</t>
  </si>
  <si>
    <t>A6-600-114</t>
  </si>
  <si>
    <t>ELEMENTO DE CIRCUITO PARA BD/BR 55/60, KM 100/100</t>
  </si>
  <si>
    <t>A5-305-249</t>
  </si>
  <si>
    <t>TORNILLO p/ K 520 MK 620 M</t>
  </si>
  <si>
    <t>GAV 551</t>
  </si>
  <si>
    <t>Oring 80.0 X 3.0 p/ HD 525S HD 801B HDS 500CI K 520M K 620M</t>
  </si>
  <si>
    <t>Condesandor 40 MF HD 651 - 558 - 7/12</t>
  </si>
  <si>
    <t>A8-614-657</t>
  </si>
  <si>
    <t>RESORTE p/ SENSOR XP 12</t>
  </si>
  <si>
    <t>GAV 932</t>
  </si>
  <si>
    <t>A6-348-432</t>
  </si>
  <si>
    <t>Correa para KM 70/30</t>
  </si>
  <si>
    <t>A7-343-007</t>
  </si>
  <si>
    <t>SEGURO p/ HD 1094 BD/BR 55/60 KM 85/50 IV 60/36-3, IV 60/24-2</t>
  </si>
  <si>
    <t>A8-621-495</t>
  </si>
  <si>
    <t>Eje p/ LIGHTHING</t>
  </si>
  <si>
    <t>A5-321-844</t>
  </si>
  <si>
    <t>Empuñadura GIRATORIA</t>
  </si>
  <si>
    <t>I4420152</t>
  </si>
  <si>
    <t>Módulo Derecho p/ Roomba 880</t>
  </si>
  <si>
    <t>CCC6</t>
  </si>
  <si>
    <t>Cesto Filtrante p/ T 10/1</t>
  </si>
  <si>
    <t>A6-362-989</t>
  </si>
  <si>
    <t>Oring 18.0 X 2.0 p/ HD 651 - 855S - 5/12C - 7/13</t>
  </si>
  <si>
    <t>GAV 138</t>
  </si>
  <si>
    <t>A7-343-304</t>
  </si>
  <si>
    <t>Arandela de Seguridad</t>
  </si>
  <si>
    <t>GAV 229</t>
  </si>
  <si>
    <t>A9-802-959</t>
  </si>
  <si>
    <t>Cuña p/ HD 3.4</t>
  </si>
  <si>
    <t>GAV 444</t>
  </si>
  <si>
    <t>D1-113-177</t>
  </si>
  <si>
    <t>TORNILLO 3/8</t>
  </si>
  <si>
    <t>GAV 953</t>
  </si>
  <si>
    <t>A8-758-087</t>
  </si>
  <si>
    <t>Set de Retenedores p/ HD 3.5/HD 3.8</t>
  </si>
  <si>
    <t>Tarjeta p/ BD 50/50</t>
  </si>
  <si>
    <t>A6-966-006</t>
  </si>
  <si>
    <t>Manguito p/ KM 695</t>
  </si>
  <si>
    <t>GAV 1220</t>
  </si>
  <si>
    <t>MP292000AV</t>
  </si>
  <si>
    <t>5 Piezas de Coples y Conectores, Conexion Rápida (Metricos-NPT)</t>
  </si>
  <si>
    <t>9.765-243.0</t>
  </si>
  <si>
    <t>Turbina de Aspiración para VC 1</t>
  </si>
  <si>
    <t>Set de Labio Antisalpicadura p/B 60 - B 140- B 150</t>
  </si>
  <si>
    <t>Pistón  p/ HD 3.5***</t>
  </si>
  <si>
    <t>A6-600-013</t>
  </si>
  <si>
    <t>LENGUETA de TIERRA p/ B 60 NEW</t>
  </si>
  <si>
    <t>GAV 168</t>
  </si>
  <si>
    <t>A8-613-828</t>
  </si>
  <si>
    <t>Placa Base  p/ SENSOR XP 12</t>
  </si>
  <si>
    <t>A8-623-510</t>
  </si>
  <si>
    <t>Diafragma para BRC 38/30</t>
  </si>
  <si>
    <t>A9-755-410</t>
  </si>
  <si>
    <t>Bolsa de Filtro de Tela p/ NT 20/1</t>
  </si>
  <si>
    <t>A9-802-776</t>
  </si>
  <si>
    <t>Tuerca p/ HD 3.8</t>
  </si>
  <si>
    <t>GAV 816</t>
  </si>
  <si>
    <t>A5-034-814</t>
  </si>
  <si>
    <t>Flotador BR 40/10</t>
  </si>
  <si>
    <t>Pieza de Nudos p/ HD 10/25</t>
  </si>
  <si>
    <t>Anillo de Seguridad 25x1,2</t>
  </si>
  <si>
    <t>GAV 850</t>
  </si>
  <si>
    <t>A6-472-007</t>
  </si>
  <si>
    <t>Electro Válvula p/ B 40</t>
  </si>
  <si>
    <t>D1-110-100</t>
  </si>
  <si>
    <t>GAV 867</t>
  </si>
  <si>
    <t>A4-624-025</t>
  </si>
  <si>
    <t>Turbina WD 3200 (NO USAR ES 220V)</t>
  </si>
  <si>
    <t>A6-630-218</t>
  </si>
  <si>
    <t>Interruptor PRINCIPAL BR 47/35</t>
  </si>
  <si>
    <t>A4-580-792.3</t>
  </si>
  <si>
    <t>Canal de carga para HD 7/13</t>
  </si>
  <si>
    <t>A6-413-395</t>
  </si>
  <si>
    <t>RESORTE de TRACCION p/ B 250 R</t>
  </si>
  <si>
    <t>GAV 882</t>
  </si>
  <si>
    <t>A7-306-143</t>
  </si>
  <si>
    <t>A2-640-687</t>
  </si>
  <si>
    <t>Boquilla P/ Innofoam de 600 A 700 LB</t>
  </si>
  <si>
    <t>A4-591-035</t>
  </si>
  <si>
    <t>By Pass p/ HD 1050B</t>
  </si>
  <si>
    <t>A5-009-667</t>
  </si>
  <si>
    <t>FijaCION deRECHA p/ B 140</t>
  </si>
  <si>
    <t>A6-330-172</t>
  </si>
  <si>
    <t>RESORTE de TAMBOR de FRENO p/ B250</t>
  </si>
  <si>
    <t>GAV 885</t>
  </si>
  <si>
    <t>A6-365-493</t>
  </si>
  <si>
    <t>RETENEDORES de Agua p/ HDS-E 3.3</t>
  </si>
  <si>
    <t>A8-725-354</t>
  </si>
  <si>
    <t>A2-885-036</t>
  </si>
  <si>
    <t>Set de Bomba p/ HDS 7/11</t>
  </si>
  <si>
    <t>A5-105-223</t>
  </si>
  <si>
    <t>Eje para K 5.20 M</t>
  </si>
  <si>
    <t>A8-640-619</t>
  </si>
  <si>
    <t>Carcasa Interna p/ SENSOR XP 12</t>
  </si>
  <si>
    <t>A8-613-664</t>
  </si>
  <si>
    <t>Tornillo para cepillo pulidor Bolt</t>
  </si>
  <si>
    <t>GAV 1207</t>
  </si>
  <si>
    <t>A5-044-075</t>
  </si>
  <si>
    <t>PLACA</t>
  </si>
  <si>
    <t>A6-414-967</t>
  </si>
  <si>
    <t>Filtro de GASOLINA p/ HD 9/50</t>
  </si>
  <si>
    <t>MODULO de ELEVACION  p/ B 150</t>
  </si>
  <si>
    <t>A8-639-168</t>
  </si>
  <si>
    <t>Espaciador para pistola de PS 4/7</t>
  </si>
  <si>
    <t>GAV 1286</t>
  </si>
  <si>
    <t>A5-037-333</t>
  </si>
  <si>
    <t>GRAPA DOMESTICA p/ K2 GRAPA Amarilla</t>
  </si>
  <si>
    <t>A8-704-744</t>
  </si>
  <si>
    <t>Tapa de tanque para TRK-2500</t>
  </si>
  <si>
    <t>B9-344-001</t>
  </si>
  <si>
    <t>GAV 1178</t>
  </si>
  <si>
    <t>B9-369-062</t>
  </si>
  <si>
    <t>Tapónes  p/ HDC 24/15-4 * 36/15-4</t>
  </si>
  <si>
    <t>GAV 335</t>
  </si>
  <si>
    <t>HX001000AV</t>
  </si>
  <si>
    <t>Válvula Check para Hx51</t>
  </si>
  <si>
    <t>A6-600-113</t>
  </si>
  <si>
    <t>PERILLA</t>
  </si>
  <si>
    <t>OBTURACION PERFILADA p/ HD 5/12</t>
  </si>
  <si>
    <t>GAV 82</t>
  </si>
  <si>
    <t>A5-367-030</t>
  </si>
  <si>
    <t>MEMBRANA HDS 558 C-655-895 - 7/11</t>
  </si>
  <si>
    <t>GAV 430</t>
  </si>
  <si>
    <t>A5-600-100</t>
  </si>
  <si>
    <t>Abánico de SERPENTIN p/ HD 6/14 C</t>
  </si>
  <si>
    <t>D2-111-454</t>
  </si>
  <si>
    <t>CUCHILLA PARA PODADORA</t>
  </si>
  <si>
    <t>A2-642-728</t>
  </si>
  <si>
    <t>Boquilla Turbo DB 145</t>
  </si>
  <si>
    <t>A2-883-862</t>
  </si>
  <si>
    <t>Válvula CHEM p/ HDS 801, HD 525-651-658-801 B-830 BS G2500</t>
  </si>
  <si>
    <t>A4-117-038</t>
  </si>
  <si>
    <t>Boquilla Triple 0.53 (Easy Lock)</t>
  </si>
  <si>
    <t>Turbina de Aspiración DS 5600</t>
  </si>
  <si>
    <t>A8-600-201</t>
  </si>
  <si>
    <t>Cobertor p/ Storn Deluxe</t>
  </si>
  <si>
    <t>GAV 1233</t>
  </si>
  <si>
    <t>A4-821-100</t>
  </si>
  <si>
    <t>Cable p/ Electro DO p/ HDS 1020</t>
  </si>
  <si>
    <t>A5-667-055</t>
  </si>
  <si>
    <t>Porta Inyector p/ HDS</t>
  </si>
  <si>
    <t>GAV 1325</t>
  </si>
  <si>
    <t>A6-394-561</t>
  </si>
  <si>
    <t>Lanza Telescópica p/ HD-HDS</t>
  </si>
  <si>
    <t>A2-863-233</t>
  </si>
  <si>
    <t>Boquilla de Planchar p/ SC 2</t>
  </si>
  <si>
    <t>A5-310-061</t>
  </si>
  <si>
    <t>Tuerca p/ HDS 801 B</t>
  </si>
  <si>
    <t>GAV 1088</t>
  </si>
  <si>
    <t>A6-362-922</t>
  </si>
  <si>
    <t>ORING 8.73 X 1.78 PARA DE 4002 SC 1</t>
  </si>
  <si>
    <t>CABEZAL DE CILINDRO HD 5/12C</t>
  </si>
  <si>
    <t>A8-640-802</t>
  </si>
  <si>
    <t>Tapa FRONTAL  Completa p/ SENSOR XP 12</t>
  </si>
  <si>
    <t>A9-001-215</t>
  </si>
  <si>
    <t>Culata K 200</t>
  </si>
  <si>
    <t>A8-613-635</t>
  </si>
  <si>
    <t>Tuerca p/ BDP 51/1500</t>
  </si>
  <si>
    <t>A8-755-847</t>
  </si>
  <si>
    <t>Conexion de manguera de alimentacion para K1700</t>
  </si>
  <si>
    <t>Eléctrodo p/ HDS</t>
  </si>
  <si>
    <t>A8-621-662</t>
  </si>
  <si>
    <t>Condesandor  Interruptor p/ CARACOL WIND HANDLE-AB 84</t>
  </si>
  <si>
    <t>A2-642-431</t>
  </si>
  <si>
    <t>Set de BoquillaS 0.40  P/ FRV 30</t>
  </si>
  <si>
    <t>A5-401-227</t>
  </si>
  <si>
    <t>RODILLO p/ BR 530</t>
  </si>
  <si>
    <t>A5-587-147</t>
  </si>
  <si>
    <t>VALVULA DE PASO PARA HDS 1295HDS 655HDS 695HDS 895</t>
  </si>
  <si>
    <t>A6-362-561</t>
  </si>
  <si>
    <t>Oring 50 X 2</t>
  </si>
  <si>
    <t>GAV 289</t>
  </si>
  <si>
    <t>A6-456-004</t>
  </si>
  <si>
    <t>Junta de Filtro p/ WTC 5000 UF</t>
  </si>
  <si>
    <t>A6-906-118</t>
  </si>
  <si>
    <t>Bolsa de Papel T 201  (10 unidades)</t>
  </si>
  <si>
    <t>A9-139-364</t>
  </si>
  <si>
    <t>Set de Válvula p/ G4000</t>
  </si>
  <si>
    <t>B9-340-003</t>
  </si>
  <si>
    <t>Abánico de Motor p/ K JUNIOR Y K 340</t>
  </si>
  <si>
    <t>A4-035-487</t>
  </si>
  <si>
    <t>HOUSING de TRACCION p/ B 60</t>
  </si>
  <si>
    <t>A5-032-664</t>
  </si>
  <si>
    <t>Tapón</t>
  </si>
  <si>
    <t>GAV 11</t>
  </si>
  <si>
    <t>A5-263-099</t>
  </si>
  <si>
    <t>GRAPA p/ HDS 6/14</t>
  </si>
  <si>
    <t>GAV 801</t>
  </si>
  <si>
    <t>A4-117-039</t>
  </si>
  <si>
    <t>Boquilla Triple 055 EASY LOCK</t>
  </si>
  <si>
    <t>A5-048-251</t>
  </si>
  <si>
    <t>Chapa p/ HD 10/25</t>
  </si>
  <si>
    <t>GAV 716</t>
  </si>
  <si>
    <t>A6-363-158</t>
  </si>
  <si>
    <t>Anillo de OBTURACION p/ BR 55/60W - B60</t>
  </si>
  <si>
    <t>GAV 22</t>
  </si>
  <si>
    <t>A6-635-323</t>
  </si>
  <si>
    <t>Interruptor 2 FASES (HD 1090 / 855)</t>
  </si>
  <si>
    <t>A8-600-246</t>
  </si>
  <si>
    <t>Acople p/ BRC 38/30</t>
  </si>
  <si>
    <t>B6-362-899</t>
  </si>
  <si>
    <t>ORING 16.0 X 2.0</t>
  </si>
  <si>
    <t>GAV 87</t>
  </si>
  <si>
    <t>2.642-706.0</t>
  </si>
  <si>
    <t>Protector antisalpicaduras para boquilla turbo equipo K</t>
  </si>
  <si>
    <t>By Pass p/ HD 7/12</t>
  </si>
  <si>
    <t>A4-767-065</t>
  </si>
  <si>
    <t>Boquilla Triple 0.50 p/  HD 10/25</t>
  </si>
  <si>
    <t>A5-008-775</t>
  </si>
  <si>
    <t>Chapa de APOYO p/ EB 30/1</t>
  </si>
  <si>
    <t>GAV 428</t>
  </si>
  <si>
    <t>MANGUERA DE ASPIRACION BR 40/25C</t>
  </si>
  <si>
    <t>D2-112-773</t>
  </si>
  <si>
    <t>CUCHILLA MARTILLO PARA TRR 280-260-250</t>
  </si>
  <si>
    <t>A8-622-355</t>
  </si>
  <si>
    <t>Eje de Ajuste p/ BOLT 17/20</t>
  </si>
  <si>
    <t>GAV 433</t>
  </si>
  <si>
    <t>A9-001-634</t>
  </si>
  <si>
    <t>Disco OSCILANTE</t>
  </si>
  <si>
    <t>D2-112-747</t>
  </si>
  <si>
    <t>CUCHILLA SUPERIOR PARA TRC-40 Y TRC-50</t>
  </si>
  <si>
    <t>I4636428</t>
  </si>
  <si>
    <t>Cepillo Lateral p/ Roomba 600-700-800-900 (3 unidades)</t>
  </si>
  <si>
    <t>Set de Bomba p/ HDS 1020</t>
  </si>
  <si>
    <t>A4-035-516</t>
  </si>
  <si>
    <t>Set de lampara omnidireccional para B150</t>
  </si>
  <si>
    <t>A5-190-255</t>
  </si>
  <si>
    <t>REGLETA DISTRIBUIDORA de Agua p/ BR 30/4</t>
  </si>
  <si>
    <t>A5-195-187</t>
  </si>
  <si>
    <t>Tapa Superior DS 5600</t>
  </si>
  <si>
    <t>A9-802-802</t>
  </si>
  <si>
    <t>Arandela p/ HD 3.5/40</t>
  </si>
  <si>
    <t>GAV 791</t>
  </si>
  <si>
    <t>A9-802-914</t>
  </si>
  <si>
    <t>SEGURO p/ HD 3.8-3.5-2.5</t>
  </si>
  <si>
    <t>GAV 384</t>
  </si>
  <si>
    <t>D1-113-830</t>
  </si>
  <si>
    <t>LLAVETA 6.35 X 17 PARA ES 400</t>
  </si>
  <si>
    <t>GAV 267</t>
  </si>
  <si>
    <t>A6-365-414</t>
  </si>
  <si>
    <t>RETENEDOR de Aceite HD 830 BS***</t>
  </si>
  <si>
    <t>GAV 586</t>
  </si>
  <si>
    <t>A4-035-171</t>
  </si>
  <si>
    <t>Rueda Completa de APOYO</t>
  </si>
  <si>
    <t>A6-330-253</t>
  </si>
  <si>
    <t>RESORTE p/ B 250</t>
  </si>
  <si>
    <t>GAV 1031</t>
  </si>
  <si>
    <t>A6-626-046</t>
  </si>
  <si>
    <t>Filtro de Nylon p/ PC Bio</t>
  </si>
  <si>
    <t>A6-645-555</t>
  </si>
  <si>
    <t>Cable Con CLAVIJA p/ B40</t>
  </si>
  <si>
    <t>B9-344-011</t>
  </si>
  <si>
    <t>SEGURO PARA HD 585</t>
  </si>
  <si>
    <t>GAV 493</t>
  </si>
  <si>
    <t>Varilla de Respiradero (Tapon de Aceite)</t>
  </si>
  <si>
    <t>Filtro de Aire de 4"</t>
  </si>
  <si>
    <t>A8-613-820</t>
  </si>
  <si>
    <t>EMBRAGUE Faja p/ SENSOR XP 12</t>
  </si>
  <si>
    <t>Pasador para HD 6/15</t>
  </si>
  <si>
    <t>GAV 1371</t>
  </si>
  <si>
    <t>B9-311-777</t>
  </si>
  <si>
    <t>AGARRADERA PARA HD 585 COLOR GRIS</t>
  </si>
  <si>
    <t>Turbina de Aspiración p/ WD 3- WD 2</t>
  </si>
  <si>
    <t>A2-863-022</t>
  </si>
  <si>
    <t>Cepillo Redondo Grande p/ Vaporizador</t>
  </si>
  <si>
    <t>Inserto de Boquilla p/ HD 3.5</t>
  </si>
  <si>
    <t>GAV 135</t>
  </si>
  <si>
    <t>Oring 4.47 X 1.78 p/ G2500</t>
  </si>
  <si>
    <t>A4-762-022</t>
  </si>
  <si>
    <t>Sand Blasting Industrial (Versión Vieja)</t>
  </si>
  <si>
    <t>II1</t>
  </si>
  <si>
    <t>A5-112-414</t>
  </si>
  <si>
    <t>A9-048-080</t>
  </si>
  <si>
    <t>Tapa de Depósito de Detergente p/ K 3.450</t>
  </si>
  <si>
    <t>Filtro de Motor p/VC 5.100</t>
  </si>
  <si>
    <t>A5-064-400</t>
  </si>
  <si>
    <t>Tapa de caja electrica para HDS 3.5</t>
  </si>
  <si>
    <t>A4-070-839</t>
  </si>
  <si>
    <t>Caldera Completa p/ SC 1020</t>
  </si>
  <si>
    <t>A5-582-142</t>
  </si>
  <si>
    <t>Asiento de By Pass p/ HD 9/50</t>
  </si>
  <si>
    <t>GAV 733</t>
  </si>
  <si>
    <t>Tuerca para rueda NT 65/2</t>
  </si>
  <si>
    <t>A8-933-016</t>
  </si>
  <si>
    <t>Oring 2.62 X 126.67 p/ HD 3.5-3.8</t>
  </si>
  <si>
    <t>A5-112-451</t>
  </si>
  <si>
    <t>HEMBRILLA p/ HD 1094</t>
  </si>
  <si>
    <t>GAV 448</t>
  </si>
  <si>
    <t>A8-600-172</t>
  </si>
  <si>
    <t>Set de Escobillas p/ Cepillo Lighthing 2000</t>
  </si>
  <si>
    <t>GAV 1118</t>
  </si>
  <si>
    <t>A6-362-575</t>
  </si>
  <si>
    <t>Set de Oring p/ HD 1050B-1090-1094-801B</t>
  </si>
  <si>
    <t>A6-388-782</t>
  </si>
  <si>
    <t>Manguera DN 8</t>
  </si>
  <si>
    <t>A4-114-040</t>
  </si>
  <si>
    <t>Boquilla Turbo 0.35 p/ HD 4/9  (Easy Lock)</t>
  </si>
  <si>
    <t>A4-114-042</t>
  </si>
  <si>
    <t>Boquilla Turbo 0.45 HDS 3.5</t>
  </si>
  <si>
    <t>A4-905-006</t>
  </si>
  <si>
    <t>CepilloNEGRO p/ B 140</t>
  </si>
  <si>
    <t>PRENSA de Tanque NT 35/1</t>
  </si>
  <si>
    <t>A6-389-610</t>
  </si>
  <si>
    <t>Manguera de Depósito de VACIADO p/ KM 105</t>
  </si>
  <si>
    <t>A9-750-058</t>
  </si>
  <si>
    <t>Válvula CHEM p/ K 2.19- 3.68 - 2.68</t>
  </si>
  <si>
    <t>A4-037-139.3</t>
  </si>
  <si>
    <t>Soporte de squeegee para B150</t>
  </si>
  <si>
    <t>Tornillo p/ HD 855S HD 658 HD 5/12</t>
  </si>
  <si>
    <t>GAV 33</t>
  </si>
  <si>
    <t>A6-472-411</t>
  </si>
  <si>
    <t>Válvula MAGNETICA HDS 655 HDS 895 HDS 3.5</t>
  </si>
  <si>
    <t>Pistón COMPLETO p/ K 4 -K 5</t>
  </si>
  <si>
    <t>A6-907-541</t>
  </si>
  <si>
    <t>Cepillo METALICO p/ SGV 6/5</t>
  </si>
  <si>
    <t>GAV 1251</t>
  </si>
  <si>
    <t>A4-195-224</t>
  </si>
  <si>
    <t>Junta de Conducción de Aire p/ DS 5.800</t>
  </si>
  <si>
    <t>A4-591-037</t>
  </si>
  <si>
    <t>By Pass p/ HDS 801B,HD 801B,HD 830BS</t>
  </si>
  <si>
    <t>A8-629-729</t>
  </si>
  <si>
    <t>Válvula SOLENOIde BRC 38/ 30 C</t>
  </si>
  <si>
    <t>Caja Eléctrica p/ K2.26</t>
  </si>
  <si>
    <t>A4-112-029</t>
  </si>
  <si>
    <t>Lanza Angular Easy Lock</t>
  </si>
  <si>
    <t>A5-032-674</t>
  </si>
  <si>
    <t>SEGURO de Filtro p/ T 15/1</t>
  </si>
  <si>
    <t>A6-369-001-0</t>
  </si>
  <si>
    <t>Pad Negro p/  B60 Cabezal D65 (")</t>
  </si>
  <si>
    <t>A9-802-810</t>
  </si>
  <si>
    <t>GAV 368</t>
  </si>
  <si>
    <t>A9-802-893</t>
  </si>
  <si>
    <t>Arandela p/ HD 2.3/2.5</t>
  </si>
  <si>
    <t>GAV 461</t>
  </si>
  <si>
    <t>D1-113-828</t>
  </si>
  <si>
    <t>LLAVETA PARA ES 500/600</t>
  </si>
  <si>
    <t>GAV 1065</t>
  </si>
  <si>
    <t>A8-613-668</t>
  </si>
  <si>
    <t>Tornillo p/ BDP 51/1500</t>
  </si>
  <si>
    <t>A9-047-023</t>
  </si>
  <si>
    <t>RESORTE HELICOIDAL p/ K 200</t>
  </si>
  <si>
    <t>GAV 1366</t>
  </si>
  <si>
    <t>A4-775-838</t>
  </si>
  <si>
    <t>NO USAR Pistola para K1</t>
  </si>
  <si>
    <t>A8-621-739</t>
  </si>
  <si>
    <t>Cubierta de Faja de Transmisión p/ BRC 38/30</t>
  </si>
  <si>
    <t>D2-111-125</t>
  </si>
  <si>
    <t>CONTRACUCHILLA PARA TRF 70 - TRP 40</t>
  </si>
  <si>
    <t>9.310-092.0</t>
  </si>
  <si>
    <t>Interrupto Completo</t>
  </si>
  <si>
    <t>Filtro de Tela p/VC 1800</t>
  </si>
  <si>
    <t>A6-362-547</t>
  </si>
  <si>
    <t>Oring 20.0 X 1.5 HD 1050-855 HDS 558-895-655-3,5-10/20</t>
  </si>
  <si>
    <t>A6-646-437</t>
  </si>
  <si>
    <t>Perno DISTANCIADOR p/ PUZZI 300</t>
  </si>
  <si>
    <t>A4-901-102</t>
  </si>
  <si>
    <t>SONDA p/ SGV 6/5</t>
  </si>
  <si>
    <t>GAV 968</t>
  </si>
  <si>
    <t>A5-110-853</t>
  </si>
  <si>
    <t>Tapón de Válvula P/ HDS 655</t>
  </si>
  <si>
    <t>GAV 665</t>
  </si>
  <si>
    <t>A6-630-331</t>
  </si>
  <si>
    <t>INTERRUPTOR BD 45/40</t>
  </si>
  <si>
    <t>A7-644-013</t>
  </si>
  <si>
    <t>Fusible C5 p/ B 150</t>
  </si>
  <si>
    <t>Set de boquillas para G2700</t>
  </si>
  <si>
    <t>Empaque p/ BD 50/60</t>
  </si>
  <si>
    <t>A2-640-492</t>
  </si>
  <si>
    <t>ACOPLE DE MANGUERA PLASTICO 3/4  PARA  HDS,HD1094,HD1090,HD855,HD10/25</t>
  </si>
  <si>
    <t>A5-033-748</t>
  </si>
  <si>
    <t>SEGURO de Tanque p/ BR 30/4</t>
  </si>
  <si>
    <t>A8-616-416</t>
  </si>
  <si>
    <t>PRENSA de Tanque  p/ TITAN (Windsor)</t>
  </si>
  <si>
    <t>A8-632-490</t>
  </si>
  <si>
    <t>Carcasa Superior p/ AXCESS 12</t>
  </si>
  <si>
    <t>XT051000</t>
  </si>
  <si>
    <t>Lave de Ajuste Neumatico 3/8 (Ratch)</t>
  </si>
  <si>
    <t>Pistón p/ HDS 655 - 3.5 30-4M - 1055 - 7/11</t>
  </si>
  <si>
    <t>A4-744-242</t>
  </si>
  <si>
    <t>Interruptor P/ HD 10/25</t>
  </si>
  <si>
    <t>A5-003-029</t>
  </si>
  <si>
    <t>SOPORTE PARA BR 400</t>
  </si>
  <si>
    <t>Oring de 21.95 X 1.78 p/ HD 4/9</t>
  </si>
  <si>
    <t>GAV 846</t>
  </si>
  <si>
    <t>A8-706-940</t>
  </si>
  <si>
    <t>Niple p/ HD 3.4/35</t>
  </si>
  <si>
    <t>C0-000-234</t>
  </si>
  <si>
    <t>Codo de mufla para GX390</t>
  </si>
  <si>
    <t>D1-111-474</t>
  </si>
  <si>
    <t>CARBONES 500 W.127VC/CAB</t>
  </si>
  <si>
    <t>GAV 871</t>
  </si>
  <si>
    <t>Set de Hules para trituradores</t>
  </si>
  <si>
    <t>A4-035-495</t>
  </si>
  <si>
    <t>REGULADOR de MARCHA COMPLETO p/ B60</t>
  </si>
  <si>
    <t>A4-070-696</t>
  </si>
  <si>
    <t>Batería p/ K 55</t>
  </si>
  <si>
    <t>A4-310-010</t>
  </si>
  <si>
    <t>Tuerca de ROSCA deRECHA p/ Boquilla de MANO PUZZI</t>
  </si>
  <si>
    <t>A5-110-686</t>
  </si>
  <si>
    <t>ESPACIADOR BR 40/10</t>
  </si>
  <si>
    <t>GAV 105</t>
  </si>
  <si>
    <t>A6-362-463</t>
  </si>
  <si>
    <t>Oring 28.0 X 2.0</t>
  </si>
  <si>
    <t>GAV 404</t>
  </si>
  <si>
    <t>A6-415-761</t>
  </si>
  <si>
    <t>Inyector p/ HDS 1055</t>
  </si>
  <si>
    <t>GAV 198</t>
  </si>
  <si>
    <t>A8-757-046</t>
  </si>
  <si>
    <t>Seguro de manguera para TV1</t>
  </si>
  <si>
    <t>A2-883-891</t>
  </si>
  <si>
    <t>Set de Bomba p/ HDS 558C</t>
  </si>
  <si>
    <t>A6-295-302</t>
  </si>
  <si>
    <t>Detergente Concentrado p/ Vidrios</t>
  </si>
  <si>
    <t>Turbina de Aspiración B 140</t>
  </si>
  <si>
    <t>Cabezal de Cilindro K 2.19</t>
  </si>
  <si>
    <t>D3-111-111</t>
  </si>
  <si>
    <t>CONECTOR PARA SF-3000</t>
  </si>
  <si>
    <t>A5-116-325</t>
  </si>
  <si>
    <t>Disco p/ Pistón de HDS E 3.3</t>
  </si>
  <si>
    <t>GAV 462</t>
  </si>
  <si>
    <t>A6-290-870-1</t>
  </si>
  <si>
    <t>RM 110 Anti-Incrustante (1 Galón)</t>
  </si>
  <si>
    <t>A9-770-870</t>
  </si>
  <si>
    <t>Juego de PiezaS p/ NT 90/2</t>
  </si>
  <si>
    <t>A2-645-196</t>
  </si>
  <si>
    <t>Acople rapido 3/4</t>
  </si>
  <si>
    <t>A5-253-019</t>
  </si>
  <si>
    <t>Brida deL Cojinete p/ BD 55/60</t>
  </si>
  <si>
    <t>A6-661-231</t>
  </si>
  <si>
    <t>CONDENSADOR ANTIPARASITO HD 655</t>
  </si>
  <si>
    <t>A7-303-067</t>
  </si>
  <si>
    <t>Tornillo p/ BR 40/10</t>
  </si>
  <si>
    <t>A8-614-229</t>
  </si>
  <si>
    <t>A8-758-069</t>
  </si>
  <si>
    <t>Bomba completa para HD 2.0/1000</t>
  </si>
  <si>
    <t>A9-755-483</t>
  </si>
  <si>
    <t>Empaque p/ BD 50/60 BD 43/35</t>
  </si>
  <si>
    <t>GAV 345</t>
  </si>
  <si>
    <t>A9-802-623</t>
  </si>
  <si>
    <t>Set de EmpaqueS</t>
  </si>
  <si>
    <t>A9-770-991</t>
  </si>
  <si>
    <t>Anillo de Obturación p/ NT 90/2</t>
  </si>
  <si>
    <t>B9-385-370</t>
  </si>
  <si>
    <t>Interruptor de EMERGENCIA p/ HDC 24/15</t>
  </si>
  <si>
    <t>MP211700AV</t>
  </si>
  <si>
    <t>Conector Rápido Hembra de 1/4" NPT</t>
  </si>
  <si>
    <t>A4-822-857</t>
  </si>
  <si>
    <t>Arnés de CableS p/ B 150</t>
  </si>
  <si>
    <t>A9-802-694</t>
  </si>
  <si>
    <t>set de oring para hds 4.0</t>
  </si>
  <si>
    <t>DISCO PARA HD 5/12</t>
  </si>
  <si>
    <t>GAV 680</t>
  </si>
  <si>
    <t>A6-390-204</t>
  </si>
  <si>
    <t>Manguera de Alta Presión p/ K200,K209,K2.93,K2.01,K370</t>
  </si>
  <si>
    <t>A6-390-237</t>
  </si>
  <si>
    <t>Manguera Interna p/ PUZZI 8/1</t>
  </si>
  <si>
    <t>A6-413-396</t>
  </si>
  <si>
    <t>RESORTE de TRACCION p/ B 250</t>
  </si>
  <si>
    <t>A4-100-688</t>
  </si>
  <si>
    <t>Set de piezas para lanzas Easy Lock</t>
  </si>
  <si>
    <t>A6-631-806</t>
  </si>
  <si>
    <t>Interruptor de PRESION</t>
  </si>
  <si>
    <t>Boquilla de Ranura p/ NT 72/2, NT 65/2</t>
  </si>
  <si>
    <t>A5-059-400</t>
  </si>
  <si>
    <t>GRAPA p/ TOMA de Agua K 5.85</t>
  </si>
  <si>
    <t>GAV 129</t>
  </si>
  <si>
    <t>a6-273-205</t>
  </si>
  <si>
    <t>Juego de BORdeS de GOMA p/ B 60 - B 150</t>
  </si>
  <si>
    <t>CONTACTOR 32 AMPERIOS PARA HDS 3.5 - HGD 10/25</t>
  </si>
  <si>
    <t>A2-641-959</t>
  </si>
  <si>
    <t>Pistola Doméstica p/ Manguera A6-390-871 (Grapa)</t>
  </si>
  <si>
    <t>A4-100-226</t>
  </si>
  <si>
    <t>Arbol de Transmisión p/ BR 45/40</t>
  </si>
  <si>
    <t>GAV 938</t>
  </si>
  <si>
    <t>A6-904-242</t>
  </si>
  <si>
    <t>Filtro HEPA p/ NT 35/1, 361</t>
  </si>
  <si>
    <t>D1-113-921</t>
  </si>
  <si>
    <t>FAJA PARA TRC 50 A-41</t>
  </si>
  <si>
    <t>Retenedor de Agua p/ HD 7/12, 1050B</t>
  </si>
  <si>
    <t>A6-610-207</t>
  </si>
  <si>
    <t>Set de Carbonos p/ Puzzi100, 300, NT 361, NT 65/2</t>
  </si>
  <si>
    <t>A2-863-289</t>
  </si>
  <si>
    <t>Juego de limpieza de automoviles para VC 4I</t>
  </si>
  <si>
    <t>A4-553-173</t>
  </si>
  <si>
    <t>Pistones p/ HDS 801B-K 520M-HD 830BS-801B-525-G 2500</t>
  </si>
  <si>
    <t>A4-775-824</t>
  </si>
  <si>
    <t>Pistola p/ HD 9/50</t>
  </si>
  <si>
    <t>BIELA p/ HD 6/15</t>
  </si>
  <si>
    <t>GAV 895</t>
  </si>
  <si>
    <t>D2-117-517</t>
  </si>
  <si>
    <t>MANGUITO PARA ES-650</t>
  </si>
  <si>
    <t>Filtro Metalico de 4" con elemento filtrante tipo automotriz</t>
  </si>
  <si>
    <t>JJJ6</t>
  </si>
  <si>
    <t>A5-332-285</t>
  </si>
  <si>
    <t>RESORTE HELICOIDAL PARA HDS 1291, HDS 1055, HDS 895 Y HD 9/16</t>
  </si>
  <si>
    <t>Tarjeta Electrónica NT 65/2</t>
  </si>
  <si>
    <t>A7-343-060</t>
  </si>
  <si>
    <t>SEGURO 72 X 2.5 p/ HDC 24/15</t>
  </si>
  <si>
    <t>A8-623-759</t>
  </si>
  <si>
    <t>Empaque p/ Windsor WAVE</t>
  </si>
  <si>
    <t>Kit de Placas de Válvulas</t>
  </si>
  <si>
    <t>Tuerca hexagonal 1/4</t>
  </si>
  <si>
    <t>Cepillo de Disco Rojo para BD 80/100</t>
  </si>
  <si>
    <t>A6-966-043</t>
  </si>
  <si>
    <t>Rueda Guía p/ KM 70/20</t>
  </si>
  <si>
    <t>A8-614-704</t>
  </si>
  <si>
    <t>Tornillo p/ SENSOR XP 12</t>
  </si>
  <si>
    <t>A2-883-903</t>
  </si>
  <si>
    <t>Set de Pistola p/ HDS 557 CI</t>
  </si>
  <si>
    <t>A4-550-700</t>
  </si>
  <si>
    <t>Culata para HD 7/12</t>
  </si>
  <si>
    <t>A6-371-240-1</t>
  </si>
  <si>
    <t>Pad Diamantado Verde de 20"</t>
  </si>
  <si>
    <t>A6-490-268</t>
  </si>
  <si>
    <t>PROTECCION TERMICA p/ T 15/1</t>
  </si>
  <si>
    <t>GAV 194</t>
  </si>
  <si>
    <t>D2-111-598</t>
  </si>
  <si>
    <t>Tapa para TRF 70</t>
  </si>
  <si>
    <t>A2-884-205</t>
  </si>
  <si>
    <t>Set de Bomba p/ G 4.10</t>
  </si>
  <si>
    <t>Piñon de Cepillop/ BR 30/4</t>
  </si>
  <si>
    <t>GAV 1040</t>
  </si>
  <si>
    <t>Set de Bomba HDS 895,HDS 655,HDS 3.5</t>
  </si>
  <si>
    <t>Manguito p/ HDS 3.5</t>
  </si>
  <si>
    <t>A6-401-412</t>
  </si>
  <si>
    <t>Acoplamiento ROTATIVO p/ HD 6/15</t>
  </si>
  <si>
    <t>A8-600-191</t>
  </si>
  <si>
    <t>Interruptor de 30 amp. p/ SABER CUTTER</t>
  </si>
  <si>
    <t>A5-321-738</t>
  </si>
  <si>
    <t>Asidero p/ B40</t>
  </si>
  <si>
    <t>I4419705</t>
  </si>
  <si>
    <t>Módulo de Cepillo p/ Roomba 880</t>
  </si>
  <si>
    <t>A5-060-599</t>
  </si>
  <si>
    <t>Caja de Válvula p/ HD 855</t>
  </si>
  <si>
    <t>A9-085-036</t>
  </si>
  <si>
    <t>Capacitor de 65MF p/ K 5.85</t>
  </si>
  <si>
    <t>A9-802-712</t>
  </si>
  <si>
    <t>Tornillo p/ HD 3.8</t>
  </si>
  <si>
    <t>GAV 277</t>
  </si>
  <si>
    <t>A9-802-782</t>
  </si>
  <si>
    <t>Seguro de Rueda p/ HD 3.5-3.8</t>
  </si>
  <si>
    <t>GAV 378</t>
  </si>
  <si>
    <t>Ensamble de la Biela</t>
  </si>
  <si>
    <t>JJJ2</t>
  </si>
  <si>
    <t>A6-490-112</t>
  </si>
  <si>
    <t>Turbina de Aspiración p/ NT 181, SE 3001</t>
  </si>
  <si>
    <t>A8-614-267</t>
  </si>
  <si>
    <t>Manguera de Aspiración p/ AXCESS 12</t>
  </si>
  <si>
    <t>A5-034-494</t>
  </si>
  <si>
    <t>Seguro p/ HDS 558C HD 655-895-5/12C-651</t>
  </si>
  <si>
    <t>GAV 546</t>
  </si>
  <si>
    <t>A8-632-481</t>
  </si>
  <si>
    <t>Soporte de Cepillop/ AXCESS 12</t>
  </si>
  <si>
    <t>A9-175-018</t>
  </si>
  <si>
    <t>By Pass p/ HD 3.8</t>
  </si>
  <si>
    <t>D1-113-017</t>
  </si>
  <si>
    <t>CONDENSADOR PARA TRP-40</t>
  </si>
  <si>
    <t>D1-113-036</t>
  </si>
  <si>
    <t>A2-643-889</t>
  </si>
  <si>
    <t>A4-580-337</t>
  </si>
  <si>
    <t>VALVULA PARA HD 658,HD 651</t>
  </si>
  <si>
    <t>A4-580-358</t>
  </si>
  <si>
    <t>Válvula de ALIVIO p/ HD 1050</t>
  </si>
  <si>
    <t>GAV 725</t>
  </si>
  <si>
    <t>A4-580-376</t>
  </si>
  <si>
    <t>A5-032-671</t>
  </si>
  <si>
    <t>BRAZO LATERAL p/ KM 70/20</t>
  </si>
  <si>
    <t>A9-001-186</t>
  </si>
  <si>
    <t>Codo K 200</t>
  </si>
  <si>
    <t>A4-070-588</t>
  </si>
  <si>
    <t>Deposito completo para EB30/1</t>
  </si>
  <si>
    <t>A7-303-113</t>
  </si>
  <si>
    <t>Tornillo 6 / 25 p/ KM Y BR</t>
  </si>
  <si>
    <t>GAV 228</t>
  </si>
  <si>
    <t>A8-613-636</t>
  </si>
  <si>
    <t>Tuerca p/ BOLT 20</t>
  </si>
  <si>
    <t>GAV 358</t>
  </si>
  <si>
    <t>Manguera de aspiracion para B150</t>
  </si>
  <si>
    <t>A9-763-053</t>
  </si>
  <si>
    <t>Rueda p/ NT 30/1</t>
  </si>
  <si>
    <t>A6-682-551</t>
  </si>
  <si>
    <t>Placa de CIRCUITOS BD 55/60</t>
  </si>
  <si>
    <t>A8-622-902</t>
  </si>
  <si>
    <t>Almacén de Cepillo</t>
  </si>
  <si>
    <t>Set de Llenado y Respiradero</t>
  </si>
  <si>
    <t>A5-332-289</t>
  </si>
  <si>
    <t>A8-623-550</t>
  </si>
  <si>
    <t>Codo p/ BRC 38/30</t>
  </si>
  <si>
    <t>A8-623-808</t>
  </si>
  <si>
    <t>Empaque PAERA BRC 38/30</t>
  </si>
  <si>
    <t>A9-803-964</t>
  </si>
  <si>
    <t>BIELA p/ HD 2.5</t>
  </si>
  <si>
    <t>C0-000-067</t>
  </si>
  <si>
    <t>Cuerda de Arranque</t>
  </si>
  <si>
    <t>C0-000-070</t>
  </si>
  <si>
    <t>EMPAQUE DE MANIFULL</t>
  </si>
  <si>
    <t>GAV 1226</t>
  </si>
  <si>
    <t>2.863-018.0</t>
  </si>
  <si>
    <t>Cartucho de Accesorios especiales</t>
  </si>
  <si>
    <t>A5-110-630</t>
  </si>
  <si>
    <t>Casquillo p/ HD 5/12 Y HD 3000</t>
  </si>
  <si>
    <t>GAV 589</t>
  </si>
  <si>
    <t>A5-762-112</t>
  </si>
  <si>
    <t>CEPILLO CILINDRICO ROJO BR 400**</t>
  </si>
  <si>
    <t>A6-348-427</t>
  </si>
  <si>
    <t>Faja EB 30/1</t>
  </si>
  <si>
    <t>A6-363-117</t>
  </si>
  <si>
    <t>Anillo de Guarnición 41.0 X 2,5 p/ BR 40-10</t>
  </si>
  <si>
    <t>GAV 638</t>
  </si>
  <si>
    <t>A6-365-538</t>
  </si>
  <si>
    <t>Set de RETENEDORES INTERMEDIOS  p/ HD 9/50 GE</t>
  </si>
  <si>
    <t>A8-621-539</t>
  </si>
  <si>
    <t>Tapón p/ LIGHTNING 2000</t>
  </si>
  <si>
    <t>GAV 264</t>
  </si>
  <si>
    <t>A8-629-515</t>
  </si>
  <si>
    <t>Botton p/ ICAPSOL</t>
  </si>
  <si>
    <t>GAV 778</t>
  </si>
  <si>
    <t>A2-863-241</t>
  </si>
  <si>
    <t>Boquilla de Tapicerías con Cerdas p/DS 5500- 5600</t>
  </si>
  <si>
    <t>A4-745-119</t>
  </si>
  <si>
    <t>Carcasa para sp 3</t>
  </si>
  <si>
    <t>A5-035-358</t>
  </si>
  <si>
    <t>CUERDA de FijaCION para B 40 - B 60</t>
  </si>
  <si>
    <t>GAV 904</t>
  </si>
  <si>
    <t>A5-061-082</t>
  </si>
  <si>
    <t>Guía de Pistones G 2500</t>
  </si>
  <si>
    <t>PLATO DISTRIBUIDOR p/ K520-K620- HD 5/12</t>
  </si>
  <si>
    <t>A6-632-543</t>
  </si>
  <si>
    <t>A8-614-076</t>
  </si>
  <si>
    <t>Cubierta p/ SENSOR XP</t>
  </si>
  <si>
    <t>A6-362-392</t>
  </si>
  <si>
    <t>ORING 10.0 X 2.0 PARA HDS</t>
  </si>
  <si>
    <t>A6-369-077</t>
  </si>
  <si>
    <t>Pad Negro (Extra Duro) 20"</t>
  </si>
  <si>
    <t>A9-001-187</t>
  </si>
  <si>
    <t>Codo K 370</t>
  </si>
  <si>
    <t>A9-802-913</t>
  </si>
  <si>
    <t>SEGURO p/ HD 3.8</t>
  </si>
  <si>
    <t>GAV 362</t>
  </si>
  <si>
    <t>A2-637-901</t>
  </si>
  <si>
    <t>Boquilla SANDBLASTING 0.45</t>
  </si>
  <si>
    <t>A4-580-144</t>
  </si>
  <si>
    <t>Llave de BOLA p/ HDS ESTACIONARIAS</t>
  </si>
  <si>
    <t>A5-032-782</t>
  </si>
  <si>
    <t>Pieza PERFILADA p/ HD 7/12</t>
  </si>
  <si>
    <t>GAV 836</t>
  </si>
  <si>
    <t>A6-365-432</t>
  </si>
  <si>
    <t>RETENEDOR de Agua p/ HD 651 HDS 558C HD 658 HD 585***</t>
  </si>
  <si>
    <t>GAV 606</t>
  </si>
  <si>
    <t>B9-302-587</t>
  </si>
  <si>
    <t>Boquilla de Tapicería p/ VC 5100</t>
  </si>
  <si>
    <t>A2-863-275</t>
  </si>
  <si>
    <t>Bolsa de Papel p/ WD2, A2004  (5 UNID.)</t>
  </si>
  <si>
    <t>A4-553-183</t>
  </si>
  <si>
    <t>Pin AXIONANTE p/ SWITCH p/ HD 651,HD 658</t>
  </si>
  <si>
    <t>GAV 403</t>
  </si>
  <si>
    <t>Pin AXIONANTE p/ SWITCH p/ HDS 895,HDS 558C,HDS 655</t>
  </si>
  <si>
    <t>A6-363-053</t>
  </si>
  <si>
    <t>GAV 750</t>
  </si>
  <si>
    <t>A9-803-965</t>
  </si>
  <si>
    <t>SEGURO p/ BIELA p/ HD 2.5</t>
  </si>
  <si>
    <t>GAV 379</t>
  </si>
  <si>
    <t>A9-803-966</t>
  </si>
  <si>
    <t>Cojinete p/ HD 2.5</t>
  </si>
  <si>
    <t>D1-111-548</t>
  </si>
  <si>
    <t>HULES PARA TRF-90</t>
  </si>
  <si>
    <t>A4-035-496</t>
  </si>
  <si>
    <t>REGULADOR de MARCHA IZQUIERDA COMPLETO p/ B60</t>
  </si>
  <si>
    <t>A5-365-249</t>
  </si>
  <si>
    <t>Labio de Hule KM 100/100</t>
  </si>
  <si>
    <t>A6-394-440</t>
  </si>
  <si>
    <t>Juego de PiezaS p/ Asidero de CepilloBDS 43-150</t>
  </si>
  <si>
    <t>A8-614-703</t>
  </si>
  <si>
    <t>GAV 776</t>
  </si>
  <si>
    <t>D2-111-576</t>
  </si>
  <si>
    <t>TAPA PARA TRF 80/90 ES-400/450</t>
  </si>
  <si>
    <t>I4624874</t>
  </si>
  <si>
    <t>Modulo de escoba lateral para serie E &amp; I</t>
  </si>
  <si>
    <t>A4-821-071</t>
  </si>
  <si>
    <t>Cable de Eléctrodo p/ HDS</t>
  </si>
  <si>
    <t>A5-055-458</t>
  </si>
  <si>
    <t>DISPOSITIVO de BloqueO p/ FC 5</t>
  </si>
  <si>
    <t>GAV 1363</t>
  </si>
  <si>
    <t>A8-917-699</t>
  </si>
  <si>
    <t>D1-110-117</t>
  </si>
  <si>
    <t>TUERCA RAPIDA</t>
  </si>
  <si>
    <t>GAV 1161</t>
  </si>
  <si>
    <t>A4-055-051</t>
  </si>
  <si>
    <t>Gancho Porta Cable p/ FC 5</t>
  </si>
  <si>
    <t>A4-762-520</t>
  </si>
  <si>
    <t>Cepillo Central p/ K 55/ ( Cepillo p/ Pelo de Animales)</t>
  </si>
  <si>
    <t>A5-116-062</t>
  </si>
  <si>
    <t>Disco p/ K 5.85 M</t>
  </si>
  <si>
    <t>GAV 1094</t>
  </si>
  <si>
    <t>A5-365-147</t>
  </si>
  <si>
    <t>OBTURACION de PERFIL p/ HDS 3.5</t>
  </si>
  <si>
    <t>Labio p/ FC 5</t>
  </si>
  <si>
    <t>A4-645-363</t>
  </si>
  <si>
    <t>Acople Rápido Macho p/ Mangueras Nacionales</t>
  </si>
  <si>
    <t>Inyector p/ HDS 3.5 VERSION NUEVA</t>
  </si>
  <si>
    <t>GAV 484</t>
  </si>
  <si>
    <t>A8-621-605</t>
  </si>
  <si>
    <t>Cepillo16'' p/ CLIPPER DUO</t>
  </si>
  <si>
    <t>D1-111-740</t>
  </si>
  <si>
    <t>INTERRUPTOR TRAPP</t>
  </si>
  <si>
    <t>A4-767-067</t>
  </si>
  <si>
    <t>Boquilla Triple 0.60</t>
  </si>
  <si>
    <t>A4-767-072</t>
  </si>
  <si>
    <t>Boquilla p/ Lanza de Espuma</t>
  </si>
  <si>
    <t>A7-304-395</t>
  </si>
  <si>
    <t>GAV 976</t>
  </si>
  <si>
    <t>A4-591-040</t>
  </si>
  <si>
    <t>By Pass p/ G 2500</t>
  </si>
  <si>
    <t>GAV 1364</t>
  </si>
  <si>
    <t>A5-100-590</t>
  </si>
  <si>
    <t>Perno de Rueda p/ BR 30/4</t>
  </si>
  <si>
    <t>GAV 649</t>
  </si>
  <si>
    <t>A5-633-012</t>
  </si>
  <si>
    <t>Cierre p/ WV 50</t>
  </si>
  <si>
    <t>A7-303-108</t>
  </si>
  <si>
    <t>Tornillo 5X20 - 10.9- R2R  p/ HDS 3.5  HDS 7/12</t>
  </si>
  <si>
    <t>GAV 1120</t>
  </si>
  <si>
    <t>A9-755-333</t>
  </si>
  <si>
    <t>Pistón COMPLETO p/ K3.48 - K 5.68</t>
  </si>
  <si>
    <t>D2-112-772</t>
  </si>
  <si>
    <t>SEPARADOR DE CUCHILLAS</t>
  </si>
  <si>
    <t>GAV 955</t>
  </si>
  <si>
    <t>A2-885-158</t>
  </si>
  <si>
    <t>Set de VálvulaS  p/ HD 9/50 GE</t>
  </si>
  <si>
    <t>A6-310-180</t>
  </si>
  <si>
    <t>Tuerca de MARIPOSA p/ p/ BR 530  Y BR 55/60</t>
  </si>
  <si>
    <t>A8-613-940</t>
  </si>
  <si>
    <t>Set de Carbones  p/ SENSOR XP 12</t>
  </si>
  <si>
    <t>D2-112-604</t>
  </si>
  <si>
    <t>Tapa p/ ES-400</t>
  </si>
  <si>
    <t>A7-316-215</t>
  </si>
  <si>
    <t>Perno</t>
  </si>
  <si>
    <t>A5-763-019</t>
  </si>
  <si>
    <t>Boquilla de deSTAQUEO 0.60</t>
  </si>
  <si>
    <t>A6-610-221</t>
  </si>
  <si>
    <t>Juego de ESCOBILLAS de CARBÓN</t>
  </si>
  <si>
    <t>GAV 774</t>
  </si>
  <si>
    <t>A8-628-435</t>
  </si>
  <si>
    <t>Prensa p/ sujetar portapad BDS 43-51/175 Bolt 17-20</t>
  </si>
  <si>
    <t>A4-427-178</t>
  </si>
  <si>
    <t>Pieza de Nudos p/ K 520-620-340-HD 585</t>
  </si>
  <si>
    <t>A6-644-351</t>
  </si>
  <si>
    <t>Fusible p/ B 250</t>
  </si>
  <si>
    <t>GAV 970</t>
  </si>
  <si>
    <t>Interruptor p/ BD 50/50</t>
  </si>
  <si>
    <t>GAV 779</t>
  </si>
  <si>
    <t>Turbina de Aspiración p/ B 40 Eléctrica</t>
  </si>
  <si>
    <t>A6-362-522</t>
  </si>
  <si>
    <t>ORING 24.0 X 2.0 PARA HDS 1295 HDS 895 DE 4002</t>
  </si>
  <si>
    <t>A8-700-776</t>
  </si>
  <si>
    <t>Coupling 5/16 x 1/2 para HDS 4.7/ 35</t>
  </si>
  <si>
    <t>9.764-858.0</t>
  </si>
  <si>
    <t>PALPADOR P/ VC 4I</t>
  </si>
  <si>
    <t>GAV 831</t>
  </si>
  <si>
    <t>A5-332-311</t>
  </si>
  <si>
    <t>GAV 59</t>
  </si>
  <si>
    <t>A8-613-830</t>
  </si>
  <si>
    <t>Filtro de membrana para NT 30/1</t>
  </si>
  <si>
    <t>A4-481-211</t>
  </si>
  <si>
    <t>Carcasa MANUBRIO p/ BDS 43/150</t>
  </si>
  <si>
    <t>A5-035-420</t>
  </si>
  <si>
    <t>Anillo de obturacion para B 40</t>
  </si>
  <si>
    <t>GAV 1362</t>
  </si>
  <si>
    <t>A6-682-290</t>
  </si>
  <si>
    <t>TARJETA ELECTRONICA PARA CW 50</t>
  </si>
  <si>
    <t>I4650992</t>
  </si>
  <si>
    <t>Rueda central para Roomba S9</t>
  </si>
  <si>
    <t>A2-885-040</t>
  </si>
  <si>
    <t>Boquilla Fija de vapor 40060</t>
  </si>
  <si>
    <t>A8-640-618</t>
  </si>
  <si>
    <t>Placa Inferior p/ SENSOR XP 12</t>
  </si>
  <si>
    <t>A9-760-634</t>
  </si>
  <si>
    <t>Agarradera p/ K5</t>
  </si>
  <si>
    <t>a9-760-813</t>
  </si>
  <si>
    <t>Codo K2.21</t>
  </si>
  <si>
    <t>A4-070-492</t>
  </si>
  <si>
    <t>Depósito de Suciedad p/ DS 5500, DS 5600</t>
  </si>
  <si>
    <t>A5-363-497</t>
  </si>
  <si>
    <t>EMPAQUE DE TANQUE DS 5500-5600</t>
  </si>
  <si>
    <t>A9-770-816</t>
  </si>
  <si>
    <t>Piezas Eléctricas p/ NT 38/1</t>
  </si>
  <si>
    <t>A4-553-163</t>
  </si>
  <si>
    <t>Pistón p/ HD 1090,HD 1094</t>
  </si>
  <si>
    <t>A6-622-278</t>
  </si>
  <si>
    <t>Transformador de ConTROL HD 10/25</t>
  </si>
  <si>
    <t>Tarjeta Electrónica p/ BR 75/140</t>
  </si>
  <si>
    <t>RETENEDOR 26X 35 X 5 p/ K 268</t>
  </si>
  <si>
    <t>A5-365-177</t>
  </si>
  <si>
    <t>EMPAQUE PARA BR 400</t>
  </si>
  <si>
    <t>A6-414-356</t>
  </si>
  <si>
    <t>Filtro p/ Boquilla INNOFOAM</t>
  </si>
  <si>
    <t>GAV 771</t>
  </si>
  <si>
    <t>A6-414-498</t>
  </si>
  <si>
    <t>Filtro de Aire  NT 181 - K 2501</t>
  </si>
  <si>
    <t>Turbina de Aspiración  A2204 / A2004 / VC 1800</t>
  </si>
  <si>
    <t>A6-369-901</t>
  </si>
  <si>
    <t>Porta Pad p/ BDS 43/180</t>
  </si>
  <si>
    <t>A8-706-829</t>
  </si>
  <si>
    <t>GAV 436</t>
  </si>
  <si>
    <t>A4-682-092</t>
  </si>
  <si>
    <t>Tarjeta p/ EB 30/1</t>
  </si>
  <si>
    <t>A5-365-279</t>
  </si>
  <si>
    <t>Junta PROTECTORA p/ KM 100/100</t>
  </si>
  <si>
    <t>A6-394-441</t>
  </si>
  <si>
    <t>JUEGO DE PERILLAS PARA BDS 43/150</t>
  </si>
  <si>
    <t>Condesandor 30 MF p/ HD 7/12 HD 855 HDS 558 HDS 7/11</t>
  </si>
  <si>
    <t>A8-635-427</t>
  </si>
  <si>
    <t>D2-111-160</t>
  </si>
  <si>
    <t>ARANDELA PARA TRC-50</t>
  </si>
  <si>
    <t>GAV 1066</t>
  </si>
  <si>
    <t>D2-111-162</t>
  </si>
  <si>
    <t>TAPA DE CARCAZA INTERNA</t>
  </si>
  <si>
    <t>Cabezal de Cilindro p/ HDS 895, HDS 3.5, HDS 655</t>
  </si>
  <si>
    <t>A8-630-933</t>
  </si>
  <si>
    <t>Cobertor de Filtro p/ AXCESS 12</t>
  </si>
  <si>
    <t>B6-362-823</t>
  </si>
  <si>
    <t>ORING 53.7 X 1.78</t>
  </si>
  <si>
    <t>GAV 1302</t>
  </si>
  <si>
    <t>D2-112-136</t>
  </si>
  <si>
    <t>Cobertor de triturador TRF 300</t>
  </si>
  <si>
    <t>VT035900AP</t>
  </si>
  <si>
    <t>Tuberia de Bronce para Compresor</t>
  </si>
  <si>
    <t>Juego de TapaS de RuedaS p/ K5</t>
  </si>
  <si>
    <t>A6-640-783</t>
  </si>
  <si>
    <t>Módulo de membrana WPC 70 RO</t>
  </si>
  <si>
    <t>Cable de ConEXION p/ B 60</t>
  </si>
  <si>
    <t>A6-961-892</t>
  </si>
  <si>
    <t>Cobertor Cilindro BARREDOR deRECHA p/ KMR 1700</t>
  </si>
  <si>
    <t>D2-122-333</t>
  </si>
  <si>
    <t>SARANDA NR 12  PARA TRF 80/90</t>
  </si>
  <si>
    <t>Filtro Principal p/ T 15/1</t>
  </si>
  <si>
    <t>A6-343-127</t>
  </si>
  <si>
    <t>SEGURO p/ BR 40/25</t>
  </si>
  <si>
    <t>GAV 1041</t>
  </si>
  <si>
    <t>B9-302-188</t>
  </si>
  <si>
    <t>D1-113-132</t>
  </si>
  <si>
    <t>Tornillo con tuerca para TRC 40</t>
  </si>
  <si>
    <t>A5-069-413</t>
  </si>
  <si>
    <t>Tapa Capo Gris p/ 7/12</t>
  </si>
  <si>
    <t>EEE7</t>
  </si>
  <si>
    <t>A5-584-145</t>
  </si>
  <si>
    <t>PLATILLO p/ HD 9/50</t>
  </si>
  <si>
    <t>GAV 761</t>
  </si>
  <si>
    <t>A9-149-002</t>
  </si>
  <si>
    <t>GAV 1047</t>
  </si>
  <si>
    <t>GA016313AV</t>
  </si>
  <si>
    <t>Manómetro de Presión (hasta 300 psi)</t>
  </si>
  <si>
    <t>MBM-BA014CM</t>
  </si>
  <si>
    <t>Cuchilla de Repuesto p/ Magic Bullet</t>
  </si>
  <si>
    <t>A6-365-464</t>
  </si>
  <si>
    <t>Labio TRASERO KM 85/50</t>
  </si>
  <si>
    <t>A9-080-426</t>
  </si>
  <si>
    <t>Oring 62X3 p/ K 3.68 - 2.68 K5.68 K5</t>
  </si>
  <si>
    <t>GAV 1374</t>
  </si>
  <si>
    <t>D4-111-165</t>
  </si>
  <si>
    <t>TACHUELA DE HIERRO</t>
  </si>
  <si>
    <t>GAV 1063</t>
  </si>
  <si>
    <t>A5-423-253</t>
  </si>
  <si>
    <t>LINEA de COMBUSTIBLE p/ HDS 558, HDS 601, HDS 698, HDS 501</t>
  </si>
  <si>
    <t>A6-491-011</t>
  </si>
  <si>
    <t>Bomba deL DIESEL p/ KM 105</t>
  </si>
  <si>
    <t>A6-491-205</t>
  </si>
  <si>
    <t>Filtro de Aire p/ HD 8/23 G</t>
  </si>
  <si>
    <t>A9-754-576</t>
  </si>
  <si>
    <t>Cuerpo cámara de válvulas completo VC 4S</t>
  </si>
  <si>
    <t>A4-112-057</t>
  </si>
  <si>
    <t>Mini Lanza Articúlada p/ Easy Lock</t>
  </si>
  <si>
    <t>A6-984-518</t>
  </si>
  <si>
    <t>ARRASTRADOR</t>
  </si>
  <si>
    <t>A8-600-378</t>
  </si>
  <si>
    <t>GAV 1275</t>
  </si>
  <si>
    <t>A8-600-399</t>
  </si>
  <si>
    <t>Empaque p/ SABER CUTTER 26</t>
  </si>
  <si>
    <t>D1-113-827</t>
  </si>
  <si>
    <t>LLAVETA 3/16 X 36 PARA MC  80/90</t>
  </si>
  <si>
    <t>GAV 268</t>
  </si>
  <si>
    <t>Piedra de Serpentín</t>
  </si>
  <si>
    <t>A2-889-076</t>
  </si>
  <si>
    <t>Set de CUENCOS de Alojamiento p/ CV 48/2</t>
  </si>
  <si>
    <t>B9-302-596</t>
  </si>
  <si>
    <t>Bomba Completa p/ HDC 24/15</t>
  </si>
  <si>
    <t>D2-110-215</t>
  </si>
  <si>
    <t>EMPUÑADURA DER.</t>
  </si>
  <si>
    <t>A4-775-835</t>
  </si>
  <si>
    <t>Pistola para K1</t>
  </si>
  <si>
    <t>A5-404-088</t>
  </si>
  <si>
    <t>Tornillo HUECO p/ HD 9/50</t>
  </si>
  <si>
    <t>GAV 739</t>
  </si>
  <si>
    <t>A8-639-126</t>
  </si>
  <si>
    <t>Reductor 1/4 x 3/8 para PS 4/7</t>
  </si>
  <si>
    <t>GAV 1298</t>
  </si>
  <si>
    <t>A6-362-524</t>
  </si>
  <si>
    <t>Oring 17.0 X 1.5 p/ HD 1090 HD 1094 HD 855S HDS 1055 HDS 1295 HDS 500CI HDS 557CIHDS 558CHDS 655 H</t>
  </si>
  <si>
    <t>GAV 114</t>
  </si>
  <si>
    <t>A6-362-528</t>
  </si>
  <si>
    <t>Oring 9,5 X 2.0</t>
  </si>
  <si>
    <t>Cuña p/ B 60</t>
  </si>
  <si>
    <t>A9-803-957</t>
  </si>
  <si>
    <t>Tapón deL Aceite p/ HD 3.2/ HD 3.8</t>
  </si>
  <si>
    <t>GAV 796</t>
  </si>
  <si>
    <t>A5-060-564</t>
  </si>
  <si>
    <t>CARCASA PARA BR 400</t>
  </si>
  <si>
    <t>A6-273-042</t>
  </si>
  <si>
    <t>CINTA DE HULE</t>
  </si>
  <si>
    <t>A6-362-454</t>
  </si>
  <si>
    <t>SET DE ORING (HD 651)</t>
  </si>
  <si>
    <t>A8-614-682</t>
  </si>
  <si>
    <t>Cable p/ AXCESS</t>
  </si>
  <si>
    <t>A8-757-048</t>
  </si>
  <si>
    <t>Filtro para TV1</t>
  </si>
  <si>
    <t>C0-000-063</t>
  </si>
  <si>
    <t>Resorte de Gobernador GX 390</t>
  </si>
  <si>
    <t>C0-000-064</t>
  </si>
  <si>
    <t>Filtro de Combustible</t>
  </si>
  <si>
    <t>A4-411-016</t>
  </si>
  <si>
    <t>Tornillo de BloqueO de PRESOSTATO p/ HD 9/50</t>
  </si>
  <si>
    <t>A5-034-839</t>
  </si>
  <si>
    <t>RESORTE de Rueda</t>
  </si>
  <si>
    <t>GAV 978</t>
  </si>
  <si>
    <t>A6-401-407</t>
  </si>
  <si>
    <t>Disco OSCILANTE p/ K 5.85</t>
  </si>
  <si>
    <t>Anillo de Seguridad p/ BR 35/12</t>
  </si>
  <si>
    <t>D3-110-662</t>
  </si>
  <si>
    <t>ANILLO DE TOLERANCIA</t>
  </si>
  <si>
    <t>GAV 833</t>
  </si>
  <si>
    <t>A4-800-845</t>
  </si>
  <si>
    <t>Caja ELCETRICA P/ HD 525</t>
  </si>
  <si>
    <t>A6-389-783</t>
  </si>
  <si>
    <t>Manguera Interna SB DUO</t>
  </si>
  <si>
    <t>TRANSFORMADOR hds 3.5</t>
  </si>
  <si>
    <t>A7-303-259</t>
  </si>
  <si>
    <t>Tornillo con ojo bm 8 x 40</t>
  </si>
  <si>
    <t>GAV 1347</t>
  </si>
  <si>
    <t>D1-110-158</t>
  </si>
  <si>
    <t>SEGURO PARA TR 200</t>
  </si>
  <si>
    <t>GAV 951</t>
  </si>
  <si>
    <t>A4-390-008</t>
  </si>
  <si>
    <t>Manguera de Aspiración p/ BD 55/60, B 60W AceiteS</t>
  </si>
  <si>
    <t>A5-731-642</t>
  </si>
  <si>
    <t>Filtro p/ KM 70/20</t>
  </si>
  <si>
    <t>Disco G 2500-2800</t>
  </si>
  <si>
    <t>GAV 205</t>
  </si>
  <si>
    <t>A4-035-386</t>
  </si>
  <si>
    <t>Tapa completa para B60</t>
  </si>
  <si>
    <t>A9-802-706</t>
  </si>
  <si>
    <t>Tornillo para HD 3.5</t>
  </si>
  <si>
    <t>GAV 1273</t>
  </si>
  <si>
    <t>4.764-352.3</t>
  </si>
  <si>
    <t>A6-363-281</t>
  </si>
  <si>
    <t>Oring 12.42 X 1.78 p/ K 5.85</t>
  </si>
  <si>
    <t>GAV 628</t>
  </si>
  <si>
    <t>Interruptor K 340</t>
  </si>
  <si>
    <t>GAV 1228</t>
  </si>
  <si>
    <t>C0-000-017</t>
  </si>
  <si>
    <t>Filtro de 5 Micras, Capacidad de Flujo de 5 GPM</t>
  </si>
  <si>
    <t>EE5</t>
  </si>
  <si>
    <t>DH420000AV</t>
  </si>
  <si>
    <t>Pistola pulverizadora para uso general.</t>
  </si>
  <si>
    <t>III2</t>
  </si>
  <si>
    <t>A4-063-914</t>
  </si>
  <si>
    <t>Codo p/ K 2 VERSION NUEVA y PARA k1</t>
  </si>
  <si>
    <t>B9-340-023</t>
  </si>
  <si>
    <t>CABEZAL DE CILINDRO PARA HD 585</t>
  </si>
  <si>
    <t>D2-112-171</t>
  </si>
  <si>
    <t>I4643569</t>
  </si>
  <si>
    <t>Set de Empojas Lavables Húmedas p/M6</t>
  </si>
  <si>
    <t>A2-645-073</t>
  </si>
  <si>
    <t>Junta Plana</t>
  </si>
  <si>
    <t>A5-332-466</t>
  </si>
  <si>
    <t>RESORTE HELICOIDAL p/ HDS</t>
  </si>
  <si>
    <t>GAV 701</t>
  </si>
  <si>
    <t>A5-332-473</t>
  </si>
  <si>
    <t>RESORTE HELICOIDAL PARA HDS 3.5 30-4M</t>
  </si>
  <si>
    <t>GAV 715</t>
  </si>
  <si>
    <t>A6-997-422</t>
  </si>
  <si>
    <t>PÓLEA de INVERSION</t>
  </si>
  <si>
    <t>GAV 944</t>
  </si>
  <si>
    <t>B6-362-395</t>
  </si>
  <si>
    <t>Oring 14 X 1,78</t>
  </si>
  <si>
    <t>D2-122-340</t>
  </si>
  <si>
    <t>SARANDA N 12 PARA TRF-70</t>
  </si>
  <si>
    <t>D2-122-341</t>
  </si>
  <si>
    <t>SARANDA N 5.0 PARA TRF-70</t>
  </si>
  <si>
    <t>A2-852-501</t>
  </si>
  <si>
    <t>Set de neumaticos caucho macizo para KM 85/50 R</t>
  </si>
  <si>
    <t>ESPONJA AISLANTE DS 5600</t>
  </si>
  <si>
    <t>A6-670-121</t>
  </si>
  <si>
    <t>Bomba de Agua p/ BD 30/4</t>
  </si>
  <si>
    <t>A6-670-122</t>
  </si>
  <si>
    <t>Turbina p/ BD 30/4</t>
  </si>
  <si>
    <t>Pin AXIONANTE p/ HD 6/15</t>
  </si>
  <si>
    <t>A9-751-032</t>
  </si>
  <si>
    <t>Set de REp/CION de Pistola p/ HD 6/15</t>
  </si>
  <si>
    <t>Interruptor 16A p/ K 200 Y K 370</t>
  </si>
  <si>
    <t>GAV 1030</t>
  </si>
  <si>
    <t>Carcasa deLANTERA HD 5/12</t>
  </si>
  <si>
    <t>A5-055-518</t>
  </si>
  <si>
    <t>Empaque para FC 3</t>
  </si>
  <si>
    <t>GAV 1312</t>
  </si>
  <si>
    <t>Retenedor de Aceite HD 10/90 - 10/25 -10/50 -655</t>
  </si>
  <si>
    <t>GAV 1385</t>
  </si>
  <si>
    <t>A6-415-651</t>
  </si>
  <si>
    <t>INYECTOR PARA HDS 3.5 30-4M 2.00 60 G</t>
  </si>
  <si>
    <t>GAV 200</t>
  </si>
  <si>
    <t>A6-651-646</t>
  </si>
  <si>
    <t>Adaptador p/ Pistola p/ HD 2.3/2.5/3.8/3.5</t>
  </si>
  <si>
    <t>A7-343-115</t>
  </si>
  <si>
    <t>SEGURO p/ BR 55/60</t>
  </si>
  <si>
    <t>GAV 406</t>
  </si>
  <si>
    <t>A8-613-798</t>
  </si>
  <si>
    <t>Eje con ruedas para sensor XP 12</t>
  </si>
  <si>
    <t>B9-385-254</t>
  </si>
  <si>
    <t>RELAY 23-32A 220V PARA HDC 24/15</t>
  </si>
  <si>
    <t>I4420153</t>
  </si>
  <si>
    <t>Módulo Izquierdo p/ Roomba 880</t>
  </si>
  <si>
    <t>A4-111-024</t>
  </si>
  <si>
    <t>Y PARA EQUIPOS EASY LOCK</t>
  </si>
  <si>
    <t>A5-363-665</t>
  </si>
  <si>
    <t>SELLO Inferior de Turbina p/ NT 35/1</t>
  </si>
  <si>
    <t>A5-585-030</t>
  </si>
  <si>
    <t>FLOTADOR PARA HDS 558-C</t>
  </si>
  <si>
    <t>Interruptor (K 201)</t>
  </si>
  <si>
    <t>D1-119-103</t>
  </si>
  <si>
    <t>MOTOR UNIVERSAL</t>
  </si>
  <si>
    <t>A5-515-368</t>
  </si>
  <si>
    <t>Rueda p/ BR 30/4</t>
  </si>
  <si>
    <t>Boquilla de Pisos p/ NT 72/2</t>
  </si>
  <si>
    <t>A8-632-482</t>
  </si>
  <si>
    <t>Ajuste p/ AXCESS 12</t>
  </si>
  <si>
    <t>GAV 1166</t>
  </si>
  <si>
    <t>I4469425</t>
  </si>
  <si>
    <t>Muro Virtual p/ Roomba 880 ***</t>
  </si>
  <si>
    <t>A7-304-051</t>
  </si>
  <si>
    <t>A8-614-631</t>
  </si>
  <si>
    <t>Boquilla de Tapicería p/ Sensor XP 12</t>
  </si>
  <si>
    <t>A9-802-722</t>
  </si>
  <si>
    <t>GAV 1358</t>
  </si>
  <si>
    <t>A2-642-893</t>
  </si>
  <si>
    <t>Adaptador de HD a K</t>
  </si>
  <si>
    <t>A7-303-212</t>
  </si>
  <si>
    <t>TornilloS p/ BR 40/25</t>
  </si>
  <si>
    <t>A8-600-247</t>
  </si>
  <si>
    <t>Embrague p/ BRC 38/30</t>
  </si>
  <si>
    <t>A8-621-509</t>
  </si>
  <si>
    <t>Bolsa de Papel CV 66/2, NUWAVE PAQ 10 UNIDS</t>
  </si>
  <si>
    <t>A5-321-830</t>
  </si>
  <si>
    <t>Empuñadura deSLIZANTE IZQUIERDA P/ 10/25</t>
  </si>
  <si>
    <t>A6-472-002</t>
  </si>
  <si>
    <t>Electro Válvula p/ BR 40/25</t>
  </si>
  <si>
    <t>A8-919-437</t>
  </si>
  <si>
    <t>Soporte de PARED</t>
  </si>
  <si>
    <t>MC037001SJ</t>
  </si>
  <si>
    <t>Motor Eléctrico 3.7 HP, 230 V,</t>
  </si>
  <si>
    <t>OO5</t>
  </si>
  <si>
    <t>VP49</t>
  </si>
  <si>
    <t>Llave de Boquilla p/ Victory Innovation</t>
  </si>
  <si>
    <t>A4-392-023</t>
  </si>
  <si>
    <t>Tapa Completa p/ BR 75/140, BR 90/140, B 140 R</t>
  </si>
  <si>
    <t>A6-903-036</t>
  </si>
  <si>
    <t>Boquilla ASP. p/ Limpieza de TuboS 200 MM</t>
  </si>
  <si>
    <t>A9-803-140</t>
  </si>
  <si>
    <t>RETENEDOR de Aceite 25X45X7 p/ HD 3.3/30</t>
  </si>
  <si>
    <t>XT250000</t>
  </si>
  <si>
    <t>Rectificadora Neumática Industrial</t>
  </si>
  <si>
    <t>A9-803-161</t>
  </si>
  <si>
    <t>D1-110-323</t>
  </si>
  <si>
    <t>GAV 873</t>
  </si>
  <si>
    <t>Disco HD 1050 - 7/12***</t>
  </si>
  <si>
    <t>GAV 682</t>
  </si>
  <si>
    <t>A6-368-294</t>
  </si>
  <si>
    <t>Tapa PROTECTORA NEGRA PVC 1/4 p/ B 60</t>
  </si>
  <si>
    <t>GAV 505</t>
  </si>
  <si>
    <t>A9-761-052</t>
  </si>
  <si>
    <t>Tornillo de BloqueO p/ HD 6/15</t>
  </si>
  <si>
    <t>GAV 469</t>
  </si>
  <si>
    <t>A2-113-021</t>
  </si>
  <si>
    <t>Boquilla Fija 25040  (Versión Nueva)</t>
  </si>
  <si>
    <t>A4-060-474</t>
  </si>
  <si>
    <t>Manubrio de la Manguera de Aspiración p/ NT 65/2 (activa la autolimpieza)</t>
  </si>
  <si>
    <t>A4-744-132</t>
  </si>
  <si>
    <t>INTERRUPTOR PARA HD 651 Y HD 650</t>
  </si>
  <si>
    <t>A6-391-338</t>
  </si>
  <si>
    <t>Manguera Interna p/ B 250</t>
  </si>
  <si>
    <t>Rueda Giratoria p/ HDS 7/11</t>
  </si>
  <si>
    <t>A7-343-134</t>
  </si>
  <si>
    <t>GAV 322</t>
  </si>
  <si>
    <t>A8-638-573</t>
  </si>
  <si>
    <t>Tarjeta p/ SENSOR XP 12</t>
  </si>
  <si>
    <t>A9-761-041</t>
  </si>
  <si>
    <t>TOPE de CAUCHO p/ HD 6/15</t>
  </si>
  <si>
    <t>GAV 62</t>
  </si>
  <si>
    <t>A9-802-926</t>
  </si>
  <si>
    <t>A4-063-728-1</t>
  </si>
  <si>
    <t>Tapa p/ NT 65/2</t>
  </si>
  <si>
    <t>A4-839-382</t>
  </si>
  <si>
    <t>SET DE PIEZAS PEQUEÑAS ELECTRICAS PUZZI 8/1</t>
  </si>
  <si>
    <t>Esponja Filtrante p/ CV 30/1</t>
  </si>
  <si>
    <t>A8-634-878</t>
  </si>
  <si>
    <t>Kit de FiltroS p/ SENSOR XP 12</t>
  </si>
  <si>
    <t>A2-885-465</t>
  </si>
  <si>
    <t>Boquilla de PISO p/ SG 4/4</t>
  </si>
  <si>
    <t>A5-178-037</t>
  </si>
  <si>
    <t>MANGUITO HDS 558 C</t>
  </si>
  <si>
    <t>A5-181-041</t>
  </si>
  <si>
    <t>LABIO DE HULE BR 400</t>
  </si>
  <si>
    <t>A6-321-179</t>
  </si>
  <si>
    <t>MARIPOSA p/ BR 40/25</t>
  </si>
  <si>
    <t>A6-654-118</t>
  </si>
  <si>
    <t>BATERIA K 50</t>
  </si>
  <si>
    <t>A8-707-140</t>
  </si>
  <si>
    <t>Nipple de Conexión Rápido Macho 1/4"</t>
  </si>
  <si>
    <t>GAV 1360</t>
  </si>
  <si>
    <t>B9-340-015</t>
  </si>
  <si>
    <t>RUEDA PARA HD 585 NO UTILIZAR ESTE CODIGO SOLO B9-340-217</t>
  </si>
  <si>
    <t>B9-340-139</t>
  </si>
  <si>
    <t>BASE DE MAQUINA PARA HD 585</t>
  </si>
  <si>
    <t>A7-312-276</t>
  </si>
  <si>
    <t>Disco p/ KM 70/20</t>
  </si>
  <si>
    <t>GAV 210</t>
  </si>
  <si>
    <t>D2-110-477</t>
  </si>
  <si>
    <t>TAPA PARA HT 500</t>
  </si>
  <si>
    <t>GAV 853</t>
  </si>
  <si>
    <t>A4-730-141</t>
  </si>
  <si>
    <t>A6-363-640</t>
  </si>
  <si>
    <t>A9-803-955</t>
  </si>
  <si>
    <t>ROLL p/ HD 2.3-2.5</t>
  </si>
  <si>
    <t>A4-760-738</t>
  </si>
  <si>
    <t>Lanza dosificadora para K1</t>
  </si>
  <si>
    <t>A5-112-016</t>
  </si>
  <si>
    <t>Borner p/ HDS 801</t>
  </si>
  <si>
    <t>GAV 253</t>
  </si>
  <si>
    <t>A6-648-370</t>
  </si>
  <si>
    <t>Cable Con CLAVIJA</t>
  </si>
  <si>
    <t>C6-491-352</t>
  </si>
  <si>
    <t>TANQUE DE COMBUSTIBLE GX 390</t>
  </si>
  <si>
    <t>D1-110-067</t>
  </si>
  <si>
    <t>GAV 1182</t>
  </si>
  <si>
    <t>A2-885-113</t>
  </si>
  <si>
    <t>By Pass p/ HD 9/50 GE</t>
  </si>
  <si>
    <t>A6-661-201</t>
  </si>
  <si>
    <t>Condesandor p/ 60 MF HDS 558-HD651</t>
  </si>
  <si>
    <t>A2-640-355</t>
  </si>
  <si>
    <t>Limpiador de Superficies FR 30 Inoxidable p/ HD Y HDS</t>
  </si>
  <si>
    <t>A8-632-223</t>
  </si>
  <si>
    <t>EMBRAGUE p/ AXCESS 12</t>
  </si>
  <si>
    <t>A9-177-311</t>
  </si>
  <si>
    <t>GAV 241</t>
  </si>
  <si>
    <t>A7-644-005</t>
  </si>
  <si>
    <t>Fusible C20 p/ B 150</t>
  </si>
  <si>
    <t>A8-757-054</t>
  </si>
  <si>
    <t>Boquilla turbo de aspiracion para TV1</t>
  </si>
  <si>
    <t>A4-055-048</t>
  </si>
  <si>
    <t>Mango de RECAMBIO p/ FC 5</t>
  </si>
  <si>
    <t>A4-762-493</t>
  </si>
  <si>
    <t>Porta pad para B150 con cabezal D90</t>
  </si>
  <si>
    <t>A5-063-507</t>
  </si>
  <si>
    <t>COBERTOR DEL ELECTRODO DEL RM 110</t>
  </si>
  <si>
    <t>GAV 698</t>
  </si>
  <si>
    <t>A6-613-115</t>
  </si>
  <si>
    <t>Motor p/ BR45/40</t>
  </si>
  <si>
    <t>XT0020</t>
  </si>
  <si>
    <t>Pistola de Impacto de 1/2</t>
  </si>
  <si>
    <t>HHH6</t>
  </si>
  <si>
    <t>Turbina de Aspiración p/ Puzzi 8/1, NT 35/1 (110 voltios)</t>
  </si>
  <si>
    <t>V5</t>
  </si>
  <si>
    <t>A9-848-176</t>
  </si>
  <si>
    <t>Juego de Carbones p/ BRC 38/30</t>
  </si>
  <si>
    <t>Válvula de Seguridad</t>
  </si>
  <si>
    <t>A8-613-824</t>
  </si>
  <si>
    <t>Faja  p/ SENSOR XP 12</t>
  </si>
  <si>
    <t>A9-139-193</t>
  </si>
  <si>
    <t>Pistón p/ G3050</t>
  </si>
  <si>
    <t>D1-111-416</t>
  </si>
  <si>
    <t>MICRO DE ACCION RAPIDA</t>
  </si>
  <si>
    <t>GAV 870</t>
  </si>
  <si>
    <t>Piston Macanizado</t>
  </si>
  <si>
    <t>2.863-159.0</t>
  </si>
  <si>
    <t>Boquilla turbo con cepillo para SC 2</t>
  </si>
  <si>
    <t>A2-883-888</t>
  </si>
  <si>
    <t>Set de Pistola p/ Pistola 4.775-254.0</t>
  </si>
  <si>
    <t>GAV 728</t>
  </si>
  <si>
    <t>A8-630-903</t>
  </si>
  <si>
    <t>Piñon p/ AXCESS 12</t>
  </si>
  <si>
    <t>GAV 814</t>
  </si>
  <si>
    <t>I4632821</t>
  </si>
  <si>
    <t>Set de Pads Desechables (7 unidades)</t>
  </si>
  <si>
    <t>A2-884-135</t>
  </si>
  <si>
    <t>Capacitor  A2101 p/ A 2101, A 2004,A 2204</t>
  </si>
  <si>
    <t>CODO PARA K 2.01</t>
  </si>
  <si>
    <t>A4-063-720</t>
  </si>
  <si>
    <t>Pieza de ConEXION</t>
  </si>
  <si>
    <t>RETENEDOR INTERMEDIO p/ HDS 1055 HDS 655 HDS 895 SB-HDW S2</t>
  </si>
  <si>
    <t>A8-624-674</t>
  </si>
  <si>
    <t>Sujetador del Pad p/ BDP 51/1500</t>
  </si>
  <si>
    <t>A8-625-525</t>
  </si>
  <si>
    <t>RESORTE p/ Windsor WAVE 28</t>
  </si>
  <si>
    <t>GAV 344</t>
  </si>
  <si>
    <t>Manguera de Aspiración p/ BV 5/1</t>
  </si>
  <si>
    <t>D1-110-105</t>
  </si>
  <si>
    <t>SEGURO PIN</t>
  </si>
  <si>
    <t>GAV 862</t>
  </si>
  <si>
    <t>A4-291-014</t>
  </si>
  <si>
    <t>HUSILLO p/ HD 651 HD 5/12 C, G 4000 RH</t>
  </si>
  <si>
    <t>GAV 724</t>
  </si>
  <si>
    <t>Turbina de Aspiración BR 30/4</t>
  </si>
  <si>
    <t>A6-362-458</t>
  </si>
  <si>
    <t>ORING 11.0 X 2.0 PARA HD-HDS</t>
  </si>
  <si>
    <t>Condesandor de 40UF p/ HDS 3.5</t>
  </si>
  <si>
    <t>C0-000-072</t>
  </si>
  <si>
    <t>CODO TUBO ESCAPE</t>
  </si>
  <si>
    <t>D2-111-457</t>
  </si>
  <si>
    <t>DISCO DE ACCIONAMIENTO</t>
  </si>
  <si>
    <t>GAV 1352</t>
  </si>
  <si>
    <t>A4-515-345</t>
  </si>
  <si>
    <t>Rueda p/ HDS 7/11</t>
  </si>
  <si>
    <t>A6-661-220</t>
  </si>
  <si>
    <t>Condesandor 80 MF p/ BR 40/25, BR 40/10 - B40</t>
  </si>
  <si>
    <t>A6-906-041</t>
  </si>
  <si>
    <t>Cepillo Central  p/ KM 70/20, KM 70/30</t>
  </si>
  <si>
    <t>A6-906-064</t>
  </si>
  <si>
    <t>Boquilla de PISO p/ T 10/1</t>
  </si>
  <si>
    <t>A8-614-155</t>
  </si>
  <si>
    <t>Tubo de extension para Sensor XP 12</t>
  </si>
  <si>
    <t>A8-758-083</t>
  </si>
  <si>
    <t>Set de Retenedores con Borner p/ HD 3.4</t>
  </si>
  <si>
    <t>A8-755-860</t>
  </si>
  <si>
    <t>Kit de ruedas para K1700</t>
  </si>
  <si>
    <t>I4624872</t>
  </si>
  <si>
    <t>Rueda izquierda para serie E &amp; I</t>
  </si>
  <si>
    <t>I4636423</t>
  </si>
  <si>
    <t>Set de Cepillo p/ Roomba 880</t>
  </si>
  <si>
    <t>A4-402-022</t>
  </si>
  <si>
    <t>Mini Lanza p/ HD Y HDS</t>
  </si>
  <si>
    <t>A4-515-307</t>
  </si>
  <si>
    <t>Juego de ruedas de recambio para SC 2</t>
  </si>
  <si>
    <t>D2-122-318</t>
  </si>
  <si>
    <t>SARANDA N 0.8 PARA TRF-500/700</t>
  </si>
  <si>
    <t>I4420155</t>
  </si>
  <si>
    <t>Módulo de Cepillo Lateral p/ Roomba Serie 600 &amp; 800</t>
  </si>
  <si>
    <t>A4-623-750</t>
  </si>
  <si>
    <t>Motor p/ EB 30/1</t>
  </si>
  <si>
    <t>Anillo de Tolerancia p/ HDS 895HD 10/25 - HDS 7/11</t>
  </si>
  <si>
    <t>A6-661-215</t>
  </si>
  <si>
    <t>capacitor</t>
  </si>
  <si>
    <t>A9-135-015</t>
  </si>
  <si>
    <t>Cabezal de Cilindro P/ G 2500</t>
  </si>
  <si>
    <t>A4-035-490</t>
  </si>
  <si>
    <t>Filtro de BOYA p/ B40</t>
  </si>
  <si>
    <t>Condesandor 50MF p/ HDS 3.5</t>
  </si>
  <si>
    <t>A7-304-033</t>
  </si>
  <si>
    <t>Tornillo HEXAGONAL M8X100</t>
  </si>
  <si>
    <t>GAV 822</t>
  </si>
  <si>
    <t>A8-757-045</t>
  </si>
  <si>
    <t>Manguera de aspiracion para TV1</t>
  </si>
  <si>
    <t>A4-762-447</t>
  </si>
  <si>
    <t>Porta Pad p/ Cabezal B140</t>
  </si>
  <si>
    <t>A6-401-419</t>
  </si>
  <si>
    <t>TORNIQUETE de B 140</t>
  </si>
  <si>
    <t>A8-621-513</t>
  </si>
  <si>
    <t>Barra de Ajuste p/ BOLT 20</t>
  </si>
  <si>
    <t>A9-755-083</t>
  </si>
  <si>
    <t>Codo K2.360</t>
  </si>
  <si>
    <t>A8-642-866</t>
  </si>
  <si>
    <t>Barra de ajuste</t>
  </si>
  <si>
    <t>D1-110-062</t>
  </si>
  <si>
    <t>Arandela para ES-650</t>
  </si>
  <si>
    <t>GAV 1326</t>
  </si>
  <si>
    <t>MC037100SJ</t>
  </si>
  <si>
    <t>Motor Eléctrico 1 HP, 120,240V</t>
  </si>
  <si>
    <t>A4-111-030</t>
  </si>
  <si>
    <t>Adaptador de Manguera (Easy lock) p/ Equipo Y Pistola M22X1.5</t>
  </si>
  <si>
    <t>Juego de RuedaS p/ K 5</t>
  </si>
  <si>
    <t>A4-822-676</t>
  </si>
  <si>
    <t>Juego de cables de paneL de control p/ B 250D</t>
  </si>
  <si>
    <t>A5-585-004</t>
  </si>
  <si>
    <t>FLOTADOR PARA HDS 1295HDS 655HDS 695HDS 895</t>
  </si>
  <si>
    <t>A7-343-303</t>
  </si>
  <si>
    <t>GAV 990</t>
  </si>
  <si>
    <t>A8-632-220</t>
  </si>
  <si>
    <t>Soporte de Interruptor p/ AXCESS</t>
  </si>
  <si>
    <t>GAV 918</t>
  </si>
  <si>
    <t>A9-803-158</t>
  </si>
  <si>
    <t>Cojinete p/ HD 3.8-3.5</t>
  </si>
  <si>
    <t>A9-776-030</t>
  </si>
  <si>
    <t>CODO DE GRAPA K293</t>
  </si>
  <si>
    <t>A4-762-521</t>
  </si>
  <si>
    <t>Cepillo Central p/ KM 105</t>
  </si>
  <si>
    <t>A6-470-238.3</t>
  </si>
  <si>
    <t>GRUPO MOTOBomba p/ OC 3</t>
  </si>
  <si>
    <t>A8-632-245</t>
  </si>
  <si>
    <t>Boquilla de RANURAS p/ AXCESS 12</t>
  </si>
  <si>
    <t>Turbina de Aspiración WD 3200</t>
  </si>
  <si>
    <t>Interruptor p/ HD 10/25- HD 3.5</t>
  </si>
  <si>
    <t>A8-757-053</t>
  </si>
  <si>
    <t>Boquilla de piso para TV1</t>
  </si>
  <si>
    <t>A5-100-231</t>
  </si>
  <si>
    <t>HEMBRILLA p/ KM 100/100</t>
  </si>
  <si>
    <t>A5-116-119</t>
  </si>
  <si>
    <t>Pin P KM 70/20</t>
  </si>
  <si>
    <t>GAV 100</t>
  </si>
  <si>
    <t>B9-302-008</t>
  </si>
  <si>
    <t>PISTON PARA K  JUNIOR Y K 340</t>
  </si>
  <si>
    <t>5.055-061.0</t>
  </si>
  <si>
    <t>Junta para FC 5</t>
  </si>
  <si>
    <t>GAV 1277</t>
  </si>
  <si>
    <t>A2-640-482</t>
  </si>
  <si>
    <t>Set de Boquillas 25018 p/ FR 30</t>
  </si>
  <si>
    <t>A5-515-357</t>
  </si>
  <si>
    <t>Rueda p/ K 2</t>
  </si>
  <si>
    <t>A7-306-129</t>
  </si>
  <si>
    <t>GAV 1334</t>
  </si>
  <si>
    <t>A8-616-378</t>
  </si>
  <si>
    <t>Anillo p/ TITAN (Windsor)</t>
  </si>
  <si>
    <t>A8-616-415</t>
  </si>
  <si>
    <t>Interruptor p/ TITAN (Windsor)</t>
  </si>
  <si>
    <t>A8-632-214</t>
  </si>
  <si>
    <t>Filtro EXTERNO p/ ACXESS 12</t>
  </si>
  <si>
    <t>A2-645-179</t>
  </si>
  <si>
    <t>Manguera con refuerzo en espiral.</t>
  </si>
  <si>
    <t>EEE4</t>
  </si>
  <si>
    <t>A4-111-033</t>
  </si>
  <si>
    <t>Adaptador  Pistola EASY LOCK A Lanza Con ROSCA M22 X 1.5</t>
  </si>
  <si>
    <t>A5-250-147-1</t>
  </si>
  <si>
    <t>Almacén deRECHO p/ EB 30 / 1</t>
  </si>
  <si>
    <t>GAV 272</t>
  </si>
  <si>
    <t>A5-585-032</t>
  </si>
  <si>
    <t>FLOTADOR PUZZI 300</t>
  </si>
  <si>
    <t>Kit de plato de Válvula</t>
  </si>
  <si>
    <t>A6-402-071</t>
  </si>
  <si>
    <t>Válvula de Seguridad p/ SGV 6/15</t>
  </si>
  <si>
    <t>GAV 894</t>
  </si>
  <si>
    <t>A9-802-622</t>
  </si>
  <si>
    <t>A4-401-074</t>
  </si>
  <si>
    <t>Acople p/ HD 5/12</t>
  </si>
  <si>
    <t>A4-401-096</t>
  </si>
  <si>
    <t>ROL AXIAL p/ G 4000 OH</t>
  </si>
  <si>
    <t>A4-580-773</t>
  </si>
  <si>
    <t>Válvula Completa</t>
  </si>
  <si>
    <t>Rueda p/ NT 90/2</t>
  </si>
  <si>
    <t>A9-803-142</t>
  </si>
  <si>
    <t>RETENEDOR de Aceite p/ HD 3.8-3.5</t>
  </si>
  <si>
    <t>I4462425</t>
  </si>
  <si>
    <t>Batería p/ Roomba 980</t>
  </si>
  <si>
    <t>I4624871</t>
  </si>
  <si>
    <t>Modulo de Cepillos Centrales para Serie E &amp; I</t>
  </si>
  <si>
    <t>VP50</t>
  </si>
  <si>
    <t>Boquilla de 3 Chorros (40, 80. 110 Micras) p/ Victory Innovation</t>
  </si>
  <si>
    <t>A2-645-161</t>
  </si>
  <si>
    <t>Porta Mangueras Plus p/ Pared</t>
  </si>
  <si>
    <t>A4-623-789</t>
  </si>
  <si>
    <t>Motor Completo p/ HDS 3.5</t>
  </si>
  <si>
    <t>A5-258-046</t>
  </si>
  <si>
    <t>Mango EMBALADO</t>
  </si>
  <si>
    <t>A6-402-089</t>
  </si>
  <si>
    <t>Electro VAlVULA p/ SGV 6/5</t>
  </si>
  <si>
    <t>A6-403-006</t>
  </si>
  <si>
    <t>ANILLO ESPACIADOR</t>
  </si>
  <si>
    <t>A6-490-139</t>
  </si>
  <si>
    <t>TURBINA DE ASPIRACION IV 60/24-2</t>
  </si>
  <si>
    <t>A2-640-151</t>
  </si>
  <si>
    <t>Lanza de Innofoam con Válvula</t>
  </si>
  <si>
    <t>A5-063-616</t>
  </si>
  <si>
    <t>ENTRADA DE AGUA p/ PARA HD 651 Y HD 658</t>
  </si>
  <si>
    <t>A5-731-652</t>
  </si>
  <si>
    <t>Filtro con Peso p/ HD 585</t>
  </si>
  <si>
    <t>GAV 528</t>
  </si>
  <si>
    <t>A6-902-154</t>
  </si>
  <si>
    <t>Tubo de Aspiración p/ NT 48/1, NT 35/1</t>
  </si>
  <si>
    <t>A5-060-605</t>
  </si>
  <si>
    <t>Guía de Pistones HD 855</t>
  </si>
  <si>
    <t>A5-110-659</t>
  </si>
  <si>
    <t>GAV 679</t>
  </si>
  <si>
    <t>A6-273-037</t>
  </si>
  <si>
    <t>Empaque de Hule p/ BR 40/10 BR 35/12</t>
  </si>
  <si>
    <t>A7-367-018</t>
  </si>
  <si>
    <t>RETENEDOR 26 X 37 X 7 HD 801 - 830 - G 2500 - K 520</t>
  </si>
  <si>
    <t>RETENEDOR de Aceite 26X37X7</t>
  </si>
  <si>
    <t>GAV 743</t>
  </si>
  <si>
    <t>A8-614-716</t>
  </si>
  <si>
    <t>A9-104-024</t>
  </si>
  <si>
    <t>Juego de Boquillas p/ HD 2.3 2.5</t>
  </si>
  <si>
    <t>A4-515-272</t>
  </si>
  <si>
    <t>Rueda p/ PUZZI</t>
  </si>
  <si>
    <t>A4-730-059</t>
  </si>
  <si>
    <t>Filtro de Agua p/  HD 585, HD 5/12&amp; Domésticas</t>
  </si>
  <si>
    <t>A8-624-168</t>
  </si>
  <si>
    <t>Boquilla p/ BRC 38/30</t>
  </si>
  <si>
    <t>GAV 290</t>
  </si>
  <si>
    <t>By Pass p/ HD 10/25</t>
  </si>
  <si>
    <t>A4-111-031</t>
  </si>
  <si>
    <t>Adaptador de Lanza Easy Lock A Pistola Con Rosca M22 X 1.5</t>
  </si>
  <si>
    <t>A4-623-959</t>
  </si>
  <si>
    <t>Motor p/ HDS 10/20</t>
  </si>
  <si>
    <t>A6-401-471</t>
  </si>
  <si>
    <t>Tornillo p/ p/ Cabezal de B 140</t>
  </si>
  <si>
    <t>GAV 237</t>
  </si>
  <si>
    <t>A6-906-097</t>
  </si>
  <si>
    <t>BOLSA DE PAPEL CW 50 10 UNID.</t>
  </si>
  <si>
    <t>A7-311-067</t>
  </si>
  <si>
    <t>TUERCA PARA BR 400</t>
  </si>
  <si>
    <t>A9-149-006</t>
  </si>
  <si>
    <t>Guía deSLIZANTE p/ HD 3.8</t>
  </si>
  <si>
    <t>GAV 282</t>
  </si>
  <si>
    <t>A2-883-804</t>
  </si>
  <si>
    <t>Boquilla Fija 25048 p/ HDS  7-11 HDS E 3.3</t>
  </si>
  <si>
    <t>A6-343-027</t>
  </si>
  <si>
    <t>ANILLO DE TOLERANCIA HDS 1055HDS 1295HDS 655HDS 895.HDS 695</t>
  </si>
  <si>
    <t>A8-616-432</t>
  </si>
  <si>
    <t>Rueda  p/ TITAN (Windsor)</t>
  </si>
  <si>
    <t>C0-000-210</t>
  </si>
  <si>
    <t>Cable Electrico TSJ 3X14</t>
  </si>
  <si>
    <t>G5</t>
  </si>
  <si>
    <t>D3-111-563</t>
  </si>
  <si>
    <t>CAPACITOR PARA SF-3000</t>
  </si>
  <si>
    <t>A4-063-089</t>
  </si>
  <si>
    <t>Motor p/ DS 43/35</t>
  </si>
  <si>
    <t>A5-443-056</t>
  </si>
  <si>
    <t>Tuerca PUZZI 300</t>
  </si>
  <si>
    <t>GAV 631</t>
  </si>
  <si>
    <t>A8-614-288</t>
  </si>
  <si>
    <t>Cable INTERNO p/ SENSOR XP 12</t>
  </si>
  <si>
    <t>A8-614-306</t>
  </si>
  <si>
    <t>Pin p/ SENSOR XP 12</t>
  </si>
  <si>
    <t>A8-753-640</t>
  </si>
  <si>
    <t>MUFLA  p/ G 3200</t>
  </si>
  <si>
    <t>Turbina de Aspiración p/ DS 5.800</t>
  </si>
  <si>
    <t>A6-630-082</t>
  </si>
  <si>
    <t>PROTECTOR DE INTERRUPTOR</t>
  </si>
  <si>
    <t>A7-303-194</t>
  </si>
  <si>
    <t>Tornillo de Soporte</t>
  </si>
  <si>
    <t>A8-622-328</t>
  </si>
  <si>
    <t>Polea p/ LIGHTING 20"</t>
  </si>
  <si>
    <t>A8-754-842</t>
  </si>
  <si>
    <t>Tapa p/ HD 3.4</t>
  </si>
  <si>
    <t>A8-754-850</t>
  </si>
  <si>
    <t>GAV 485</t>
  </si>
  <si>
    <t>A9-079-004</t>
  </si>
  <si>
    <t>ANILLO DE APOYO PARA K 310 K330</t>
  </si>
  <si>
    <t>GAV 216</t>
  </si>
  <si>
    <t>Válvula de Disco p/ HDS 558 - 7/11</t>
  </si>
  <si>
    <t>GAV 1224</t>
  </si>
  <si>
    <t>Manguera de Aspiración p/ NT 38/1-20/1</t>
  </si>
  <si>
    <t>A4-117-036</t>
  </si>
  <si>
    <t>Boquilla Triple 0.45 p/ HD 3.5</t>
  </si>
  <si>
    <t>A2-815-100</t>
  </si>
  <si>
    <t>Conjunto de Baterías 12V/105  AH p/ B40, B50/50</t>
  </si>
  <si>
    <t>Faja p/ CV 30/1 (2 unidades)</t>
  </si>
  <si>
    <t>EMBRAGUE FC 3</t>
  </si>
  <si>
    <t>Tapa de Aceite p/ HD - HDS</t>
  </si>
  <si>
    <t>A7-306-022</t>
  </si>
  <si>
    <t>Tornillo p/ B 140</t>
  </si>
  <si>
    <t>A2-883-404</t>
  </si>
  <si>
    <t>Boquilla Fija 25070 p/ HD 2000 C</t>
  </si>
  <si>
    <t>A6-388-910</t>
  </si>
  <si>
    <t>Manguera de Alta Presión</t>
  </si>
  <si>
    <t>A6-644-272</t>
  </si>
  <si>
    <t>Fusible PLANO MEGA de 50A p/ B 150</t>
  </si>
  <si>
    <t>A8-600-712</t>
  </si>
  <si>
    <t>Interruptor BRC 38/30 3 POSICIONES</t>
  </si>
  <si>
    <t>PA121600AV</t>
  </si>
  <si>
    <t>Manguera de 3/8" x 50´- 300 PSI  maximos (Campbell Hausfeld)</t>
  </si>
  <si>
    <t>FFF4</t>
  </si>
  <si>
    <t>A2-639-920</t>
  </si>
  <si>
    <t>Juego de Cierre BR 400</t>
  </si>
  <si>
    <t>A4-401-059</t>
  </si>
  <si>
    <t>Acople p/ Manguera PLASTICO p/ HD 651</t>
  </si>
  <si>
    <t>GAV 721</t>
  </si>
  <si>
    <t>A6-362-984</t>
  </si>
  <si>
    <t>Oring 3 x 1.5 para HD 7/13</t>
  </si>
  <si>
    <t>GAV 640</t>
  </si>
  <si>
    <t>A6-631-816</t>
  </si>
  <si>
    <t>MICRO INTERRUPTOR PARA B-60</t>
  </si>
  <si>
    <t>A8-616-429</t>
  </si>
  <si>
    <t>Rueda GIRATORIA  p/ TITAN (Windsor)</t>
  </si>
  <si>
    <t>Pin Axionante p/ HD 585</t>
  </si>
  <si>
    <t>6.362-015.0</t>
  </si>
  <si>
    <t>Anillo de Obturación 21X30X2</t>
  </si>
  <si>
    <t>A5-310-000</t>
  </si>
  <si>
    <t>Tuerca p/ Pistola p/ PUZZI 8/1</t>
  </si>
  <si>
    <t>A6-362-921</t>
  </si>
  <si>
    <t>SET DE ORING (HDS 500)</t>
  </si>
  <si>
    <t>A6-959-000</t>
  </si>
  <si>
    <t>Boquilla de Piso p/ WD1 &amp; MV 1</t>
  </si>
  <si>
    <t>A8-639-004</t>
  </si>
  <si>
    <t>Manguera para PS 4/7</t>
  </si>
  <si>
    <t>A9-763-175</t>
  </si>
  <si>
    <t>Condesandor de 250 MF p/ BD 50/60</t>
  </si>
  <si>
    <t>A4-446-019</t>
  </si>
  <si>
    <t>Acople p/ Manguera de Agua p/ PUZZI 8/1 - 100 - 300</t>
  </si>
  <si>
    <t>a5-321-435</t>
  </si>
  <si>
    <t>A8-628-444</t>
  </si>
  <si>
    <t>Boquilla de PISO p/ VAC PAC 6</t>
  </si>
  <si>
    <t>8.756-233.0</t>
  </si>
  <si>
    <t>Filtro de Aire p G 2700</t>
  </si>
  <si>
    <t>A7-312-166</t>
  </si>
  <si>
    <t>Arandela Dentada p/ HDS 895 S</t>
  </si>
  <si>
    <t>A9-763-046</t>
  </si>
  <si>
    <t>Cordon obturador de caucho</t>
  </si>
  <si>
    <t>Mango de Manguera de Aspiración WD 3</t>
  </si>
  <si>
    <t>A4-421-235</t>
  </si>
  <si>
    <t>PiezaS de RECAMBIO P/ Tubería de SERPENTIN p/ HDS 655, HDS 3.5, HDS 895</t>
  </si>
  <si>
    <t>A6-626-042</t>
  </si>
  <si>
    <t>Estela Filtrante de Varias Capas p/ PC 100 M1,M2 BIO</t>
  </si>
  <si>
    <t>A6-645-839</t>
  </si>
  <si>
    <t>Cargador p/ EB 30/1</t>
  </si>
  <si>
    <t>A6-905-037</t>
  </si>
  <si>
    <t>FijaCION IZQUIERDA KMR 1200</t>
  </si>
  <si>
    <t>Chaveta p/ BD 55/60</t>
  </si>
  <si>
    <t>GAV 888</t>
  </si>
  <si>
    <t>A4-035-252</t>
  </si>
  <si>
    <t>Flotador para BR 35/12</t>
  </si>
  <si>
    <t>A4-427-014</t>
  </si>
  <si>
    <t>Pieza de Nudos p/ Pistola EASY FORCE</t>
  </si>
  <si>
    <t>A4-744-224</t>
  </si>
  <si>
    <t>MicroInterruptor p/ HD 6/14 C</t>
  </si>
  <si>
    <t>A4-744-225</t>
  </si>
  <si>
    <t>ConTENEDOR de Aceite p/ HD 10/25</t>
  </si>
  <si>
    <t>Depósito de Aceite p/ HD 5/12</t>
  </si>
  <si>
    <t>A8-613-822</t>
  </si>
  <si>
    <t>Faja p/ AXCESS 12</t>
  </si>
  <si>
    <t>A8-706-557</t>
  </si>
  <si>
    <t>Cobertor de resorte para HD 2.0/1000</t>
  </si>
  <si>
    <t>A9-803-969</t>
  </si>
  <si>
    <t>Oring2.62 X 107.62 p/ HD 2.3/2.5</t>
  </si>
  <si>
    <t>A9-804-581</t>
  </si>
  <si>
    <t>Oring 3.53 X 55.56</t>
  </si>
  <si>
    <t>GAV 365</t>
  </si>
  <si>
    <t>A6-362-467</t>
  </si>
  <si>
    <t>Set de Oring HD-HDS p/ HD 651 HDS 1295 HDS 895</t>
  </si>
  <si>
    <t>GAV 860</t>
  </si>
  <si>
    <t>A6-631-759</t>
  </si>
  <si>
    <t>MICROINTERRUPTOR (K 620)</t>
  </si>
  <si>
    <t>Juego de Anillos</t>
  </si>
  <si>
    <t>2.863-243.0</t>
  </si>
  <si>
    <t>Set de Paños de Microfibra p/ SC 2 EASY FIX</t>
  </si>
  <si>
    <t>2.863-293.0</t>
  </si>
  <si>
    <t>Filtro Hepa para VC 1</t>
  </si>
  <si>
    <t>Cabezal de Cilindro p/ HD 7/12</t>
  </si>
  <si>
    <t>Correa deNTADA BR 40/25</t>
  </si>
  <si>
    <t>A8-755-853</t>
  </si>
  <si>
    <t>Set de boquillas para K1700</t>
  </si>
  <si>
    <t>A4-013-010</t>
  </si>
  <si>
    <t>Extración de Barra de Aspiración</t>
  </si>
  <si>
    <t>A6-365-055</t>
  </si>
  <si>
    <t>RETENEDOR DE AGUA PARA HDS 1295 HDS 895***</t>
  </si>
  <si>
    <t>GAV 604</t>
  </si>
  <si>
    <t>A6-415-641</t>
  </si>
  <si>
    <t>Inyector HDS 895 - HDS 10/20</t>
  </si>
  <si>
    <t>GAV 199</t>
  </si>
  <si>
    <t>D1-110-122</t>
  </si>
  <si>
    <t>GAV 864</t>
  </si>
  <si>
    <t>A7-303-047</t>
  </si>
  <si>
    <t>GAV 926</t>
  </si>
  <si>
    <t>Juego de Anillos del Pistón</t>
  </si>
  <si>
    <t>A4-401-073</t>
  </si>
  <si>
    <t>Acople de Bronce p/ HD &amp; HDS</t>
  </si>
  <si>
    <t>A4-581-019</t>
  </si>
  <si>
    <t>Asiento de Válvula p/ HD 1090,HD 1094,HD 1050B</t>
  </si>
  <si>
    <t>GAV 66</t>
  </si>
  <si>
    <t>A5-063-457</t>
  </si>
  <si>
    <t>TAPA DE ABANICO PARA HDS 1055 HDS 1295 HDS 655 HDS 695  HDS 895</t>
  </si>
  <si>
    <t>MicroInterruptor p/ BR 35/12</t>
  </si>
  <si>
    <t>GAV 385</t>
  </si>
  <si>
    <t>A8-632-483</t>
  </si>
  <si>
    <t>Rueda p/ AXCESS 12</t>
  </si>
  <si>
    <t>I4475784</t>
  </si>
  <si>
    <t>Batería p/ Braava Jet 240 con cargador</t>
  </si>
  <si>
    <t>A5-033-143</t>
  </si>
  <si>
    <t>Codo de SUCCION p/ PUZZI 8/1</t>
  </si>
  <si>
    <t>A6-490-095</t>
  </si>
  <si>
    <t>Turbina de Aspiración BR 400</t>
  </si>
  <si>
    <t>Interruptor p/ BR 530, BR 30/4</t>
  </si>
  <si>
    <t>GAV 1269</t>
  </si>
  <si>
    <t>A7-303-065</t>
  </si>
  <si>
    <t>Tornillo p/ BR 530</t>
  </si>
  <si>
    <t>GAV 1000</t>
  </si>
  <si>
    <t>A8-621-912</t>
  </si>
  <si>
    <t>Manguera p/ NT 66/2</t>
  </si>
  <si>
    <t>MP268000AV</t>
  </si>
  <si>
    <t>Lubricador 1/4" NPT Port</t>
  </si>
  <si>
    <t>A6-903-062</t>
  </si>
  <si>
    <t>Labio de Hule pata NT 72/2</t>
  </si>
  <si>
    <t>A9-001-748</t>
  </si>
  <si>
    <t>Codo p/ K 5.540</t>
  </si>
  <si>
    <t>A5-363-658</t>
  </si>
  <si>
    <t>Tapón de Hule</t>
  </si>
  <si>
    <t>Boquilla Fija 25034 p/ HD 585</t>
  </si>
  <si>
    <t>A2-883-826</t>
  </si>
  <si>
    <t>Set de Bomba p/ K 520M</t>
  </si>
  <si>
    <t>A4-580-754</t>
  </si>
  <si>
    <t>Válvula deL TERMOSTATO  p/ HD 9/50 GE</t>
  </si>
  <si>
    <t>A4-581-049</t>
  </si>
  <si>
    <t>Asiento de Válvula  p/ Pistola 4.775-026.0</t>
  </si>
  <si>
    <t>A5-364-237</t>
  </si>
  <si>
    <t>PROTECCION de BORdeS p/ KM 85/50</t>
  </si>
  <si>
    <t>Juego de PROTECCION de FRENO p/ BR 75/140</t>
  </si>
  <si>
    <t>Válvula Check</t>
  </si>
  <si>
    <t>A4-580-811</t>
  </si>
  <si>
    <t>By Pass COMPLETO p/ HD 9/50</t>
  </si>
  <si>
    <t>A5-063-563</t>
  </si>
  <si>
    <t>Tapa de Caja Eléctrica  p/  K 620 M</t>
  </si>
  <si>
    <t>A6-363-006</t>
  </si>
  <si>
    <t>GAV 737</t>
  </si>
  <si>
    <t>A4-580-783</t>
  </si>
  <si>
    <t>Válvula de Seguridad p/ HD 6/14 C</t>
  </si>
  <si>
    <t>GAV 772</t>
  </si>
  <si>
    <t>MicroInterruptor p/ HD 585 HDS 558C HDS 655 HDS 895 HD 651Y HD 658</t>
  </si>
  <si>
    <t>A7-306-153</t>
  </si>
  <si>
    <t>Tornillo de Cabeza CILINDRICA</t>
  </si>
  <si>
    <t>GAV 521</t>
  </si>
  <si>
    <t>A7-343-306</t>
  </si>
  <si>
    <t>Arandela de PRESION p/ BR 55-60</t>
  </si>
  <si>
    <t>A4-035-128</t>
  </si>
  <si>
    <t>Cubierta de panel para B60</t>
  </si>
  <si>
    <t>A8-629-045</t>
  </si>
  <si>
    <t>Tubo p/ CV 66/2</t>
  </si>
  <si>
    <t>Piston p/ HD 585</t>
  </si>
  <si>
    <t>A5-064-459</t>
  </si>
  <si>
    <t>Tapa Gris p/ HDS 10/20</t>
  </si>
  <si>
    <t>A7-348-009</t>
  </si>
  <si>
    <t>Correa TRAPECIAL KM 85/50</t>
  </si>
  <si>
    <t>a8-622-552</t>
  </si>
  <si>
    <t>Turbina de Aspiración p/ CV 66/2</t>
  </si>
  <si>
    <t>A8-622-571</t>
  </si>
  <si>
    <t>Arandela p/ BOLT 20</t>
  </si>
  <si>
    <t>GAV 301</t>
  </si>
  <si>
    <t>A2-883-258</t>
  </si>
  <si>
    <t>Juego de Piezas de Repuesto Neutral p/ K5.85</t>
  </si>
  <si>
    <t>A8-630-182</t>
  </si>
  <si>
    <t>Transformador 24 V p/ BRC 38/ 30 C</t>
  </si>
  <si>
    <t>A2-883-406</t>
  </si>
  <si>
    <t>Boquilla Fija 25080 p/  HDS 1291,HDS 655</t>
  </si>
  <si>
    <t>A4-037-059</t>
  </si>
  <si>
    <t>Labio de Aspiración p/ BD 38/12</t>
  </si>
  <si>
    <t>A5-321-736</t>
  </si>
  <si>
    <t>Asidero de Barredora KM 70/20</t>
  </si>
  <si>
    <t>A6-303-501</t>
  </si>
  <si>
    <t>Tornillo p/ K 5.85</t>
  </si>
  <si>
    <t>A6-401-384</t>
  </si>
  <si>
    <t>ROL  p/ HD 9/50 GE</t>
  </si>
  <si>
    <t>A8-640-612</t>
  </si>
  <si>
    <t>Pedal p/ SENSOR XP 12</t>
  </si>
  <si>
    <t>A4-553-326</t>
  </si>
  <si>
    <t>GAV 392</t>
  </si>
  <si>
    <t>A5-110-899</t>
  </si>
  <si>
    <t>Manguito p/ BR 75/140</t>
  </si>
  <si>
    <t>GAV 1055</t>
  </si>
  <si>
    <t>A6-431-055</t>
  </si>
  <si>
    <t>Cobertor p/ Cable de ConTROL p/ HD 1050</t>
  </si>
  <si>
    <t>Válvula de Chequeo</t>
  </si>
  <si>
    <t>A7-318-003</t>
  </si>
  <si>
    <t>CUÑA PARA HDS 558 C</t>
  </si>
  <si>
    <t>GAV 496</t>
  </si>
  <si>
    <t>A8-600-711</t>
  </si>
  <si>
    <t>Interruptor p/  BDS 51/175 C y BDS 43/175</t>
  </si>
  <si>
    <t>A9-081-420</t>
  </si>
  <si>
    <t>Oring 17.86 X 2.62 p/ K 3.68 - 2.68</t>
  </si>
  <si>
    <t>Bolsa de Papel p/ NT 38/1 (10 unidades)</t>
  </si>
  <si>
    <t>L1</t>
  </si>
  <si>
    <t>I4650994</t>
  </si>
  <si>
    <t>Bateria para Roomba S9</t>
  </si>
  <si>
    <t>A2-644-061</t>
  </si>
  <si>
    <t>Cepillo Rotativo WB 120</t>
  </si>
  <si>
    <t>A2-644-064</t>
  </si>
  <si>
    <t>Cepillo Rotativo negro para WB 120</t>
  </si>
  <si>
    <t>A5-036-715</t>
  </si>
  <si>
    <t>SEGURO de Labio ANTISALPICADURAS p/ B 250</t>
  </si>
  <si>
    <t>A5-550-294</t>
  </si>
  <si>
    <t>Cabezal p/ G 2500</t>
  </si>
  <si>
    <t>A7-316-346</t>
  </si>
  <si>
    <t>Pasador PARTIDO</t>
  </si>
  <si>
    <t>A4-580-076.3</t>
  </si>
  <si>
    <t>Valvula de arranque para HD 7/13</t>
  </si>
  <si>
    <t>GAV 1243</t>
  </si>
  <si>
    <t>A8-613-667</t>
  </si>
  <si>
    <t>Tornillo p/ Cepillo Storn Deluxe</t>
  </si>
  <si>
    <t>GAV 320</t>
  </si>
  <si>
    <t>A9-770-862</t>
  </si>
  <si>
    <t>Eje p/ NT 90/2</t>
  </si>
  <si>
    <t>B9-302-740</t>
  </si>
  <si>
    <t>ARROLLADOR DE CABLE PARA VC 5100</t>
  </si>
  <si>
    <t>B9-303-188</t>
  </si>
  <si>
    <t>Set de Reparación de By Pass</t>
  </si>
  <si>
    <t>C0-000-023</t>
  </si>
  <si>
    <t>Arrancador Completo GX 390</t>
  </si>
  <si>
    <t>SR060513SV</t>
  </si>
  <si>
    <t>Válvula de Drenaje para DC06</t>
  </si>
  <si>
    <t>A6-964-523</t>
  </si>
  <si>
    <t>Perno columna de direccion para BR 35/12</t>
  </si>
  <si>
    <t>GAV 1308</t>
  </si>
  <si>
    <t>A5-037-326</t>
  </si>
  <si>
    <t>Manguito de Aspiración p/ BR 35/12</t>
  </si>
  <si>
    <t>A6-362-527</t>
  </si>
  <si>
    <t>ORING 12.0 X 1.5 PARA HD 1050 B</t>
  </si>
  <si>
    <t>Biela con Extremo Inferior, Conexion y Tornillos</t>
  </si>
  <si>
    <t>A4-427-012</t>
  </si>
  <si>
    <t>Tubería de Alimentación p/ HDS 3.5</t>
  </si>
  <si>
    <t>A8-925-059</t>
  </si>
  <si>
    <t>Bumper para HD 3.5/40</t>
  </si>
  <si>
    <t>D1-111-432</t>
  </si>
  <si>
    <t>GAV 863</t>
  </si>
  <si>
    <t>Faja en V A-27</t>
  </si>
  <si>
    <t>129-01-158</t>
  </si>
  <si>
    <t>Tapa de volante para Motor GX 160</t>
  </si>
  <si>
    <t>A4-680-144</t>
  </si>
  <si>
    <t>SERPENTIN p/ HDS 3.5</t>
  </si>
  <si>
    <t>A7-373-025</t>
  </si>
  <si>
    <t>Abrazadera p/ PUZZI 300</t>
  </si>
  <si>
    <t>GAV 222</t>
  </si>
  <si>
    <t>A5-049-657</t>
  </si>
  <si>
    <t>ELEMENTO de Chapa</t>
  </si>
  <si>
    <t>A6-348-431</t>
  </si>
  <si>
    <t>Correa deNTADA BR 40/10 - 45/40</t>
  </si>
  <si>
    <t>A6-363-166</t>
  </si>
  <si>
    <t>Oring p/ Filtro p/ HD 9/50</t>
  </si>
  <si>
    <t>GAV 736</t>
  </si>
  <si>
    <t>A7-303-226</t>
  </si>
  <si>
    <t>Tornillo p/ B40</t>
  </si>
  <si>
    <t>GAV 1349</t>
  </si>
  <si>
    <t>A8-600-240</t>
  </si>
  <si>
    <t>Gaza p/ BRC 38/30</t>
  </si>
  <si>
    <t>GAV 413</t>
  </si>
  <si>
    <t>A5-116-327</t>
  </si>
  <si>
    <t>Disco 25 D 14</t>
  </si>
  <si>
    <t>GAV 1029</t>
  </si>
  <si>
    <t>A8-613-733</t>
  </si>
  <si>
    <t>Anillo de Seguridad p/ BOLT</t>
  </si>
  <si>
    <t>GAV 359</t>
  </si>
  <si>
    <t>A4-692-025</t>
  </si>
  <si>
    <t>Conducción de Aire BR 400</t>
  </si>
  <si>
    <t>A6-394-491-1</t>
  </si>
  <si>
    <t>Botella p/ Detergente 2 LTS</t>
  </si>
  <si>
    <t>A8-613-766</t>
  </si>
  <si>
    <t>Tarjeta Electrónica  p/ SENSOR XP 12</t>
  </si>
  <si>
    <t>A8-918-426</t>
  </si>
  <si>
    <t>Manguera para HD 4.0</t>
  </si>
  <si>
    <t>A2-884-912</t>
  </si>
  <si>
    <t>VálvulaS p/ HDS 1290, HDS 801 E</t>
  </si>
  <si>
    <t>A4-310-011</t>
  </si>
  <si>
    <t>Tuerca de ROSCA IZQUIERDA p/ Boquilla de MANO PUZZI</t>
  </si>
  <si>
    <t>Juego de Pistón de Alta Presión</t>
  </si>
  <si>
    <t>Juego de Pistón de Baja con Anillos</t>
  </si>
  <si>
    <t>Carcasa WD 3200, WD 3</t>
  </si>
  <si>
    <t>A8-641-024</t>
  </si>
  <si>
    <t>Pistola para K 1700</t>
  </si>
  <si>
    <t>B6-367-046</t>
  </si>
  <si>
    <t>Retenedor 22 X 35 X 5 p/HD 585</t>
  </si>
  <si>
    <t>A2-883-805</t>
  </si>
  <si>
    <t>Boquilla Fija 25038 p/ HDS 558 C, HD 5/12</t>
  </si>
  <si>
    <t>A2-883-821</t>
  </si>
  <si>
    <t>Boquilla Fija  25036 p/ HD 6/15  HDS 6/14</t>
  </si>
  <si>
    <t>A5-044-867</t>
  </si>
  <si>
    <t>REGLETA p/ BR 55/60</t>
  </si>
  <si>
    <t>A8-616-371</t>
  </si>
  <si>
    <t>Botton de ENCENDIDO  p/ TITAN (Windsor)</t>
  </si>
  <si>
    <t>GAV 1164</t>
  </si>
  <si>
    <t>A8-643-072</t>
  </si>
  <si>
    <t>Proteccion para PS 4/7</t>
  </si>
  <si>
    <t>A8-644-328</t>
  </si>
  <si>
    <t>Sistema Mister para BRC 38/30</t>
  </si>
  <si>
    <t>KK3</t>
  </si>
  <si>
    <t>D2-122-317</t>
  </si>
  <si>
    <t>SARANDA N. 0 PARA TRF-500/700</t>
  </si>
  <si>
    <t>A2-885-110</t>
  </si>
  <si>
    <t>Cable de Control p/ HDS 10/20</t>
  </si>
  <si>
    <t>A4-035-408-1</t>
  </si>
  <si>
    <t>Llave Amarilla p/ B 40 UNIDAD</t>
  </si>
  <si>
    <t>a4-623-680</t>
  </si>
  <si>
    <t>Motor P/ HD 5/12</t>
  </si>
  <si>
    <t>A5-055-430</t>
  </si>
  <si>
    <t>GAV 1294</t>
  </si>
  <si>
    <t>A6-906-054</t>
  </si>
  <si>
    <t>CEPILLO DISCO ROJO PARA BD 530 BAT</t>
  </si>
  <si>
    <t>A8-614-186</t>
  </si>
  <si>
    <t>Tapa FRONTAL p/ SENSOR XP 12</t>
  </si>
  <si>
    <t>D1-119-263</t>
  </si>
  <si>
    <t>MOTOR HT 500 120V</t>
  </si>
  <si>
    <t>A4-111-022</t>
  </si>
  <si>
    <t>Mini Lanza Easy Lock</t>
  </si>
  <si>
    <t>A5-322-037</t>
  </si>
  <si>
    <t>Agarradera p/ K 2</t>
  </si>
  <si>
    <t>Interruptor  20 amps (HD 7/12 - HDS 558 )</t>
  </si>
  <si>
    <t>Retenedor de Agua p/ G 2500, G 2800</t>
  </si>
  <si>
    <t>GAV 709</t>
  </si>
  <si>
    <t>B9-302-168</t>
  </si>
  <si>
    <t>GAV 179</t>
  </si>
  <si>
    <t>Disco p/ HD 1090, HDS 895,HDS 1055, HDS 3.5</t>
  </si>
  <si>
    <t>GAV 669</t>
  </si>
  <si>
    <t>A8-637-795</t>
  </si>
  <si>
    <t>Capacitor 460 UF p/ BOLT 17/20 BDS 43/175/-51/175</t>
  </si>
  <si>
    <t>Cabezal p/ K 2</t>
  </si>
  <si>
    <t>A5-394-682</t>
  </si>
  <si>
    <t>PROTECTOR ANTISALPICADURA p/ BD 55/60 W</t>
  </si>
  <si>
    <t>A9-761-038</t>
  </si>
  <si>
    <t>Tornillo de ROSCA p/ HD 6/15</t>
  </si>
  <si>
    <t>B9-369-526</t>
  </si>
  <si>
    <t>NIPLE PARA HDC</t>
  </si>
  <si>
    <t>I4624867</t>
  </si>
  <si>
    <t>Bin para Roomba series  I+</t>
  </si>
  <si>
    <t>Válvula p/ HD10/25, HD 3.5,HD 7/12</t>
  </si>
  <si>
    <t>GAV 852</t>
  </si>
  <si>
    <t>A5-051-263</t>
  </si>
  <si>
    <t>Cierre de Tanque BR 40/10</t>
  </si>
  <si>
    <t>A8-629-328</t>
  </si>
  <si>
    <t>Manguera RETRACTIL p/ BRC 38/30 C</t>
  </si>
  <si>
    <t>A6-366-038</t>
  </si>
  <si>
    <t>A8-752-123</t>
  </si>
  <si>
    <t>RuedaS GuíaS p/ K3000</t>
  </si>
  <si>
    <t>A4-580-727</t>
  </si>
  <si>
    <t>GAV 1337</t>
  </si>
  <si>
    <t>A5-130-223</t>
  </si>
  <si>
    <t>Cobertor de Boquilla de Mano PUZZI 100-300-8/1</t>
  </si>
  <si>
    <t>A5-130-349</t>
  </si>
  <si>
    <t>Boquilla Manual p/ SG 4/4</t>
  </si>
  <si>
    <t>D2-122-367</t>
  </si>
  <si>
    <t>SARANDA N. 12 MM PARA JK-700</t>
  </si>
  <si>
    <t>A5-581-231</t>
  </si>
  <si>
    <t>ASIENTO DE VALVULA P/HDS 1055HDS 895HDS 655</t>
  </si>
  <si>
    <t>A6-974-012</t>
  </si>
  <si>
    <t>INTERRUPTOR PARA BV 111</t>
  </si>
  <si>
    <t>I4646123</t>
  </si>
  <si>
    <t>Cepillo de Barrillo Lateral p/ S9 (3 unidades)</t>
  </si>
  <si>
    <t>A5-443-281</t>
  </si>
  <si>
    <t>BOQUILLA DE MANGUERA PARA HDS 500 HD 1050 B</t>
  </si>
  <si>
    <t>A6-348-396</t>
  </si>
  <si>
    <t>Cordón de CUERO KM 85/50</t>
  </si>
  <si>
    <t>A6-414-566</t>
  </si>
  <si>
    <t>*FILTRO DE AGUA*HD*</t>
  </si>
  <si>
    <t>D1-112-802</t>
  </si>
  <si>
    <t>EMPAQUE DE CAJA PARA ES 650</t>
  </si>
  <si>
    <t>A5-108-192</t>
  </si>
  <si>
    <t>Espiga de Válvula p/ BR 40/10</t>
  </si>
  <si>
    <t>GAV 1282</t>
  </si>
  <si>
    <t>A8-621-650</t>
  </si>
  <si>
    <t>Cable p/ BRC 38 / 30 C</t>
  </si>
  <si>
    <t>D3-111-561</t>
  </si>
  <si>
    <t>BOLSA PARA SF-3000</t>
  </si>
  <si>
    <t>Cepillo de Disco p/ B140 con Cabezal D90 / B150</t>
  </si>
  <si>
    <t>Cepillo Disco Rojo p/ B 60 Cabezal D65</t>
  </si>
  <si>
    <t>A6-415-440</t>
  </si>
  <si>
    <t>Boquilla ROTATIVA Turbo 065</t>
  </si>
  <si>
    <t>A8-717-674</t>
  </si>
  <si>
    <t>Set de Reparación del By Pass p/ HD 3.5</t>
  </si>
  <si>
    <t>A9-001-321</t>
  </si>
  <si>
    <t>Guía de Pistones K 3.78</t>
  </si>
  <si>
    <t>D2-122-566</t>
  </si>
  <si>
    <t>CUCHILLA PARA TRR 260-280-250</t>
  </si>
  <si>
    <t>A4-030-108</t>
  </si>
  <si>
    <t>Pieza PERFILADA p/ HDS 801 B HD 801 B</t>
  </si>
  <si>
    <t>GAV 804</t>
  </si>
  <si>
    <t>A6-304-168</t>
  </si>
  <si>
    <t>Tornillo ALOMADO M8X20</t>
  </si>
  <si>
    <t>GAV 1146</t>
  </si>
  <si>
    <t>D1-111-125</t>
  </si>
  <si>
    <t>ANILLO DE RETENCION NBR 10097</t>
  </si>
  <si>
    <t>A8-621-525</t>
  </si>
  <si>
    <t>Faja p/ BRC 38 / 30 C</t>
  </si>
  <si>
    <t>A4-550-888</t>
  </si>
  <si>
    <t>Cabezal p/ HDS 7/11</t>
  </si>
  <si>
    <t>A4-551-056</t>
  </si>
  <si>
    <t>Culata deL Cilindro p/ K2</t>
  </si>
  <si>
    <t>A4-680-129</t>
  </si>
  <si>
    <t>SERPENTIN INOXIDABLE p/ HDS 558 C</t>
  </si>
  <si>
    <t>A6-362-579</t>
  </si>
  <si>
    <t>Oring 17.5 X 3.5 p/ HD 1094</t>
  </si>
  <si>
    <t>GAV 1368</t>
  </si>
  <si>
    <t>A6-362-581</t>
  </si>
  <si>
    <t>ORING 4.47 X 1.78 PARA BR 530 TORNADO</t>
  </si>
  <si>
    <t>A9-177-313</t>
  </si>
  <si>
    <t>Retenedor de Agua p/ G 4000***</t>
  </si>
  <si>
    <t>GAV 206</t>
  </si>
  <si>
    <t>A6-273-196</t>
  </si>
  <si>
    <t>Empaque de Tapa (MTS) P/ BR 55/60 BR 40/25 BR 45/40</t>
  </si>
  <si>
    <t>A6-391-484</t>
  </si>
  <si>
    <t>Manguera de Alta Presión 10 mts con un Acomple p/ HD 5/12, HD 7/12,1050B</t>
  </si>
  <si>
    <t>A6-435-885</t>
  </si>
  <si>
    <t>Rueda p/  BR 32/12</t>
  </si>
  <si>
    <t>A6-632-282</t>
  </si>
  <si>
    <t>Contator AUXILIAR 40GR0 p/ HDS E 3.3</t>
  </si>
  <si>
    <t>I4650150</t>
  </si>
  <si>
    <t>Base de carga para M6</t>
  </si>
  <si>
    <t>GUIA DE PISTONES HD10/25</t>
  </si>
  <si>
    <t>A6-362-887</t>
  </si>
  <si>
    <t>GAV 753</t>
  </si>
  <si>
    <t>A8-613-996</t>
  </si>
  <si>
    <t>Tarjeta Electrónica p/ AXCESS 12</t>
  </si>
  <si>
    <t>A9-754-581</t>
  </si>
  <si>
    <t>Cabezal de cepillos para VC 4S</t>
  </si>
  <si>
    <t>D4-110-293</t>
  </si>
  <si>
    <t>RUEDA TRASERA P/WM 350</t>
  </si>
  <si>
    <t>I4636434</t>
  </si>
  <si>
    <t>Batería Long Life p/ Roomba 620/650 y Serie 800</t>
  </si>
  <si>
    <t>A5-037-014</t>
  </si>
  <si>
    <t>Asidero p/ BR 35/12</t>
  </si>
  <si>
    <t>GAV 841</t>
  </si>
  <si>
    <t>A4-443-019</t>
  </si>
  <si>
    <t>Acople de Manguera Detergente p/ PUZZI 100,PUZZI 200,PUZZI 300</t>
  </si>
  <si>
    <t>GAV 717</t>
  </si>
  <si>
    <t>A5-037-308</t>
  </si>
  <si>
    <t>Empaque p/ BR 35/12</t>
  </si>
  <si>
    <t>A8-755-851</t>
  </si>
  <si>
    <t>Lanza para K1700</t>
  </si>
  <si>
    <t>A4-427-216</t>
  </si>
  <si>
    <t>A5-734-089</t>
  </si>
  <si>
    <t>Filtro p/ PUZZI 100</t>
  </si>
  <si>
    <t>A8-600-350</t>
  </si>
  <si>
    <t>Tubo p/ BRC 38/30</t>
  </si>
  <si>
    <t>GAV 735</t>
  </si>
  <si>
    <t>Codo K 381-2.26 - 2.68</t>
  </si>
  <si>
    <t>A8-600-925</t>
  </si>
  <si>
    <t>Transmisión p/ SABER CUTTER</t>
  </si>
  <si>
    <t>Guía de Pistones p/ K 2.26M</t>
  </si>
  <si>
    <t>9.765-189.0</t>
  </si>
  <si>
    <t>Esponja Filtrante VC 1</t>
  </si>
  <si>
    <t>A8-924-072</t>
  </si>
  <si>
    <t>ESPACIADOR p/ HD 3.5</t>
  </si>
  <si>
    <t>A9-136-502</t>
  </si>
  <si>
    <t>Tuerca p/ Agarradera PRINCIPAL G 2800</t>
  </si>
  <si>
    <t>A2-642-889</t>
  </si>
  <si>
    <t>Pistola BEST 2K G180 Q</t>
  </si>
  <si>
    <t>A4-117-040</t>
  </si>
  <si>
    <t>Boquilla Triple 0.60 EASY LOCK</t>
  </si>
  <si>
    <t>A6-634-106</t>
  </si>
  <si>
    <t>PERILLA PARA HDS 3.5 30-4M</t>
  </si>
  <si>
    <t>GAV 159</t>
  </si>
  <si>
    <t>A6-906-233</t>
  </si>
  <si>
    <t>CEPILLO CENTRAL PARA KM 650 I</t>
  </si>
  <si>
    <t>A8-756-997</t>
  </si>
  <si>
    <t>Boquilla de espuma para equipo gasolina</t>
  </si>
  <si>
    <t>D2-111-532</t>
  </si>
  <si>
    <t>Separador de Polea de Motor p/ TRP-400G</t>
  </si>
  <si>
    <t>GAV 1331</t>
  </si>
  <si>
    <t>D2-111-589</t>
  </si>
  <si>
    <t>CONTRA CUCHILLA PARA ES - 400</t>
  </si>
  <si>
    <t>I4636425</t>
  </si>
  <si>
    <t>Set de Microfibras p/ Braava 380</t>
  </si>
  <si>
    <t>A4-821-077</t>
  </si>
  <si>
    <t>Cable de Electro DO p/ HDS 801 B</t>
  </si>
  <si>
    <t>A5-321-750</t>
  </si>
  <si>
    <t>Asidero de PANEL de INFORMACION B 60</t>
  </si>
  <si>
    <t>GAV 648</t>
  </si>
  <si>
    <t>A9-439-064</t>
  </si>
  <si>
    <t>Cordón de CAUCHO p/ PUZZI 8/1</t>
  </si>
  <si>
    <t>GAV 412</t>
  </si>
  <si>
    <t>B9-302-007</t>
  </si>
  <si>
    <t>GUIA DE PISTONES PARA K3.40</t>
  </si>
  <si>
    <t>111410K</t>
  </si>
  <si>
    <t>Cable TSJ 4 X 10</t>
  </si>
  <si>
    <t>A6-369-790-1</t>
  </si>
  <si>
    <t>Pad VERde p/ B 150/B 140</t>
  </si>
  <si>
    <t>A8-616-274</t>
  </si>
  <si>
    <t>Tapón p/ TITAN (Windsor)</t>
  </si>
  <si>
    <t>A9-755-391</t>
  </si>
  <si>
    <t>Codo parea K 2.21</t>
  </si>
  <si>
    <t>A4-035-415</t>
  </si>
  <si>
    <t>Interruptor de PROGRAMA p/ B 40</t>
  </si>
  <si>
    <t>A9-152-016</t>
  </si>
  <si>
    <t>Tapón p/ HD 3.5 GASOLINA</t>
  </si>
  <si>
    <t>GAV 922</t>
  </si>
  <si>
    <t>A9-755-493</t>
  </si>
  <si>
    <t>A4-055-019</t>
  </si>
  <si>
    <t>Manguera de Derivación p/ FC 5</t>
  </si>
  <si>
    <t>A6-654-294</t>
  </si>
  <si>
    <t>Batería p/ BR 35/12</t>
  </si>
  <si>
    <t>A6-903-081</t>
  </si>
  <si>
    <t>Juego de LISTELES RESISTENTES AL Aceite p/ NT 65/2</t>
  </si>
  <si>
    <t>A9-803-145</t>
  </si>
  <si>
    <t>VIELA</t>
  </si>
  <si>
    <t>OBSERVACIONES ADICIONALES</t>
  </si>
  <si>
    <t>BR_40_10</t>
  </si>
  <si>
    <t>CÓDIGO_1.783_3112</t>
  </si>
  <si>
    <t>Tabacubos amarillo</t>
  </si>
  <si>
    <t>Tapacubos gris</t>
  </si>
  <si>
    <t>Rol del estribo</t>
  </si>
  <si>
    <t>A4-034-201</t>
  </si>
  <si>
    <t>A6-630-426</t>
  </si>
  <si>
    <t>Enchufe</t>
  </si>
  <si>
    <t>A6-630-427</t>
  </si>
  <si>
    <t>Protección</t>
  </si>
  <si>
    <t>A6-630-428</t>
  </si>
  <si>
    <t>Tanque de agua sucia</t>
  </si>
  <si>
    <t>A4-783-004</t>
  </si>
  <si>
    <t>Agarradera del tanque (amarilla)</t>
  </si>
  <si>
    <t>Agarradera del tanque (negro)</t>
  </si>
  <si>
    <t>A5-033-599</t>
  </si>
  <si>
    <t>A5-050-314</t>
  </si>
  <si>
    <t>Cierre del tanque</t>
  </si>
  <si>
    <t>Filtro de la turbina</t>
  </si>
  <si>
    <t>A6-473-049</t>
  </si>
  <si>
    <t>A-035-253</t>
  </si>
  <si>
    <t>Labios de aspiración (Resistente al aceite)</t>
  </si>
  <si>
    <t>A4-035-288</t>
  </si>
  <si>
    <t>Resortes del squeege</t>
  </si>
  <si>
    <t>Micro de la turbina</t>
  </si>
  <si>
    <t>Condensador de arranque</t>
  </si>
  <si>
    <t>A6-661-221</t>
  </si>
  <si>
    <t>Condensador de trabajo</t>
  </si>
  <si>
    <t>A4-683-305</t>
  </si>
  <si>
    <t>A4-762-250</t>
  </si>
  <si>
    <t>Arbol del cepillo</t>
  </si>
  <si>
    <t>A5-100-571</t>
  </si>
  <si>
    <t>Polvera metálica</t>
  </si>
  <si>
    <t>A6-363-292</t>
  </si>
  <si>
    <t>Espaciador de transmisión</t>
  </si>
  <si>
    <t>Arbol del motor (izquierdo)</t>
  </si>
  <si>
    <t>Arbol del motor (dereccho)</t>
  </si>
  <si>
    <t>A4-100-234</t>
  </si>
  <si>
    <t>Polea de transmisión (la del centro)</t>
  </si>
  <si>
    <t>Polea de transmisión (la de los lados)</t>
  </si>
  <si>
    <t>Correa pequeña (derecha)</t>
  </si>
  <si>
    <t>Correa larga</t>
  </si>
  <si>
    <t>Rueda de transporte</t>
  </si>
  <si>
    <t>A6-435-373</t>
  </si>
  <si>
    <t>VC_4_I</t>
  </si>
  <si>
    <t>CÓDIGO_1.198_254</t>
  </si>
  <si>
    <t>A2-863-301</t>
  </si>
  <si>
    <t>Conjunto de baterías</t>
  </si>
  <si>
    <t>A9-765-433</t>
  </si>
  <si>
    <t>Tapa de baterías</t>
  </si>
  <si>
    <t>A9-765-437</t>
  </si>
  <si>
    <t>Deposito de suciedad</t>
  </si>
  <si>
    <t>A9-765-434</t>
  </si>
  <si>
    <t>Boquilla de piso completa</t>
  </si>
  <si>
    <t>A9-754-347</t>
  </si>
  <si>
    <t>A9-764-916</t>
  </si>
  <si>
    <t>Boquilla de cerdas</t>
  </si>
  <si>
    <t>SC_2</t>
  </si>
  <si>
    <t>CÓDIGO_1.512_007</t>
  </si>
  <si>
    <t>Descalcificador</t>
  </si>
  <si>
    <t>Caldera</t>
  </si>
  <si>
    <t>A4-509-000</t>
  </si>
  <si>
    <t>Gaza de manguera</t>
  </si>
  <si>
    <t>A6-390-408</t>
  </si>
  <si>
    <t>Regulador de temperatura</t>
  </si>
  <si>
    <t>A6-630-269</t>
  </si>
  <si>
    <t>Cable TSJ 3x12</t>
  </si>
  <si>
    <t>A6-435-857</t>
  </si>
  <si>
    <t>A4-744-169</t>
  </si>
  <si>
    <t xml:space="preserve">Empaque de la carcasa </t>
  </si>
  <si>
    <t>Tapon de la caldera</t>
  </si>
  <si>
    <t>Oring del tapón</t>
  </si>
  <si>
    <t>Oring de la punta de la pistola</t>
  </si>
  <si>
    <t>Boquilla de chorro</t>
  </si>
  <si>
    <t>A4-130-021</t>
  </si>
  <si>
    <t>KM_70_20</t>
  </si>
  <si>
    <t>CÓDIGO_1.517_106</t>
  </si>
  <si>
    <t>Tornillo del estribo de empuje</t>
  </si>
  <si>
    <t>Tuerca del estribo de empuje</t>
  </si>
  <si>
    <t>Empaque del deposito de suciedad</t>
  </si>
  <si>
    <t xml:space="preserve">Labio del empaque </t>
  </si>
  <si>
    <t>A6-393-801</t>
  </si>
  <si>
    <t>Carenado trasero</t>
  </si>
  <si>
    <t>Tuerca de la rueda delantera</t>
  </si>
  <si>
    <t>Tornillo de la rueda delantera</t>
  </si>
  <si>
    <t>A7-303-222</t>
  </si>
  <si>
    <t>Arandela pequeña de la rueda delantera</t>
  </si>
  <si>
    <t>Arandela grande de la rueda delantera</t>
  </si>
  <si>
    <t>A7-312-262</t>
  </si>
  <si>
    <t>Cepillo lateral</t>
  </si>
  <si>
    <t>A2-884-935</t>
  </si>
  <si>
    <t>Rol 6201 del cepillo lateral</t>
  </si>
  <si>
    <t>A7-401-008</t>
  </si>
  <si>
    <t>A5-392-895</t>
  </si>
  <si>
    <t>Seguro de la rueda trasera</t>
  </si>
  <si>
    <t>Arandela espaciadora de la rueda trasera</t>
  </si>
  <si>
    <t>A5-115-628</t>
  </si>
  <si>
    <t>Rol 6001 de transmisión</t>
  </si>
  <si>
    <t>Labio lateral izquierdo y derecho</t>
  </si>
  <si>
    <t>Piñon derecho</t>
  </si>
  <si>
    <t>A4-040-791</t>
  </si>
  <si>
    <t>Piñon izquierdo</t>
  </si>
  <si>
    <t>Cepillo central</t>
  </si>
  <si>
    <t>A6-907-206</t>
  </si>
  <si>
    <t xml:space="preserve">Cepillo central con eje </t>
  </si>
  <si>
    <t>Set de palanca de ajuste de nivel del cepillo</t>
  </si>
  <si>
    <t>A2-644-184</t>
  </si>
  <si>
    <t>Barra "T" de ajuste del cepillo</t>
  </si>
  <si>
    <t>A4-021-002</t>
  </si>
  <si>
    <t>Ajuste de hule de la barra "T"</t>
  </si>
  <si>
    <t>Ajuste matáico de la barra "T"</t>
  </si>
  <si>
    <t>A5-010-018</t>
  </si>
  <si>
    <t>DS_5.800</t>
  </si>
  <si>
    <t>BRC_30_15</t>
  </si>
  <si>
    <t>CÓDIGO_1.008_058</t>
  </si>
  <si>
    <t>Empaque del squeege</t>
  </si>
  <si>
    <t>A8-621-809</t>
  </si>
  <si>
    <t>A8-630-007</t>
  </si>
  <si>
    <t>Microinterruptor de la bomba</t>
  </si>
  <si>
    <t>A8-622-514</t>
  </si>
  <si>
    <t>Tapa azul del micro</t>
  </si>
  <si>
    <t>A8-621-647</t>
  </si>
  <si>
    <t>Resorte de la tapa del micro</t>
  </si>
  <si>
    <t>A8-622-465</t>
  </si>
  <si>
    <t>Interruptor de tres posiciones</t>
  </si>
  <si>
    <t>A8-600-720</t>
  </si>
  <si>
    <t>A8-621-604</t>
  </si>
  <si>
    <t>Guía del eje del cepillo</t>
  </si>
  <si>
    <t>Tornillo de la guía del eje del cepillo</t>
  </si>
  <si>
    <t>A8-617-302</t>
  </si>
  <si>
    <t>A8-622-330</t>
  </si>
  <si>
    <t>Polea de transmisión del cepillo</t>
  </si>
  <si>
    <t>Polea de transmisión del motor</t>
  </si>
  <si>
    <t>A8-622-335</t>
  </si>
  <si>
    <t>Correa de transmisión</t>
  </si>
  <si>
    <t>Tapa del sistema de transmisión</t>
  </si>
  <si>
    <t>Motor del cepillo</t>
  </si>
  <si>
    <t>A8-624-711</t>
  </si>
  <si>
    <t>A8-629-168</t>
  </si>
  <si>
    <t>Carcasa del ventilador</t>
  </si>
  <si>
    <t>A8-621-742</t>
  </si>
  <si>
    <t>Codo de la bomba de agua</t>
  </si>
  <si>
    <t>A8-624-052</t>
  </si>
  <si>
    <t>Gaza metálica del codo de la bomba</t>
  </si>
  <si>
    <t>Manguera bomba - accisorios</t>
  </si>
  <si>
    <t>A8-621-907</t>
  </si>
  <si>
    <t>Manguera bomba - boquilla</t>
  </si>
  <si>
    <t>A8-637-773</t>
  </si>
  <si>
    <t>Cobertor de las bombas de agua</t>
  </si>
  <si>
    <t>A8-629-167</t>
  </si>
  <si>
    <t>Tornillo del cobertor</t>
  </si>
  <si>
    <t>Adaptador de boquilla de accesorios</t>
  </si>
  <si>
    <t>A8-631-030</t>
  </si>
  <si>
    <t>Boquilla roscada 1/8</t>
  </si>
  <si>
    <t>A8-620-082</t>
  </si>
  <si>
    <t>BRC_38_30</t>
  </si>
  <si>
    <t>CÓDIGO_1.008-053</t>
  </si>
  <si>
    <t>Diafragma de la bomba de agua</t>
  </si>
  <si>
    <t>By-pass de la bomba</t>
  </si>
  <si>
    <t>A8-625-883</t>
  </si>
  <si>
    <t>A8-625-104</t>
  </si>
  <si>
    <t xml:space="preserve">Cabezal de la bomba </t>
  </si>
  <si>
    <t>A8-616-198</t>
  </si>
  <si>
    <t>Correa</t>
  </si>
  <si>
    <t>A8-600-339</t>
  </si>
  <si>
    <t>Rol 1616 del piñon del cepillo</t>
  </si>
  <si>
    <t>Piñon de la transmisión del cepillo</t>
  </si>
  <si>
    <t>Piñon de soporte del cepillo</t>
  </si>
  <si>
    <t>A8-600-475</t>
  </si>
  <si>
    <t>A8-623-062</t>
  </si>
  <si>
    <t>Cepillo completo</t>
  </si>
  <si>
    <t>A8-600-114</t>
  </si>
  <si>
    <t>A8-622-889</t>
  </si>
  <si>
    <t>Rol 3/8 del piñon de soporte del cepillo</t>
  </si>
  <si>
    <t>A8-600-307</t>
  </si>
  <si>
    <t>Acople del cepillo</t>
  </si>
  <si>
    <t>Electrovalvula</t>
  </si>
  <si>
    <t>A8-602-694</t>
  </si>
  <si>
    <t>Acople de los accesorios</t>
  </si>
  <si>
    <t>A8-600-435</t>
  </si>
  <si>
    <t>Manguera (bomba - accesorios)</t>
  </si>
  <si>
    <t>Manguera (bomba - entrada de agua)</t>
  </si>
  <si>
    <t>A8-600-440</t>
  </si>
  <si>
    <t>A8-628-189</t>
  </si>
  <si>
    <t>Manguera (bomba - elcetrovalvula)</t>
  </si>
  <si>
    <t>Manguera (elcetrovalvula - Y)</t>
  </si>
  <si>
    <t>A8-628-190</t>
  </si>
  <si>
    <t>Manguera (boquilla - Y)</t>
  </si>
  <si>
    <t>Empaque de la tapa del squeege</t>
  </si>
  <si>
    <t>Protección del cepillo</t>
  </si>
  <si>
    <t>A8-623-021</t>
  </si>
  <si>
    <t>A8-600-198</t>
  </si>
  <si>
    <t>Proteecion de la turbina</t>
  </si>
  <si>
    <t>Interruptor del cepillo</t>
  </si>
  <si>
    <t>A8-600-714</t>
  </si>
  <si>
    <t>Interruptor de turbina o bomba</t>
  </si>
  <si>
    <t xml:space="preserve">Arnes de cables </t>
  </si>
  <si>
    <t>A8-600-448</t>
  </si>
  <si>
    <t>A8-623-432</t>
  </si>
  <si>
    <t>Cable de alimentación corto</t>
  </si>
  <si>
    <t>A8-602-925</t>
  </si>
  <si>
    <t>Empaque de la tapa de la turbina</t>
  </si>
  <si>
    <t>A8-600-392</t>
  </si>
  <si>
    <t>A8-600-797</t>
  </si>
  <si>
    <t>Empaque (redondo) de la tapa de la turbina</t>
  </si>
  <si>
    <t>A8-600-379</t>
  </si>
  <si>
    <t xml:space="preserve">Manguera de aspiracion </t>
  </si>
  <si>
    <t>Manguera amortiguadora</t>
  </si>
  <si>
    <t>Manguera de desague del tanque</t>
  </si>
  <si>
    <t>A8-624-009</t>
  </si>
  <si>
    <t>A8-600-420</t>
  </si>
  <si>
    <t>Filtro de agua sucia</t>
  </si>
  <si>
    <t>A8-600-363</t>
  </si>
  <si>
    <t>Tapa del conducto de succión del tanque</t>
  </si>
  <si>
    <t>A6-600-311</t>
  </si>
  <si>
    <t>Empaque da la tapa del conducto de succión</t>
  </si>
  <si>
    <t>BRAAVA_380</t>
  </si>
  <si>
    <t>BRAAVA_JET_240</t>
  </si>
  <si>
    <t>MIRRA_530</t>
  </si>
  <si>
    <t>ROOMBA_620</t>
  </si>
  <si>
    <t>ROOMBA_621</t>
  </si>
  <si>
    <t>ROOMBA_622</t>
  </si>
  <si>
    <t>ROOMBA_645</t>
  </si>
  <si>
    <t>ROOMBA_650</t>
  </si>
  <si>
    <t>ROOMBA_690</t>
  </si>
  <si>
    <t>ROOMBA_860</t>
  </si>
  <si>
    <t>ROOMBA_880</t>
  </si>
  <si>
    <t>ROOMBA_960</t>
  </si>
  <si>
    <t>ROOMBA_980</t>
  </si>
  <si>
    <t>PUZZI_100</t>
  </si>
  <si>
    <t>CÓDIGO_1.100_123</t>
  </si>
  <si>
    <t>A4-063-028</t>
  </si>
  <si>
    <t>Tapa transparente completa</t>
  </si>
  <si>
    <t>Empaque de la tapa transparente</t>
  </si>
  <si>
    <t>A5-363-390</t>
  </si>
  <si>
    <t>Tapa de los interruptores</t>
  </si>
  <si>
    <t>A4-324-056</t>
  </si>
  <si>
    <t>Codo de la tapa transparente</t>
  </si>
  <si>
    <t>A4-031-070</t>
  </si>
  <si>
    <t>Deposito de agua sucia</t>
  </si>
  <si>
    <t>A4-070-298</t>
  </si>
  <si>
    <t>Cobertor del interruptor</t>
  </si>
  <si>
    <t>A6-414-027</t>
  </si>
  <si>
    <t>Arandela de la rueda</t>
  </si>
  <si>
    <t>Tuerca de la rueda</t>
  </si>
  <si>
    <t>Seguro de la rueda</t>
  </si>
  <si>
    <t>A5-115-386</t>
  </si>
  <si>
    <t>Brida metálica de la manguera</t>
  </si>
  <si>
    <t>A6-389-992</t>
  </si>
  <si>
    <t>A5-443-437</t>
  </si>
  <si>
    <t>Boquilla de manguera (macho)</t>
  </si>
  <si>
    <t>Boquilla de manguera (hembra)</t>
  </si>
  <si>
    <t>A4-610-048</t>
  </si>
  <si>
    <t>A6-682-391</t>
  </si>
  <si>
    <t>Acople para manguera amarillo</t>
  </si>
  <si>
    <t>A4-130-442</t>
  </si>
  <si>
    <t>Tapa transparente de la boquilla</t>
  </si>
  <si>
    <t>Boquilla de piso (larga)</t>
  </si>
  <si>
    <t>CÓDIGO_1.198_280</t>
  </si>
  <si>
    <t>A6-195-094</t>
  </si>
  <si>
    <t>A9-754-560</t>
  </si>
  <si>
    <t>Empuñadura completa</t>
  </si>
  <si>
    <t>A9-754-571</t>
  </si>
  <si>
    <t>A9-754-552</t>
  </si>
  <si>
    <t>A9-754-529</t>
  </si>
  <si>
    <t>A9-754-549</t>
  </si>
  <si>
    <t>A9-765-883</t>
  </si>
  <si>
    <t>A9-765-882</t>
  </si>
  <si>
    <t>VCS_4S</t>
  </si>
  <si>
    <t>A9-754-582</t>
  </si>
  <si>
    <t>A9-554-582</t>
  </si>
  <si>
    <t>Juego de filtros</t>
  </si>
  <si>
    <t>A2-863-312</t>
  </si>
  <si>
    <t>NT_20_1</t>
  </si>
  <si>
    <t>CÓDIGO_1.428_547</t>
  </si>
  <si>
    <t>A9-755-361</t>
  </si>
  <si>
    <t>XP_12_AZUL</t>
  </si>
  <si>
    <t>CÓDIGO_1.012_024</t>
  </si>
  <si>
    <t>CÓDIGO_1.012_024.2</t>
  </si>
  <si>
    <t>MOTOR/GRASA QUEMADA</t>
  </si>
  <si>
    <t>MOTOR/RUIDO FUERTE</t>
  </si>
  <si>
    <t>MOTOR/ROL AXIAL</t>
  </si>
  <si>
    <t>MOTOR/ROTOR DESGASTADO</t>
  </si>
  <si>
    <t>MOTOR/OLOR A QUEMADO</t>
  </si>
  <si>
    <t>MOTOR/COLECTOR DESGASTADO</t>
  </si>
  <si>
    <t>MOTOR/ EN CORTO CIRCUITO</t>
  </si>
  <si>
    <t>CABLE/CORTADO</t>
  </si>
  <si>
    <t>CABLE/EMPALMADO</t>
  </si>
  <si>
    <t>ENCHUFE DAÑADO</t>
  </si>
  <si>
    <t>MOTOR/TRANSMISION</t>
  </si>
  <si>
    <t>BOQUILLA FIJA/ DESGASTADA</t>
  </si>
  <si>
    <t>BOQUILLA/FUGA</t>
  </si>
  <si>
    <t>MANGUERA/ROTA</t>
  </si>
  <si>
    <t>MANGUERA/ORING DAÑADO</t>
  </si>
  <si>
    <t>MANGUERA/ROSCA DAÑADA</t>
  </si>
  <si>
    <t>PISTOLA/FUGAS</t>
  </si>
  <si>
    <t>PISTOLA/QUEBRADA</t>
  </si>
  <si>
    <t>PISTOLA/GATILLO TRABADO</t>
  </si>
  <si>
    <t>TURBINA/LIMPIEZA</t>
  </si>
  <si>
    <t>TURBINA/CARBONES</t>
  </si>
  <si>
    <t>BOLSA/ROTA</t>
  </si>
  <si>
    <t>BOLSA/LLENA</t>
  </si>
  <si>
    <t>BOLSA/MOJADA</t>
  </si>
  <si>
    <t>SIN FILTRO</t>
  </si>
  <si>
    <t>FILTRO/ROTO</t>
  </si>
  <si>
    <t>FILTRO/MOJADO</t>
  </si>
  <si>
    <t>RECOMENDACIÓN FITRO MEMBRANA</t>
  </si>
  <si>
    <t>MEMBRANA/ROTA</t>
  </si>
  <si>
    <t>MANGUERA/OBSTRUIDA</t>
  </si>
  <si>
    <t>CARCASA/QUEBRADA</t>
  </si>
  <si>
    <t>INTERRUPTOR/DAÑADO</t>
  </si>
  <si>
    <t>INTERRUPTOR/RECALENTADO</t>
  </si>
  <si>
    <t>TARJETA/CORTO CIRCUITO</t>
  </si>
  <si>
    <t>TARJETA/HUMEDAD</t>
  </si>
  <si>
    <t>ESTRIBO/QUEBRADO</t>
  </si>
  <si>
    <t>TANQUE/QUEBRADO</t>
  </si>
  <si>
    <t>ENROLLADOR/RESORTE DAÑADO</t>
  </si>
  <si>
    <t>BOQUILLA RANURAS/DESGASTE</t>
  </si>
  <si>
    <t>BOQUILLA RANURAS/QUEBRADA</t>
  </si>
  <si>
    <t>BOQUILLA PISOS/DESGATE</t>
  </si>
  <si>
    <t>BOQUILLA PISOS/QUEBRADA</t>
  </si>
  <si>
    <t>BOQUILLA/OBSTRUIDA</t>
  </si>
  <si>
    <t>TUBO EXTENSION/FALTANTE</t>
  </si>
  <si>
    <t>TUBO EXTENSION/OBSTRUIDO</t>
  </si>
  <si>
    <t>CODO MANGUERA/DESGASTE</t>
  </si>
  <si>
    <t>CODO MANGUERA/QUEBRADO</t>
  </si>
  <si>
    <t>Se encuentra polvo fino (gypsum/cemento) dentro del motor de aspiración (turbina) generando un daño irreversible sobre el mismo. Este tipo de polvos finos no deben de ser aspirados.</t>
  </si>
  <si>
    <t>Se encontró el ventilador del motor de aspiración (turbina) sin la tuerca de sujeción, provocando así daños irreversibles al motor.</t>
  </si>
  <si>
    <t>Para aspiración en seco y proteger el motor, siempre es recomendable el uso de bolsa de papel</t>
  </si>
  <si>
    <t>La bolsa filtrante está rota. Para aspiración en seco y proteger el motor, siempre es recomendable el uso de bolsa de papel</t>
  </si>
  <si>
    <t>La bolsa llego a su capacidad máxima. Para aspiración en seco y proteger el motor, siempre es recomendable el uso de bolsa de papel</t>
  </si>
  <si>
    <t>La bolsa está mojada. No se recomienda utilizar bolsa de papel cuando se aspira en húmedo.</t>
  </si>
  <si>
    <t>El filtro de aire cumplió su vida útil. Se recomienda el cambio para mejorar el poder de aspiración y aumentar la vida útil del motor de aspiración (turbina)</t>
  </si>
  <si>
    <t>El filtro de aire está dañado. Se recomienda el cambio para mejorar el poder de aspiración y aumentar la vida útil del motor de aspiración (turbina)</t>
  </si>
  <si>
    <t>El filtro presenta humedad. Se recomienda el cambio para mejorar el poder de aspiración y aumentar la vida útil del motor de aspiración (turbina)</t>
  </si>
  <si>
    <t>Para aspiración en seco de polvos finos (gypsum / cemento/ harina), siempre es indispensable el uso del filtro para polvos finos (filtro de membrana) y la bolsa de papel para evitar daños en el motor de aspiración (turbina)</t>
  </si>
  <si>
    <t>El filtro para polvos finos (filtro de membrana) está roto por lo que el polvo no se filtra. Para aspiración en seco de polvos finos (gypsum / cemento/ harina), siempre es indispensable el uso del filtro de membrana y la bolsa de papel para evitar daños en el motor de aspiración (turbina)</t>
  </si>
  <si>
    <t>El filtro para polvos finos (filtro de membrana) ha cumplido con su vida útil. Para aspiración en seco de polvos finos (gypsum / cemento/ harina), siempre es indispensable el uso del filtro de membrana y la bolsa de papel para evitar daños en el motor de aspiración (turbina)</t>
  </si>
  <si>
    <t>Carcasa plástica superior quebrada</t>
  </si>
  <si>
    <t>Cable de corriente con daños (corte / pellizcado), con riesgo de generar cortos circuitos</t>
  </si>
  <si>
    <t>Cable de corriente con daños y arreglos caseros (con tape) que afectan la seguridad del usuario</t>
  </si>
  <si>
    <t>Interruptor de encendido en corto circuito. No permite el encendido del equipo.</t>
  </si>
  <si>
    <t>Tarjeta electrónica dañada, sin paso de corriente.</t>
  </si>
  <si>
    <t>Tarjeta electrónica dañada por humedad (agua)</t>
  </si>
  <si>
    <t>Estribo protector (bumper) quebrado</t>
  </si>
  <si>
    <t>Tanque de suciedad se encuentra quebrado</t>
  </si>
  <si>
    <t>Enrollador de cable automático dañado</t>
  </si>
  <si>
    <t>Enchufe eléctrico dañado</t>
  </si>
  <si>
    <t>Boquilla de ranuras alcanzó su vida útil</t>
  </si>
  <si>
    <t>Boquilla de ranuras está quebrada</t>
  </si>
  <si>
    <t>Boquilla de pisos alcanzó su vida útil</t>
  </si>
  <si>
    <t>Boquilla de pisos está quebrada</t>
  </si>
  <si>
    <t>Equipo no trae tubos de extensión</t>
  </si>
  <si>
    <t>Codo de unión entre manguera y tubos de aspiración presenta desgaste</t>
  </si>
  <si>
    <t>Codo de unión entre manguera y tubos de aspiración quebrado</t>
  </si>
  <si>
    <t>La grasa lubricante de motor se encuentra muy deteriorada</t>
  </si>
  <si>
    <t>Los roles del motor presentan desgaste en los balines, esto ocasiona un sonido anormal en el funcionamiento del equipo.</t>
  </si>
  <si>
    <t>Cableado interno del motor con corto circuito provocando así daños irreversibles al motor.</t>
  </si>
  <si>
    <t>La boquilla ajustable con desgaste interno lo que provoca chorro irregular y baja presión.</t>
  </si>
  <si>
    <t>Boquilla con fuga de agua debido a oring dañado.</t>
  </si>
  <si>
    <t>La manguera de alta presión rota.</t>
  </si>
  <si>
    <t>Tapa del interruptor</t>
  </si>
  <si>
    <t>Carcasa de tapa del interruptor</t>
  </si>
  <si>
    <t>A8-614-564</t>
  </si>
  <si>
    <t>Manguera del tubo de aspiración</t>
  </si>
  <si>
    <t>A8-614-265</t>
  </si>
  <si>
    <t>A8-613-551</t>
  </si>
  <si>
    <t>Cable original</t>
  </si>
  <si>
    <t>Seguro de la manguera de aspiración</t>
  </si>
  <si>
    <t>Filtro de microhigiene</t>
  </si>
  <si>
    <t>Boquilla de tapicería</t>
  </si>
  <si>
    <t>Carcasa completa (con filtro y tapa)</t>
  </si>
  <si>
    <t>A8-614-433</t>
  </si>
  <si>
    <t>Filtro de salida</t>
  </si>
  <si>
    <t>Tapa del filtro de salida</t>
  </si>
  <si>
    <t>A8-614-141</t>
  </si>
  <si>
    <t>A8-614-016</t>
  </si>
  <si>
    <t>A8-613-817</t>
  </si>
  <si>
    <t>Piñon del cepilo</t>
  </si>
  <si>
    <t>A8-600-500</t>
  </si>
  <si>
    <t>Correa (piñon - embrague)</t>
  </si>
  <si>
    <t>Correa (embrague - turbina)</t>
  </si>
  <si>
    <t>Seguro de l acople del cepillo</t>
  </si>
  <si>
    <t>A8-613-865</t>
  </si>
  <si>
    <t>Motor de elevación de la rueda de nivel</t>
  </si>
  <si>
    <t>Placa del canal de admisión</t>
  </si>
  <si>
    <t>Labio de la placa del canal de admisión</t>
  </si>
  <si>
    <t>Carcasa Inferior</t>
  </si>
  <si>
    <t>A8-613-913</t>
  </si>
  <si>
    <t>A8-640-799</t>
  </si>
  <si>
    <t>A8-631-918</t>
  </si>
  <si>
    <t>A8-631-920</t>
  </si>
  <si>
    <t>A8-631-930</t>
  </si>
  <si>
    <t>A8-631-929</t>
  </si>
  <si>
    <t>A8-640-610</t>
  </si>
  <si>
    <t>Filtro de pelusa rectangular</t>
  </si>
  <si>
    <t>A8-631-941</t>
  </si>
  <si>
    <t>XP_12_GRIS</t>
  </si>
  <si>
    <t>K2.21</t>
  </si>
  <si>
    <t>CÓDIGO_1.601_138</t>
  </si>
  <si>
    <t>Oring del motor</t>
  </si>
  <si>
    <t>A6-363-340</t>
  </si>
  <si>
    <t>Conector 1/2"</t>
  </si>
  <si>
    <t>Conector 1/2" macho</t>
  </si>
  <si>
    <t>Conector para manguera de Jardín</t>
  </si>
  <si>
    <t>A2.645-066</t>
  </si>
  <si>
    <t>A4.645-363</t>
  </si>
  <si>
    <t>A6.645-538</t>
  </si>
  <si>
    <t>KB_5</t>
  </si>
  <si>
    <t>CÓDIGO_1.258_004</t>
  </si>
  <si>
    <t>Extenciones</t>
  </si>
  <si>
    <t>Agarradera y acople de extenciones</t>
  </si>
  <si>
    <t>A4-258-180</t>
  </si>
  <si>
    <t>Ruedas</t>
  </si>
  <si>
    <t>Acople de cepillo</t>
  </si>
  <si>
    <t>A4-070-303</t>
  </si>
  <si>
    <t>A4-258-130</t>
  </si>
  <si>
    <t>A4-258-150</t>
  </si>
  <si>
    <t>A4-258-220</t>
  </si>
  <si>
    <t>El ventilador del motor de aspiración (turbina) está saturado de suciedad, genera un fuerte sonido. Se limpió y funciona correctamente.</t>
  </si>
  <si>
    <t>El motor de aspiración (turbina) ha cumplido con su vida útil, por lo tanto, se recomienda el cambio del mismo.</t>
  </si>
  <si>
    <t>Debido a un corto circuito en el cableado del motor de aspiración (turbina), el mismo queda con un daño irreversible.</t>
  </si>
  <si>
    <t>Se encuentran señas de oxido en el motor de aspiración (turbina), esto es provocado por ingreso de humedad (agua) en algún momento dado.</t>
  </si>
  <si>
    <t>NO TRAE BOLSA</t>
  </si>
  <si>
    <t>El equipo no trae filtro de aire. Se recomienda utilizarlo para mejorar el poder de aspiración y aumentar la vida útil del motor de aspiración (turbina)</t>
  </si>
  <si>
    <t>La manguera de aspiración está rota, esto provoca pérdida de succión.</t>
  </si>
  <si>
    <t>La manguera de aspiración está obstruida, esto provoca perdida de succión.</t>
  </si>
  <si>
    <t>MEMBRANA /DESGASTE</t>
  </si>
  <si>
    <t>CARCASA/INTERNA QUEBRADA</t>
  </si>
  <si>
    <t>La carcasa de la turnina está quebrada</t>
  </si>
  <si>
    <t>Interruptor de encendido con contactos recalentados.</t>
  </si>
  <si>
    <t>RUEDA/QUEBRADA</t>
  </si>
  <si>
    <t>RUEDA/DESGASTADA</t>
  </si>
  <si>
    <t>Rueda desgastada</t>
  </si>
  <si>
    <t>Rueda quebrada</t>
  </si>
  <si>
    <t>Boquilla de pisos está obstruida, se limpió y funciona correctamente</t>
  </si>
  <si>
    <t>Tubo obstruido con basura, se limpió y funciona correctamente</t>
  </si>
  <si>
    <t>FILTRO/CAMBIO</t>
  </si>
  <si>
    <t>FILTRO/SATURADO</t>
  </si>
  <si>
    <t>EL filtro de aire está saturado, esto ocasiona que el equipo pierda poder de succión</t>
  </si>
  <si>
    <t>CABLE/NO ENCIENDE</t>
  </si>
  <si>
    <t>El cable de corriente no permite el flujo del voltaje hasta el motor de aspiración (turbina), por esta razón no enciende.</t>
  </si>
  <si>
    <t>TURBINA/POLVO GYPSUM-CEMENTO</t>
  </si>
  <si>
    <t>TURBINA/TUERCA VENTILADOR</t>
  </si>
  <si>
    <t>TURBINA/BOBINADO DAÑADO</t>
  </si>
  <si>
    <t>TURBINA/HUMEDAD</t>
  </si>
  <si>
    <t>ENCHUFE/FALTA TIERRA</t>
  </si>
  <si>
    <t>El enchufe tiene recalentados los contactos</t>
  </si>
  <si>
    <t>A el enchufe le falta la terminal de tierra</t>
  </si>
  <si>
    <t>ENCHUFE/RECALENTADO</t>
  </si>
  <si>
    <t>CONDENSADOR/DESCARG.</t>
  </si>
  <si>
    <t>CONDENSADOR/DAÑADO</t>
  </si>
  <si>
    <t>CABEZAL/FUGA</t>
  </si>
  <si>
    <t>CABEZAL/DESGASTE</t>
  </si>
  <si>
    <t>El cabezal presenta desgaste por uso, se recomienda sustituirlo por mantenimiento preventivo.</t>
  </si>
  <si>
    <t>CABEZAL/VÁLVULA</t>
  </si>
  <si>
    <t>CULATA/RETENEDOR</t>
  </si>
  <si>
    <t>CULATA/REVENTADA</t>
  </si>
  <si>
    <t>CULATA/DESGASTE</t>
  </si>
  <si>
    <t>CULATA/VÁLVULA</t>
  </si>
  <si>
    <t>CAJA/NO ENCIENDE</t>
  </si>
  <si>
    <t>CAJA/DIRECTA</t>
  </si>
  <si>
    <t>CAJA/QUEBRADA</t>
  </si>
  <si>
    <t>La carcasa de la caja electica está quebrada, se recomienda sustituirla.</t>
  </si>
  <si>
    <t>CAJA/MANIPULADA</t>
  </si>
  <si>
    <t>ENCHUFE/DAÑADO</t>
  </si>
  <si>
    <t>La culata presenta desgaste por uso en el asiento de las válvulas, se recomienda sustituirla por mantenimiento preventivo.</t>
  </si>
  <si>
    <t>CODO/ALTA PRESIÓN</t>
  </si>
  <si>
    <t>CODO/ENTRADA DE AGUA</t>
  </si>
  <si>
    <t>MANTENIMIENTO</t>
  </si>
  <si>
    <t>Se realizó mantenimiento general del equipo, funciona adecuadamente.</t>
  </si>
  <si>
    <t>La válvula de retención del cabezal esta dañada.</t>
  </si>
  <si>
    <t>La culata tiene fuga por los retenedores de agua.</t>
  </si>
  <si>
    <t>LA culata está reventada (esto provoca fugas de agua y falta de presión).</t>
  </si>
  <si>
    <t>Cable de corriente con daños (corte / pellizcado), con riesgo de generar cortos circuitos.</t>
  </si>
  <si>
    <t>Cable de corriente con daños y arreglos caseros (con tape) que afectan la seguridad del usuario.</t>
  </si>
  <si>
    <t>Enchufe eléctrico dañado.</t>
  </si>
  <si>
    <t>A el enchufe le falta la terminal de tierra.</t>
  </si>
  <si>
    <t>El enchufe tiene recalentados los contactos.</t>
  </si>
  <si>
    <t>El codo donde se conecta la manguera de entrada de agua está dañado.</t>
  </si>
  <si>
    <t>El filtro de agua está roto. Se recomienda reemplazar para proteger el equipo.</t>
  </si>
  <si>
    <t>Se recomienda utilizar el filtro de agua para proteger el equipo de basuras que pueden dañar componentes internos.</t>
  </si>
  <si>
    <t>PISTONES/DESGASTADOS</t>
  </si>
  <si>
    <t>El rol axial tiene desgastados los balines, esto genera un fuerte sonido en el motor.</t>
  </si>
  <si>
    <t>Motor con el eje de motor desgastado.</t>
  </si>
  <si>
    <t>Condensador de arranque del motor dañado. Esto provoca mal funcionamiento del mismo.</t>
  </si>
  <si>
    <t>Condensador de arranque descargado, esto provoca un funcionamiento inadecuado del equipo.</t>
  </si>
  <si>
    <t>Motor con derrame de aceite en su interior. Esto genera olor anormal en el equipo.</t>
  </si>
  <si>
    <t>Engranajes de transmisión dañados.</t>
  </si>
  <si>
    <t>Pistones de bomba de agua con desgaste.</t>
  </si>
  <si>
    <t>Oring de manguera dañado provocando fugas y baja presión.</t>
  </si>
  <si>
    <t>La rosca de la manguera está barrida.</t>
  </si>
  <si>
    <t>La pistola con desgaste interno que provoca fuga de agua. Es necesario reemplazar la pistola completa.</t>
  </si>
  <si>
    <t>La carcasa de la pistola está quebrada. Es necesario reemplazar la pistola completa.</t>
  </si>
  <si>
    <t>El gatillo de la pistola se queda pegado. Es necesario reemplazar la pistola completa.</t>
  </si>
  <si>
    <t>El cabezal tiene reventada la válvula de detergente, esto genera fuga de agua.</t>
  </si>
  <si>
    <t>La culata presenta una de las válvulas quebrada, por esta razón el equipo no tiene presión.</t>
  </si>
  <si>
    <t>Interruptor de encendido en corto circuito. El equipo no apaga.</t>
  </si>
  <si>
    <t>La caja eléctrica fue manipulada por el cliente.</t>
  </si>
  <si>
    <t>El codo donde se conecta la manguera de alta presión de agua está tiene la rosca dañada.</t>
  </si>
  <si>
    <t>Se generó un desgaste entre el colector del motor y los carbones, esto provocó así irreversibles al motor.</t>
  </si>
  <si>
    <t>K5.85</t>
  </si>
  <si>
    <t>CÓDIGO_1.396-703</t>
  </si>
  <si>
    <t>Base de la boquilla</t>
  </si>
  <si>
    <t>A5-044-691</t>
  </si>
  <si>
    <t>A5-550-331</t>
  </si>
  <si>
    <t>Válvulas de alta</t>
  </si>
  <si>
    <t>Tapon de válvula corto</t>
  </si>
  <si>
    <t>Oring del tapon de válvula</t>
  </si>
  <si>
    <t>Tapon de válvula largo</t>
  </si>
  <si>
    <t>Válvulas de baja</t>
  </si>
  <si>
    <t>Pieza de conexión (central)</t>
  </si>
  <si>
    <t>A4-030-070</t>
  </si>
  <si>
    <t>Pieza de conexión (izquierdo)</t>
  </si>
  <si>
    <t>A4-580-668</t>
  </si>
  <si>
    <t>Resorte del pistón</t>
  </si>
  <si>
    <t>Seguro de la entrada de agua</t>
  </si>
  <si>
    <t>A5-048-915</t>
  </si>
  <si>
    <t>Anillo de tolerancia</t>
  </si>
  <si>
    <t>Abanico</t>
  </si>
  <si>
    <t>A5-600-077</t>
  </si>
  <si>
    <t>Disco axial (redondo)</t>
  </si>
  <si>
    <t>Disco axial (rectangular)</t>
  </si>
  <si>
    <t>Retenedor 17x35x7 (disco redondo)</t>
  </si>
  <si>
    <t>Retenedor 25x35x7 (disco rectangular)</t>
  </si>
  <si>
    <t>Lamina tensora del interruptor</t>
  </si>
  <si>
    <t>K3.81</t>
  </si>
  <si>
    <t>CÓDIGO_1.423_954</t>
  </si>
  <si>
    <t>CÓDIGO_1.636_151</t>
  </si>
  <si>
    <t>SC_1</t>
  </si>
  <si>
    <t>SC_1.020</t>
  </si>
  <si>
    <t>SC_1052</t>
  </si>
  <si>
    <t>CÓDIGO_1.516_263</t>
  </si>
  <si>
    <t>CÓDIGO_1.512_223</t>
  </si>
  <si>
    <t>CÓDIGO_1.512_207</t>
  </si>
  <si>
    <t>A4-070-114</t>
  </si>
  <si>
    <t>A4-590-007</t>
  </si>
  <si>
    <t>A6-632-043</t>
  </si>
  <si>
    <t>Válvula de salida con manguera</t>
  </si>
  <si>
    <t>A4-580-045</t>
  </si>
  <si>
    <t>Oring de la punta de la manguera</t>
  </si>
  <si>
    <t>A2-884-280</t>
  </si>
  <si>
    <t>Set de boquillas de cepillo</t>
  </si>
  <si>
    <t>Boquillas de alto rendimiento</t>
  </si>
  <si>
    <t>A2-863-263</t>
  </si>
  <si>
    <t>Reecipiente para rellenar el agua</t>
  </si>
  <si>
    <t>A5-394-986</t>
  </si>
  <si>
    <t>Paño de microfibra</t>
  </si>
  <si>
    <t>Bolsa de accesorios</t>
  </si>
  <si>
    <t>A6-516-001</t>
  </si>
  <si>
    <t>Mazo de cables</t>
  </si>
  <si>
    <t>A4-039-185</t>
  </si>
  <si>
    <t>A4-746-033</t>
  </si>
  <si>
    <t>Boquilla de salida de vapor</t>
  </si>
  <si>
    <t>Manguera completa</t>
  </si>
  <si>
    <t>A4-130-018</t>
  </si>
  <si>
    <t>A6-363-277</t>
  </si>
  <si>
    <t>A5-363-610</t>
  </si>
  <si>
    <t>A4-070-571</t>
  </si>
  <si>
    <t>A4-746-030</t>
  </si>
  <si>
    <t>A4-321-252</t>
  </si>
  <si>
    <t>A el cabezal le ingresó agua (fuga por la manguera del abastecimiento de agua) y provocó que los rodamientos se oxidaran (los cepillos no giran)</t>
  </si>
  <si>
    <t>CABEZAL/FC/AGUA</t>
  </si>
  <si>
    <t>CABEZAL/FC/LABIO</t>
  </si>
  <si>
    <t>CABEZAL/FC/OBSTRUIDO</t>
  </si>
  <si>
    <t>CABEZAL/FC/TRANSMISIÓN</t>
  </si>
  <si>
    <t>CABEZAL/FC/NO INYECTA</t>
  </si>
  <si>
    <t>HD_855</t>
  </si>
  <si>
    <t>CÓDIGO_1.087_711</t>
  </si>
  <si>
    <t>Tapa delantera</t>
  </si>
  <si>
    <t>A5-067-018</t>
  </si>
  <si>
    <t>Bastidor trasero</t>
  </si>
  <si>
    <t>A5-605-227</t>
  </si>
  <si>
    <t>A5-057-062</t>
  </si>
  <si>
    <t>Soporte del bastidor</t>
  </si>
  <si>
    <t>A6-435-290</t>
  </si>
  <si>
    <t>A4-580-316</t>
  </si>
  <si>
    <t>Grapa (tanque-bastidor)</t>
  </si>
  <si>
    <t>No se vende</t>
  </si>
  <si>
    <t>A2-883-817</t>
  </si>
  <si>
    <t>Manómetro</t>
  </si>
  <si>
    <t>A6-241-306</t>
  </si>
  <si>
    <t>Oring de la hembrilla</t>
  </si>
  <si>
    <t>Disco  de bronce</t>
  </si>
  <si>
    <t>Tapon de las valvulas de alta</t>
  </si>
  <si>
    <t>A5-443-370</t>
  </si>
  <si>
    <t>David</t>
  </si>
  <si>
    <t>jljromero20@gmail.com</t>
  </si>
  <si>
    <t>Destinatario</t>
  </si>
  <si>
    <t>Email</t>
  </si>
  <si>
    <t>Asunto</t>
  </si>
  <si>
    <t>NUMERO DE BOLETA</t>
  </si>
  <si>
    <t>Johnny</t>
  </si>
  <si>
    <t>Oring del tapon de la chem</t>
  </si>
  <si>
    <t>Balin de la válvula chem</t>
  </si>
  <si>
    <t>Tornillo del microinterruptor</t>
  </si>
  <si>
    <t>A5-731-581</t>
  </si>
  <si>
    <t>Espaciador del by-pass</t>
  </si>
  <si>
    <t>Perilla de regulación del by-pass</t>
  </si>
  <si>
    <t>Guía de empuje</t>
  </si>
  <si>
    <t>Resorte</t>
  </si>
  <si>
    <t>A4-553-168</t>
  </si>
  <si>
    <t>Deposito de aceite</t>
  </si>
  <si>
    <t>Tapa del deposito de aceite</t>
  </si>
  <si>
    <t>A4-120-171</t>
  </si>
  <si>
    <t>A7-401-032</t>
  </si>
  <si>
    <t>Rol delantero 7305</t>
  </si>
  <si>
    <t>Rol trasero 6204</t>
  </si>
  <si>
    <t>Tapa del motor</t>
  </si>
  <si>
    <t>A5-063-707</t>
  </si>
  <si>
    <t>Cuña del ventilador</t>
  </si>
  <si>
    <t>Interrutor de encendido</t>
  </si>
  <si>
    <t>A6-631-196</t>
  </si>
  <si>
    <t>A5-321-516</t>
  </si>
  <si>
    <t>Manguera Doble Acople 10m (Long Life)</t>
  </si>
  <si>
    <t>Manguera Doble Acople 10m (Normal)</t>
  </si>
  <si>
    <t>Manguera Doble Acople 10m (Normal) Solo HD 4/9</t>
  </si>
  <si>
    <t>Manguera Doble Acople 20m (Long Life)</t>
  </si>
  <si>
    <t>Manguera Doble Acople 20m (Normal)</t>
  </si>
  <si>
    <t>Manguera Doble Acople 20 (Higiene)</t>
  </si>
  <si>
    <t>Pistola Easy Force</t>
  </si>
  <si>
    <t xml:space="preserve">Cobertor de Boquilla </t>
  </si>
  <si>
    <t>Pistola Easy Press ( Un acople )</t>
  </si>
  <si>
    <t>Pistola Easy Press ( Doble acople )</t>
  </si>
  <si>
    <t>Pistola Cuadrada</t>
  </si>
  <si>
    <t>4.775-529</t>
  </si>
  <si>
    <t>Pistola HD 6/15</t>
  </si>
  <si>
    <t>9.751-139</t>
  </si>
  <si>
    <t>Pistola HD 585</t>
  </si>
  <si>
    <t>Manguera HD 585</t>
  </si>
  <si>
    <t>Manguera de Alta Presión Un acople 10m (K-Part)</t>
  </si>
  <si>
    <t>Manguera de Alta Presión Doble Acople 10m (K-Part)</t>
  </si>
  <si>
    <t>Manguera de Alta Presión Doble Acople 10m (Long Life)</t>
  </si>
  <si>
    <t>Mnaguera de Alta Presión Doble acople 20m (Long Life)</t>
  </si>
  <si>
    <t>Mnaguera de Alta Presión Doble acople 20m (K-Part)</t>
  </si>
  <si>
    <t>Unión de mangueras</t>
  </si>
  <si>
    <t>Manguera de Alta Presión HD 6/15 (10M)</t>
  </si>
  <si>
    <t>9.751-035</t>
  </si>
  <si>
    <t>Manguera de Alta Presión HD 6/15 (20M)</t>
  </si>
  <si>
    <t>9.751-049</t>
  </si>
  <si>
    <t>Manguera de Alta Presión HD 6/15 (30m)</t>
  </si>
  <si>
    <t>9.751-050</t>
  </si>
  <si>
    <t>Lanza Larga</t>
  </si>
  <si>
    <t>Lanza Mediana</t>
  </si>
  <si>
    <t>4.760-665</t>
  </si>
  <si>
    <t>Lanza (HD 585)</t>
  </si>
  <si>
    <t>Lanza (HD 6/15)</t>
  </si>
  <si>
    <t>9.751-044</t>
  </si>
  <si>
    <t>Mini Lanza</t>
  </si>
  <si>
    <t>4.427-363</t>
  </si>
  <si>
    <t>Lanza Easy Lock 1050mm</t>
  </si>
  <si>
    <t>Lanza Easy Lock 850mm</t>
  </si>
  <si>
    <t>Lanza Easy Lock 600mm</t>
  </si>
  <si>
    <t>A4.118-005</t>
  </si>
  <si>
    <t>A4.427-014</t>
  </si>
  <si>
    <t>A4.112-000</t>
  </si>
  <si>
    <t>A4.112-006</t>
  </si>
  <si>
    <t>A4.112-007</t>
  </si>
  <si>
    <t>A4.111-022</t>
  </si>
  <si>
    <t>A6.110-038</t>
  </si>
  <si>
    <t>A6.110-031</t>
  </si>
  <si>
    <t>A6.110-034</t>
  </si>
  <si>
    <t>A6.110-027</t>
  </si>
  <si>
    <t>A6.110-032</t>
  </si>
  <si>
    <t>A6.110-054</t>
  </si>
  <si>
    <t>Boquilla Easy Lock 25054</t>
  </si>
  <si>
    <t>A2.113-011</t>
  </si>
  <si>
    <t>A4.117-038</t>
  </si>
  <si>
    <t>Pistola Easy Press Larga</t>
  </si>
  <si>
    <t>Set de Oring's M22</t>
  </si>
  <si>
    <t>Oring conexión a pistola</t>
  </si>
  <si>
    <t xml:space="preserve">Boquilla fija 25054 </t>
  </si>
  <si>
    <t xml:space="preserve">Boquilla Triple Easy Lock 25053 </t>
  </si>
  <si>
    <t>Boquilla Triple 25053</t>
  </si>
  <si>
    <t>Set de Oring's</t>
  </si>
  <si>
    <t>A4.775-463</t>
  </si>
  <si>
    <t>A4.775-466</t>
  </si>
  <si>
    <t>A4.427-215</t>
  </si>
  <si>
    <t>A9.761-812</t>
  </si>
  <si>
    <t>A4.760-663</t>
  </si>
  <si>
    <t>A4.760-584</t>
  </si>
  <si>
    <t>A4.402-022</t>
  </si>
  <si>
    <t>A5.401-210</t>
  </si>
  <si>
    <t>A2.883-927</t>
  </si>
  <si>
    <t>A4.767-155</t>
  </si>
  <si>
    <t>A6.391-484</t>
  </si>
  <si>
    <t>A4.363-691</t>
  </si>
  <si>
    <t>A6.391-419</t>
  </si>
  <si>
    <t>A6.390-026</t>
  </si>
  <si>
    <t>A6.390-031</t>
  </si>
  <si>
    <t>A6.391-676</t>
  </si>
  <si>
    <t>A5.403-175</t>
  </si>
  <si>
    <t>A2.880-990</t>
  </si>
  <si>
    <t>Boquilla fija 25034 (HD 585)</t>
  </si>
  <si>
    <t xml:space="preserve">Boquilla Turbo 035 </t>
  </si>
  <si>
    <t>A9.311-032</t>
  </si>
  <si>
    <t>A9.311-312</t>
  </si>
  <si>
    <t>A9.313-103</t>
  </si>
  <si>
    <t>A2.883-803</t>
  </si>
  <si>
    <t>A4.767-116</t>
  </si>
  <si>
    <t>A9.389-340</t>
  </si>
  <si>
    <t>A6.362-422</t>
  </si>
  <si>
    <t>Pieza de Nudos Larga</t>
  </si>
  <si>
    <t xml:space="preserve">Lanza Corta </t>
  </si>
  <si>
    <t>Pieza de Nudos Easy Lock</t>
  </si>
  <si>
    <t>Set de Oring's Easy Lock</t>
  </si>
  <si>
    <t>Pieza de Nudos M22</t>
  </si>
  <si>
    <t>Cobertor de Boquilla Easy 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</si>
</sst>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/>
    <xf numFmtId="0" fontId="3" fillId="2" borderId="0" xfId="0" applyFont="1" applyFill="1"/>
    <xf numFmtId="0" fontId="2" fillId="3" borderId="2" xfId="0" applyFont="1" applyFill="1" applyBorder="1" applyAlignment="1">
      <alignment horizontal="left"/>
    </xf>
    <xf numFmtId="0" fontId="2" fillId="3" borderId="2" xfId="0" applyFont="1" applyFill="1" applyBorder="1"/>
    <xf numFmtId="0" fontId="2" fillId="3" borderId="2" xfId="0" applyFont="1" applyFill="1" applyBorder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0" fillId="6" borderId="11" xfId="0" applyFont="1" applyFill="1" applyBorder="1"/>
    <xf numFmtId="0" fontId="0" fillId="6" borderId="12" xfId="0" applyFont="1" applyFill="1" applyBorder="1"/>
    <xf numFmtId="0" fontId="0" fillId="0" borderId="11" xfId="0" applyFont="1" applyBorder="1"/>
    <xf numFmtId="0" fontId="0" fillId="0" borderId="12" xfId="0" applyFont="1" applyBorder="1"/>
    <xf numFmtId="0" fontId="3" fillId="2" borderId="0" xfId="0" applyFont="1" applyFill="1" applyProtection="1">
      <protection hidden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 applyProtection="1"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3" fillId="2" borderId="1" xfId="0" applyFont="1" applyFill="1" applyBorder="1" applyAlignment="1" applyProtection="1">
      <alignment horizontal="center"/>
      <protection hidden="1"/>
    </xf>
    <xf numFmtId="0" fontId="0" fillId="2" borderId="0" xfId="0" applyFont="1" applyFill="1"/>
    <xf numFmtId="0" fontId="0" fillId="2" borderId="0" xfId="0" applyFont="1" applyFill="1" applyAlignment="1">
      <alignment horizontal="center"/>
    </xf>
    <xf numFmtId="0" fontId="5" fillId="2" borderId="0" xfId="0" applyFont="1" applyFill="1"/>
    <xf numFmtId="0" fontId="0" fillId="2" borderId="1" xfId="0" applyFont="1" applyFill="1" applyBorder="1" applyAlignment="1" applyProtection="1">
      <alignment horizontal="center"/>
      <protection locked="0" hidden="1"/>
    </xf>
    <xf numFmtId="0" fontId="0" fillId="2" borderId="1" xfId="0" applyFont="1" applyFill="1" applyBorder="1" applyAlignment="1" applyProtection="1">
      <alignment horizontal="center"/>
      <protection locked="0"/>
    </xf>
    <xf numFmtId="0" fontId="5" fillId="3" borderId="2" xfId="0" applyFont="1" applyFill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/>
    <xf numFmtId="0" fontId="0" fillId="4" borderId="2" xfId="0" applyFont="1" applyFill="1" applyBorder="1"/>
    <xf numFmtId="0" fontId="0" fillId="5" borderId="2" xfId="0" applyFont="1" applyFill="1" applyBorder="1" applyAlignment="1">
      <alignment horizontal="left"/>
    </xf>
    <xf numFmtId="0" fontId="0" fillId="2" borderId="0" xfId="0" applyFont="1" applyFill="1" applyProtection="1">
      <protection hidden="1"/>
    </xf>
    <xf numFmtId="0" fontId="0" fillId="2" borderId="0" xfId="0" applyFont="1" applyFill="1" applyAlignment="1">
      <alignment horizontal="center" vertical="center"/>
    </xf>
    <xf numFmtId="0" fontId="7" fillId="5" borderId="2" xfId="0" applyFont="1" applyFill="1" applyBorder="1" applyAlignment="1">
      <alignment horizontal="left"/>
    </xf>
    <xf numFmtId="0" fontId="7" fillId="2" borderId="0" xfId="0" applyFont="1" applyFill="1"/>
    <xf numFmtId="0" fontId="8" fillId="2" borderId="0" xfId="1" applyFont="1" applyFill="1"/>
    <xf numFmtId="0" fontId="5" fillId="2" borderId="0" xfId="0" applyFont="1" applyFill="1" applyAlignment="1">
      <alignment horizontal="center"/>
    </xf>
    <xf numFmtId="0" fontId="0" fillId="2" borderId="0" xfId="0" applyFont="1" applyFill="1" applyBorder="1" applyAlignment="1" applyProtection="1">
      <alignment horizontal="left" vertical="top" wrapText="1"/>
      <protection locked="0"/>
    </xf>
    <xf numFmtId="0" fontId="0" fillId="2" borderId="0" xfId="0" applyFont="1" applyFill="1" applyBorder="1" applyAlignment="1" applyProtection="1">
      <alignment horizontal="center"/>
      <protection locked="0" hidden="1"/>
    </xf>
    <xf numFmtId="0" fontId="0" fillId="2" borderId="0" xfId="0" applyFont="1" applyFill="1" applyAlignment="1" applyProtection="1">
      <alignment horizontal="center" vertical="top"/>
      <protection locked="0"/>
    </xf>
    <xf numFmtId="0" fontId="0" fillId="2" borderId="0" xfId="0" applyFont="1" applyFill="1" applyAlignment="1" applyProtection="1">
      <alignment horizontal="center" vertical="top"/>
      <protection hidden="1"/>
    </xf>
    <xf numFmtId="0" fontId="0" fillId="2" borderId="0" xfId="0" applyFont="1" applyFill="1" applyAlignment="1">
      <alignment horizontal="center" vertical="top"/>
    </xf>
    <xf numFmtId="0" fontId="4" fillId="2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7" borderId="0" xfId="0" applyFill="1" applyAlignment="1">
      <alignment wrapText="1"/>
    </xf>
    <xf numFmtId="0" fontId="0" fillId="5" borderId="2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3" xfId="0" applyFont="1" applyFill="1" applyBorder="1" applyAlignment="1" applyProtection="1">
      <alignment horizontal="left" vertical="top" wrapText="1"/>
      <protection locked="0"/>
    </xf>
    <xf numFmtId="0" fontId="0" fillId="2" borderId="4" xfId="0" applyFont="1" applyFill="1" applyBorder="1" applyAlignment="1" applyProtection="1">
      <alignment horizontal="left" vertical="top" wrapText="1"/>
      <protection locked="0"/>
    </xf>
    <xf numFmtId="0" fontId="0" fillId="2" borderId="5" xfId="0" applyFont="1" applyFill="1" applyBorder="1" applyAlignment="1" applyProtection="1">
      <alignment horizontal="left" vertical="top" wrapText="1"/>
      <protection locked="0"/>
    </xf>
    <xf numFmtId="0" fontId="0" fillId="2" borderId="6" xfId="0" applyFont="1" applyFill="1" applyBorder="1" applyAlignment="1" applyProtection="1">
      <alignment horizontal="left" vertical="top" wrapText="1"/>
      <protection locked="0"/>
    </xf>
    <xf numFmtId="0" fontId="0" fillId="2" borderId="0" xfId="0" applyFont="1" applyFill="1" applyBorder="1" applyAlignment="1" applyProtection="1">
      <alignment horizontal="left" vertical="top" wrapText="1"/>
      <protection locked="0"/>
    </xf>
    <xf numFmtId="0" fontId="0" fillId="2" borderId="7" xfId="0" applyFont="1" applyFill="1" applyBorder="1" applyAlignment="1" applyProtection="1">
      <alignment horizontal="left" vertical="top" wrapText="1"/>
      <protection locked="0"/>
    </xf>
    <xf numFmtId="0" fontId="0" fillId="2" borderId="8" xfId="0" applyFont="1" applyFill="1" applyBorder="1" applyAlignment="1" applyProtection="1">
      <alignment horizontal="left" vertical="top" wrapText="1"/>
      <protection locked="0"/>
    </xf>
    <xf numFmtId="0" fontId="0" fillId="2" borderId="9" xfId="0" applyFont="1" applyFill="1" applyBorder="1" applyAlignment="1" applyProtection="1">
      <alignment horizontal="left" vertical="top" wrapText="1"/>
      <protection locked="0"/>
    </xf>
    <xf numFmtId="0" fontId="0" fillId="2" borderId="10" xfId="0" applyFont="1" applyFill="1" applyBorder="1" applyAlignment="1" applyProtection="1">
      <alignment horizontal="left" vertical="top" wrapText="1"/>
      <protection locked="0"/>
    </xf>
    <xf numFmtId="0" fontId="0" fillId="2" borderId="1" xfId="0" applyFont="1" applyFill="1" applyBorder="1" applyAlignment="1" applyProtection="1">
      <alignment horizontal="center"/>
      <protection locked="0" hidden="1"/>
    </xf>
    <xf numFmtId="0" fontId="0" fillId="2" borderId="4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1" xfId="0" applyFont="1" applyFill="1" applyBorder="1" applyAlignment="1" applyProtection="1">
      <alignment horizontal="left" vertical="top" wrapText="1"/>
      <protection hidden="1"/>
    </xf>
  </cellXfs>
  <cellStyles count="2">
    <cellStyle name="Hipervínculo" xfId="1" builtinId="8"/>
    <cellStyle name="Normal" xfId="0" builtinId="0"/>
  </cellStyles>
  <dxfs count="81">
    <dxf>
      <alignment horizontal="general" vertical="center" textRotation="0" wrapText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color rgb="FF0070C0"/>
      </font>
    </dxf>
    <dxf>
      <font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file:///C:/Users/jljro/Dropbox/German%20Tec" TargetMode="External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2</xdr:row>
      <xdr:rowOff>112857</xdr:rowOff>
    </xdr:from>
    <xdr:to>
      <xdr:col>8</xdr:col>
      <xdr:colOff>1369219</xdr:colOff>
      <xdr:row>7</xdr:row>
      <xdr:rowOff>54607</xdr:rowOff>
    </xdr:to>
    <xdr:pic macro="[0]!Reestablecer">
      <xdr:nvPicPr>
        <xdr:cNvPr id="4" name="Gráfico 3" descr="Flecha circular con relleno sólido">
          <a:extLst>
            <a:ext uri="{FF2B5EF4-FFF2-40B4-BE49-F238E27FC236}">
              <a16:creationId xmlns:a16="http://schemas.microsoft.com/office/drawing/2014/main" id="{B17A3F14-9D28-4492-8146-D1DBC74BD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77188" y="493857"/>
          <a:ext cx="869156" cy="8823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537309</xdr:colOff>
      <xdr:row>1</xdr:row>
      <xdr:rowOff>61057</xdr:rowOff>
    </xdr:from>
    <xdr:to>
      <xdr:col>4</xdr:col>
      <xdr:colOff>699023</xdr:colOff>
      <xdr:row>5</xdr:row>
      <xdr:rowOff>185058</xdr:rowOff>
    </xdr:to>
    <xdr:pic>
      <xdr:nvPicPr>
        <xdr:cNvPr id="10" name="Gráfico 9" descr="Cámar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12C7D8-4CBF-466A-95D9-A8225B063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55578" y="256442"/>
          <a:ext cx="918830" cy="905539"/>
        </a:xfrm>
        <a:prstGeom prst="rect">
          <a:avLst/>
        </a:prstGeom>
      </xdr:spPr>
    </xdr:pic>
    <xdr:clientData/>
  </xdr:twoCellAnchor>
  <xdr:twoCellAnchor editAs="oneCell">
    <xdr:from>
      <xdr:col>4</xdr:col>
      <xdr:colOff>701902</xdr:colOff>
      <xdr:row>1</xdr:row>
      <xdr:rowOff>86723</xdr:rowOff>
    </xdr:from>
    <xdr:to>
      <xdr:col>7</xdr:col>
      <xdr:colOff>102072</xdr:colOff>
      <xdr:row>6</xdr:row>
      <xdr:rowOff>24200</xdr:rowOff>
    </xdr:to>
    <xdr:pic macro="[1]!Enviarboleta_Servicio">
      <xdr:nvPicPr>
        <xdr:cNvPr id="11" name="Gráfico 10" descr="Sobre con relleno sólido">
          <a:extLst>
            <a:ext uri="{FF2B5EF4-FFF2-40B4-BE49-F238E27FC236}">
              <a16:creationId xmlns:a16="http://schemas.microsoft.com/office/drawing/2014/main" id="{1FD5A648-D3F4-4E9E-A889-05BCA7B80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977287" y="282108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333375</xdr:colOff>
      <xdr:row>1</xdr:row>
      <xdr:rowOff>28575</xdr:rowOff>
    </xdr:from>
    <xdr:to>
      <xdr:col>4</xdr:col>
      <xdr:colOff>485775</xdr:colOff>
      <xdr:row>5</xdr:row>
      <xdr:rowOff>142875</xdr:rowOff>
    </xdr:to>
    <xdr:pic macro="[1]!Enviarboleta_Bodega">
      <xdr:nvPicPr>
        <xdr:cNvPr id="3" name="Gráfico 2" descr="Sobre con relleno sólido">
          <a:extLst>
            <a:ext uri="{FF2B5EF4-FFF2-40B4-BE49-F238E27FC236}">
              <a16:creationId xmlns:a16="http://schemas.microsoft.com/office/drawing/2014/main" id="{5F3CF0C4-8A3D-4272-869E-05E2D21CF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29100" y="219075"/>
          <a:ext cx="914400" cy="914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PERSONAL"/>
    </sheetNames>
    <definedNames>
      <definedName name="Enviarboleta_Bodega"/>
      <definedName name="Enviarboleta_Servicio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5AB4DF-A81B-439D-B12E-7318BBE9D1F3}" name="Tabla1" displayName="Tabla1" ref="B2:B17" totalsRowShown="0">
  <autoFilter ref="B2:B17" xr:uid="{815AB4DF-A81B-439D-B12E-7318BBE9D1F3}">
    <filterColumn colId="0" hiddenButton="1"/>
  </autoFilter>
  <tableColumns count="1">
    <tableColumn id="1" xr3:uid="{5C4CAD5A-3791-40BB-9DE0-7D0902206F9C}" name="TIPO_DE_MÁQUIN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04D419-EEDF-46F9-9388-F367A251A037}" name="Tabla2" displayName="Tabla2" ref="F2:F31" totalsRowShown="0">
  <autoFilter ref="F2:F31" xr:uid="{7C04D419-EEDF-46F9-9388-F367A251A037}">
    <filterColumn colId="0" hiddenButton="1"/>
  </autoFilter>
  <tableColumns count="1">
    <tableColumn id="1" xr3:uid="{E6ED22F4-A483-4E72-A45D-DB9F7C382154}" name="ASPIRADOR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D4C823-02FD-4F43-BE55-24FA9B3772C1}" name="Tabla3" displayName="Tabla3" ref="D2:D4" totalsRowShown="0">
  <autoFilter ref="D2:D4" xr:uid="{86D4C823-02FD-4F43-BE55-24FA9B3772C1}">
    <filterColumn colId="0" hiddenButton="1"/>
  </autoFilter>
  <tableColumns count="1">
    <tableColumn id="1" xr3:uid="{622D8E31-FE9C-49B8-9B0C-408B57770152}" name="GARANTÍ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86F8CC-73D4-462E-B553-2ECE99288000}" name="Tabla4" displayName="Tabla4" ref="H2:H3" totalsRowShown="0">
  <autoFilter ref="H2:H3" xr:uid="{3986F8CC-73D4-462E-B553-2ECE99288000}">
    <filterColumn colId="0" hiddenButton="1"/>
  </autoFilter>
  <tableColumns count="1">
    <tableColumn id="1" xr3:uid="{02F45CEC-67D2-4DA2-9A24-762AAF96291C}" name="BARREDOR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D15BECA-BCC9-4FA9-B924-44E274FDBD35}" name="Tabla5" displayName="Tabla5" ref="J2:J27" totalsRowShown="0">
  <autoFilter ref="J2:J27" xr:uid="{AD15BECA-BCC9-4FA9-B924-44E274FDBD35}">
    <filterColumn colId="0" hiddenButton="1"/>
  </autoFilter>
  <tableColumns count="1">
    <tableColumn id="1" xr3:uid="{57E1CF73-5C31-4C85-ABC8-A5479E574C7A}" name="CEPILLO_PULID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947E588-524A-4E8D-949B-5F35747C76C9}" name="Tabla6" displayName="Tabla6" ref="L2:L15" totalsRowShown="0">
  <autoFilter ref="L2:L15" xr:uid="{6947E588-524A-4E8D-949B-5F35747C76C9}">
    <filterColumn colId="0" hiddenButton="1"/>
  </autoFilter>
  <tableColumns count="1">
    <tableColumn id="1" xr3:uid="{4495DFEC-5F7A-4E6A-844F-678D14630E00}" name="COMPRESO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84A2C0E-A7C9-4214-8624-A880BC99D35B}" name="Tabla7" displayName="Tabla7" ref="N2:N3" totalsRowShown="0">
  <autoFilter ref="N2:N3" xr:uid="{284A2C0E-A7C9-4214-8624-A880BC99D35B}">
    <filterColumn colId="0" hiddenButton="1"/>
  </autoFilter>
  <tableColumns count="1">
    <tableColumn id="1" xr3:uid="{B723FFB1-BD29-4BA3-A221-D7D7E74BD8B4}" name="ESCOB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D535035-8EF6-47F2-AFE1-6B8018D08917}" name="Tabla8" displayName="Tabla8" ref="P2:P25" totalsRowShown="0">
  <autoFilter ref="P2:P25" xr:uid="{AD535035-8EF6-47F2-AFE1-6B8018D08917}">
    <filterColumn colId="0" hiddenButton="1"/>
  </autoFilter>
  <tableColumns count="1">
    <tableColumn id="1" xr3:uid="{772C5F80-E745-48F6-80FA-EB0E991BE43C}" name="FREGADOR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2A4740-6F5F-4329-BCEC-95D332E983DF}" name="Tabla9" displayName="Tabla9" ref="R2:R8" totalsRowShown="0">
  <autoFilter ref="R2:R8" xr:uid="{F42A4740-6F5F-4329-BCEC-95D332E983DF}">
    <filterColumn colId="0" hiddenButton="1"/>
  </autoFilter>
  <tableColumns count="1">
    <tableColumn id="1" xr3:uid="{26D59481-CC81-4807-B0D0-3EA17D4437D0}" name="HIDROLAVADORA_ESTACIONARI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08104D4-BC89-4D6E-95B4-F5ECD8B9DAF7}" name="Tabla10" displayName="Tabla10" ref="T2:T30" totalsRowShown="0">
  <autoFilter ref="T2:T30" xr:uid="{D08104D4-BC89-4D6E-95B4-F5ECD8B9DAF7}">
    <filterColumn colId="0" hiddenButton="1"/>
  </autoFilter>
  <tableColumns count="1">
    <tableColumn id="1" xr3:uid="{8005E4A0-978D-46F8-BA30-22E7CEF472E1}" name="HIDROLAVADORA_GASOLIN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76048-DB24-42A9-A336-A95149CCA0E1}" name="Tabla11" displayName="Tabla11" ref="V2:V10" totalsRowShown="0">
  <autoFilter ref="V2:V10" xr:uid="{52D76048-DB24-42A9-A336-A95149CCA0E1}">
    <filterColumn colId="0" hiddenButton="1"/>
  </autoFilter>
  <tableColumns count="1">
    <tableColumn id="1" xr3:uid="{AE538C81-226E-4E80-A4BA-8059B7E270A6}" name="HIDROLAVADORA_HD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28CAFC2-3FE8-4A30-B623-C12BBA97D013}" name="Tabla12" displayName="Tabla12" ref="X2:X3" totalsRowShown="0">
  <autoFilter ref="X2:X3" xr:uid="{028CAFC2-3FE8-4A30-B623-C12BBA97D013}">
    <filterColumn colId="0" hiddenButton="1"/>
  </autoFilter>
  <tableColumns count="1">
    <tableColumn id="1" xr3:uid="{B9F7369E-83AE-4BF4-A337-CDB945D3AFF6}" name="HIDROLAVADORA_HD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92063D-FB1E-40FE-A237-75FABC09D288}" name="Tabla13" displayName="Tabla13" ref="Z2:Z28" totalsRowShown="0">
  <autoFilter ref="Z2:Z28" xr:uid="{E292063D-FB1E-40FE-A237-75FABC09D288}">
    <filterColumn colId="0" hiddenButton="1"/>
  </autoFilter>
  <sortState xmlns:xlrd2="http://schemas.microsoft.com/office/spreadsheetml/2017/richdata2" ref="Z3:Z28">
    <sortCondition ref="Z3:Z28"/>
  </sortState>
  <tableColumns count="1">
    <tableColumn id="1" xr3:uid="{EF3D38CA-9856-418A-A740-520D6D993868}" name="HIDROLAVADORA_K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34B028F-0D47-4961-8488-A6C2423565C7}" name="Tabla14" displayName="Tabla14" ref="AB2:AB16" totalsRowShown="0">
  <autoFilter ref="AB2:AB16" xr:uid="{634B028F-0D47-4961-8488-A6C2423565C7}">
    <filterColumn colId="0" hiddenButton="1"/>
  </autoFilter>
  <tableColumns count="1">
    <tableColumn id="1" xr3:uid="{EC7AB37C-BC01-47D8-B434-304D2210B285}" name="IROBOT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A6C89-9236-437C-89F0-2D3ECF7DAA72}" name="Tabla15" displayName="Tabla15" ref="AD2:AD6" totalsRowShown="0">
  <autoFilter ref="AD2:AD6" xr:uid="{8E1A6C89-9236-437C-89F0-2D3ECF7DAA72}">
    <filterColumn colId="0" hiddenButton="1"/>
  </autoFilter>
  <tableColumns count="1">
    <tableColumn id="1" xr3:uid="{A6DF3169-7C2C-45CB-A317-4346D29B1340}" name="LAVA_ASPIRADORA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C65C1DB-8D51-4FEB-828F-BD48F316920D}" name="Tabla16" displayName="Tabla16" ref="AF2:AF36" totalsRowShown="0">
  <autoFilter ref="AF2:AF36" xr:uid="{BC65C1DB-8D51-4FEB-828F-BD48F316920D}">
    <filterColumn colId="0" hiddenButton="1"/>
  </autoFilter>
  <tableColumns count="1">
    <tableColumn id="1" xr3:uid="{9E3A3E16-0854-4294-835D-3F9F1DB07E3A}" name="TRAPP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55663F5-1B06-4584-B81E-5836B05444FC}" name="Tabla17" displayName="Tabla17" ref="AH2:AH6" totalsRowShown="0">
  <autoFilter ref="AH2:AH6" xr:uid="{855663F5-1B06-4584-B81E-5836B05444FC}">
    <filterColumn colId="0" hiddenButton="1"/>
  </autoFilter>
  <tableColumns count="1">
    <tableColumn id="1" xr3:uid="{AEA1D49B-0DD4-41F2-8A09-5C37269E847F}" name="VAPORIZADOR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C4DEB6D-9BA7-429A-8365-3ED98540F253}" name="Tabla99" displayName="Tabla99" ref="B2:B16" totalsRowShown="0" headerRowDxfId="73" dataDxfId="72">
  <autoFilter ref="B2:B16" xr:uid="{0C4DEB6D-9BA7-429A-8365-3ED98540F253}">
    <filterColumn colId="0" hiddenButton="1"/>
  </autoFilter>
  <tableColumns count="1">
    <tableColumn id="1" xr3:uid="{C685A1EB-EC81-4609-9657-FDBD88B7987A}" name="DIAGNOSTICO" dataDxfId="7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EAEB1B20-67F2-4F31-A0E8-3342D3A9E542}" name="Tabla100" displayName="Tabla100" ref="D2:F50" totalsRowShown="0" headerRowDxfId="70" dataDxfId="69">
  <autoFilter ref="D2:F50" xr:uid="{EAEB1B20-67F2-4F31-A0E8-3342D3A9E542}">
    <filterColumn colId="0" hiddenButton="1"/>
    <filterColumn colId="1" hiddenButton="1"/>
    <filterColumn colId="2" hiddenButton="1"/>
  </autoFilter>
  <tableColumns count="3">
    <tableColumn id="1" xr3:uid="{87F04AFA-09F9-49E0-AC0A-954D0EB20042}" name="#ERROR" dataDxfId="68"/>
    <tableColumn id="2" xr3:uid="{8229A274-ED0D-41B9-8157-FA7D7DA5F53B}" name="DESCRIPCIÓN" dataDxfId="67"/>
    <tableColumn id="3" xr3:uid="{ADB1558F-A46A-46E1-879F-F02147893027}" name="DIAGNOSTICO_ASPIRADORA" dataDxfId="6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FC8AE586-2D02-4A3C-9FCA-E23849A1FBC4}" name="Tabla101" displayName="Tabla101" ref="H2:J3" totalsRowShown="0" headerRowDxfId="65" dataDxfId="64">
  <autoFilter ref="H2:J3" xr:uid="{FC8AE586-2D02-4A3C-9FCA-E23849A1FBC4}">
    <filterColumn colId="0" hiddenButton="1"/>
    <filterColumn colId="1" hiddenButton="1"/>
    <filterColumn colId="2" hiddenButton="1"/>
  </autoFilter>
  <tableColumns count="3">
    <tableColumn id="1" xr3:uid="{FA9825A5-642D-4008-B565-0113D688A8E6}" name="#ERROR" dataDxfId="63"/>
    <tableColumn id="2" xr3:uid="{934BEFBE-AC14-4AB9-A89F-1D1098D73EF2}" name="DESCRIPCIÓN" dataDxfId="62"/>
    <tableColumn id="3" xr3:uid="{1278F3DF-9120-4AE3-B9DD-12A04DFEE18F}" name="DIAGNOSTICO_BARREDORA" dataDxfId="6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99D7775C-13CD-421B-8870-8ABFE5DF988B}" name="Tabla102" displayName="Tabla102" ref="L2:N50" totalsRowShown="0" headerRowDxfId="60" dataDxfId="59">
  <autoFilter ref="L2:N50" xr:uid="{99D7775C-13CD-421B-8870-8ABFE5DF988B}">
    <filterColumn colId="0" hiddenButton="1"/>
    <filterColumn colId="1" hiddenButton="1"/>
    <filterColumn colId="2" hiddenButton="1"/>
  </autoFilter>
  <tableColumns count="3">
    <tableColumn id="1" xr3:uid="{3EC45F23-B244-4058-990D-93FE3233BE51}" name="#ERROR" dataDxfId="58"/>
    <tableColumn id="2" xr3:uid="{F9845BBC-BA3C-41EE-8682-544F62CFE726}" name="DESCRIPCIÓN" dataDxfId="57"/>
    <tableColumn id="3" xr3:uid="{93E6F574-0FD0-4051-8697-99A4F52BA66C}" name="DIAGNOSTICO_CEPILLO_PULIDOR" dataDxfId="5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4493E832-BB61-4C29-A630-6E747DEE56CF}" name="Tabla104" displayName="Tabla104" ref="P2:R3" totalsRowShown="0" headerRowDxfId="55" dataDxfId="54">
  <autoFilter ref="P2:R3" xr:uid="{4493E832-BB61-4C29-A630-6E747DEE56CF}">
    <filterColumn colId="0" hiddenButton="1"/>
    <filterColumn colId="1" hiddenButton="1"/>
    <filterColumn colId="2" hiddenButton="1"/>
  </autoFilter>
  <tableColumns count="3">
    <tableColumn id="1" xr3:uid="{D8A33CA6-C747-4380-A885-88497AB07617}" name="#ERROR" dataDxfId="53"/>
    <tableColumn id="2" xr3:uid="{F76B777A-200B-46D1-81B5-F02DFFD0CA0A}" name="DESCRIPCIÓN" dataDxfId="52"/>
    <tableColumn id="3" xr3:uid="{9E80219B-9AC9-41FE-813D-0ECA2DAC18C1}" name="DIAGNOSTICO_COMPRESOR" dataDxfId="5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5725FE10-D29B-438A-ADD0-80A3AE0106E5}" name="Tabla105" displayName="Tabla105" ref="T2:V3" totalsRowShown="0" headerRowDxfId="50" dataDxfId="49">
  <autoFilter ref="T2:V3" xr:uid="{5725FE10-D29B-438A-ADD0-80A3AE0106E5}">
    <filterColumn colId="0" hiddenButton="1"/>
    <filterColumn colId="1" hiddenButton="1"/>
    <filterColumn colId="2" hiddenButton="1"/>
  </autoFilter>
  <tableColumns count="3">
    <tableColumn id="1" xr3:uid="{8456A39B-376C-4306-A38C-E6A49873EF10}" name="#ERROR" dataDxfId="48"/>
    <tableColumn id="2" xr3:uid="{2FB26BDA-CA27-46FF-8194-553F4AA47CE7}" name="DESCRIPCIÓN" dataDxfId="47"/>
    <tableColumn id="3" xr3:uid="{EAE4F3B0-7750-450F-BA89-BF7859EE6CB4}" name="DIAGNOSTICO_ESCOBA" dataDxfId="4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B2AACDF7-426C-4D55-86C0-B35A8A9B704E}" name="Tabla106" displayName="Tabla106" ref="X2:Z46" totalsRowShown="0" headerRowDxfId="45" dataDxfId="44">
  <autoFilter ref="X2:Z46" xr:uid="{B2AACDF7-426C-4D55-86C0-B35A8A9B704E}">
    <filterColumn colId="0" hiddenButton="1"/>
    <filterColumn colId="1" hiddenButton="1"/>
    <filterColumn colId="2" hiddenButton="1"/>
  </autoFilter>
  <tableColumns count="3">
    <tableColumn id="1" xr3:uid="{289B0D3D-072C-42D2-BA2C-CEEB509F86D4}" name="#ERROR" dataDxfId="43"/>
    <tableColumn id="2" xr3:uid="{00790925-E912-4477-873C-AA1FDD597A8C}" name="DESCRIPCIÓN" dataDxfId="42"/>
    <tableColumn id="3" xr3:uid="{794AB681-1977-4879-BDDC-795FB9C92094}" name="DIAGNOSTICO_FREGADORA" dataDxfId="4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92B9C783-119C-4D55-8F9B-B112740B2534}" name="Tabla107" displayName="Tabla107" ref="AB2:AD3" totalsRowShown="0" headerRowDxfId="40" dataDxfId="39">
  <autoFilter ref="AB2:AD3" xr:uid="{92B9C783-119C-4D55-8F9B-B112740B2534}">
    <filterColumn colId="0" hiddenButton="1"/>
    <filterColumn colId="1" hiddenButton="1"/>
    <filterColumn colId="2" hiddenButton="1"/>
  </autoFilter>
  <tableColumns count="3">
    <tableColumn id="1" xr3:uid="{961D79A5-3B0C-4318-8482-A4690CE3E65B}" name="#ERROR" dataDxfId="38"/>
    <tableColumn id="2" xr3:uid="{85901A4C-082A-4AE8-93F8-78844D0308DF}" name="DESCRIPCIÓN" dataDxfId="37"/>
    <tableColumn id="3" xr3:uid="{11151207-9CB2-4339-9998-AE0C004A64F5}" name="DIAGNOSTICO_HIDROLAVADORA_ESTÁCIONARIA" dataDxfId="3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B7FB2C4C-A8FB-4D11-96E2-C60933B4EB7C}" name="Tabla108" displayName="Tabla108" ref="AF2:AH121" totalsRowShown="0" headerRowDxfId="35" dataDxfId="34">
  <autoFilter ref="AF2:AH121" xr:uid="{B7FB2C4C-A8FB-4D11-96E2-C60933B4EB7C}">
    <filterColumn colId="0" hiddenButton="1"/>
    <filterColumn colId="1" hiddenButton="1"/>
    <filterColumn colId="2" hiddenButton="1"/>
  </autoFilter>
  <tableColumns count="3">
    <tableColumn id="1" xr3:uid="{6788D5C5-1668-4ED9-BB01-848BA6AC74A2}" name="#ERROR" dataDxfId="33"/>
    <tableColumn id="2" xr3:uid="{7AD2D947-4EE9-458D-B046-3B97F1787574}" name="DESCRIPCIÓN" dataDxfId="32"/>
    <tableColumn id="3" xr3:uid="{65780FFF-F05E-453B-8CB4-1815D72C60CD}" name="DIAGNOSTICO_HIDROLAVADORA_GASOLINA" dataDxfId="3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AFA39BD7-218F-461A-AB18-C28B2CAA7EC3}" name="Tabla109" displayName="Tabla109" ref="AJ2:AL117" totalsRowShown="0" headerRowDxfId="30" dataDxfId="29">
  <autoFilter ref="AJ2:AL117" xr:uid="{AFA39BD7-218F-461A-AB18-C28B2CAA7EC3}">
    <filterColumn colId="0" hiddenButton="1"/>
    <filterColumn colId="1" hiddenButton="1"/>
    <filterColumn colId="2" hiddenButton="1"/>
  </autoFilter>
  <tableColumns count="3">
    <tableColumn id="1" xr3:uid="{6C50CDA8-E611-4DFB-B048-7A1C27929E38}" name="#ERROR" dataDxfId="28"/>
    <tableColumn id="2" xr3:uid="{88839070-B7D1-4C71-82A9-9E32B65AC89D}" name="DESCRIPCIÓN" dataDxfId="27"/>
    <tableColumn id="3" xr3:uid="{6A139992-BDDD-4CB3-9CDA-1FB3A42B9027}" name="DIAGNOSTICO_HIDROLAVADORA_HD" dataDxfId="26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E0F7F78E-08E3-4506-9178-F4E34A2F8478}" name="Tabla110" displayName="Tabla110" ref="AN2:AP150" totalsRowShown="0" headerRowDxfId="25" dataDxfId="24">
  <autoFilter ref="AN2:AP150" xr:uid="{E0F7F78E-08E3-4506-9178-F4E34A2F8478}">
    <filterColumn colId="0" hiddenButton="1"/>
    <filterColumn colId="1" hiddenButton="1"/>
    <filterColumn colId="2" hiddenButton="1"/>
  </autoFilter>
  <tableColumns count="3">
    <tableColumn id="1" xr3:uid="{1E6D748F-391E-4CC1-9250-E726F7FC1859}" name="#ERROR" dataDxfId="23"/>
    <tableColumn id="2" xr3:uid="{49880EC2-C454-478B-A841-36BB5C3ECFA4}" name="DESCRIPCIÓN" dataDxfId="22"/>
    <tableColumn id="3" xr3:uid="{B4663EF7-2FAA-4345-82F9-F337DCCDB290}" name="DIAGNOSTICO_HIDROLAVADORA_HDS" dataDxfId="2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7770C0D-CECA-4FB5-9AF7-10A76D230476}" name="Tabla111" displayName="Tabla111" ref="AR2:AT44" totalsRowShown="0" headerRowDxfId="20" dataDxfId="19">
  <autoFilter ref="AR2:AT44" xr:uid="{07770C0D-CECA-4FB5-9AF7-10A76D230476}">
    <filterColumn colId="0" hiddenButton="1"/>
    <filterColumn colId="1" hiddenButton="1"/>
    <filterColumn colId="2" hiddenButton="1"/>
  </autoFilter>
  <tableColumns count="3">
    <tableColumn id="1" xr3:uid="{2B080F2C-B39A-4FB4-9ADB-132C30F3A9DC}" name="#ERROR" dataDxfId="18"/>
    <tableColumn id="2" xr3:uid="{A8EC1941-072B-497E-9244-C765D81D637C}" name="DESCRIPCIÓN" dataDxfId="17"/>
    <tableColumn id="3" xr3:uid="{5E43743E-1CFC-4B7D-98E0-B39A6D7EBA12}" name="DIAGNOSTICO_HIDROLAVADORA_K" dataDxfId="1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8164E5B-7540-4F74-B3B0-DFA847FBA0B5}" name="Tabla112" displayName="Tabla112" ref="AV2:AX3" totalsRowShown="0" headerRowDxfId="15" dataDxfId="14">
  <autoFilter ref="AV2:AX3" xr:uid="{A8164E5B-7540-4F74-B3B0-DFA847FBA0B5}">
    <filterColumn colId="0" hiddenButton="1"/>
    <filterColumn colId="1" hiddenButton="1"/>
    <filterColumn colId="2" hiddenButton="1"/>
  </autoFilter>
  <tableColumns count="3">
    <tableColumn id="1" xr3:uid="{3BE61D70-FF49-4AFA-9D4B-8D29CEC105FC}" name="#ERROR" dataDxfId="13"/>
    <tableColumn id="2" xr3:uid="{A76B9138-C205-444D-82DF-8B084E41B257}" name="DESCRIPCIÓN" dataDxfId="12"/>
    <tableColumn id="3" xr3:uid="{55E9891D-F5C5-4D9C-AE62-27850CDAAB40}" name="DIAGNOSTICO_TRAPP" dataDxfId="1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D8993A7-51E4-448A-AEA9-0E04A472C5FA}" name="Tabla113" displayName="Tabla113" ref="AZ2:BB3" totalsRowShown="0" headerRowDxfId="10" dataDxfId="9">
  <autoFilter ref="AZ2:BB3" xr:uid="{0D8993A7-51E4-448A-AEA9-0E04A472C5FA}">
    <filterColumn colId="0" hiddenButton="1"/>
    <filterColumn colId="1" hiddenButton="1"/>
    <filterColumn colId="2" hiddenButton="1"/>
  </autoFilter>
  <tableColumns count="3">
    <tableColumn id="1" xr3:uid="{40026B26-82C6-46FE-AEFF-D285626BE391}" name="#ERROR" dataDxfId="8"/>
    <tableColumn id="2" xr3:uid="{49EC182E-1BC8-4699-93F7-BB2F16A2CB99}" name="DESCRIPCIÓN" dataDxfId="7"/>
    <tableColumn id="3" xr3:uid="{D2E07FB8-2C14-4EF3-B43F-19624C408BC9}" name="DIAGNOSTICO_IROBOT" dataDxfId="6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9EC5522-8C5C-4191-9D6B-EDD069E7FA7A}" name="Tabla114" displayName="Tabla114" ref="BD2:BF9" totalsRowShown="0" headerRowDxfId="5" dataDxfId="4">
  <autoFilter ref="BD2:BF9" xr:uid="{09EC5522-8C5C-4191-9D6B-EDD069E7FA7A}"/>
  <tableColumns count="3">
    <tableColumn id="1" xr3:uid="{D037C566-CE64-4E93-9F94-07B393842DC5}" name="#ERROR" dataDxfId="3"/>
    <tableColumn id="2" xr3:uid="{E01443AE-D037-4788-A7C0-BC3781990B7E}" name="DESCRIPCIÓN" dataDxfId="2"/>
    <tableColumn id="3" xr3:uid="{C4049A0C-1312-43BD-BA2C-8ED6B8577BA5}" name="DIAGNOSTICO_VAPORIZADOR" dataDxf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E49310B-5443-49A6-AB3B-EC8A1D8DE9BC}" name="Tabla19" displayName="Tabla19" ref="B2:C20" totalsRowShown="0">
  <autoFilter ref="B2:C20" xr:uid="{4E49310B-5443-49A6-AB3B-EC8A1D8DE9BC}">
    <filterColumn colId="0" hiddenButton="1"/>
    <filterColumn colId="1" hiddenButton="1"/>
  </autoFilter>
  <tableColumns count="2">
    <tableColumn id="1" xr3:uid="{EA15488E-ECC5-412B-9335-40C5AD4BCE37}" name="A_2004"/>
    <tableColumn id="2" xr3:uid="{C616BA12-3F54-4842-86A7-BB5E2CD7D13A}" name="CÓDIGO_1.629_104" dataDxfId="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703ED20-9564-4013-AF45-74FAC867435B}" name="Tabla20" displayName="Tabla20" ref="E2:F20" totalsRowShown="0">
  <autoFilter ref="E2:F20" xr:uid="{A703ED20-9564-4013-AF45-74FAC867435B}">
    <filterColumn colId="0" hiddenButton="1"/>
    <filterColumn colId="1" hiddenButton="1"/>
  </autoFilter>
  <tableColumns count="2">
    <tableColumn id="1" xr3:uid="{7C5C7AD2-5B79-4058-8FD2-351C6206BD73}" name="A_2204"/>
    <tableColumn id="2" xr3:uid="{614FF8D2-688E-4DF2-9028-0346CF186C83}" name="CÓDIGO_1.723_10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40AD1EB-4A9A-4424-B940-A5B2AAFA1D77}" name="Tabla21" displayName="Tabla21" ref="H2:I19" totalsRowShown="0">
  <autoFilter ref="H2:I19" xr:uid="{540AD1EB-4A9A-4424-B940-A5B2AAFA1D77}">
    <filterColumn colId="0" hiddenButton="1"/>
    <filterColumn colId="1" hiddenButton="1"/>
  </autoFilter>
  <tableColumns count="2">
    <tableColumn id="1" xr3:uid="{EC142F57-8262-4E02-B286-0275773273C3}" name="DS_5.800"/>
    <tableColumn id="2" xr3:uid="{C3AE98B2-A307-44E6-8F5D-EFC71CD37245}" name="CÓDIGO_1.195_215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3D8E329-AF61-4A9A-8895-74E30AEA8B23}" name="Tabla22" displayName="Tabla22" ref="K2:L18" totalsRowShown="0">
  <autoFilter ref="K2:L18" xr:uid="{E3D8E329-AF61-4A9A-8895-74E30AEA8B23}">
    <filterColumn colId="0" hiddenButton="1"/>
    <filterColumn colId="1" hiddenButton="1"/>
  </autoFilter>
  <tableColumns count="2">
    <tableColumn id="1" xr3:uid="{12B0D1E7-4886-411C-9B4D-D437E08B23D7}" name="DS_5500"/>
    <tableColumn id="2" xr3:uid="{F17F6B1D-0766-4D63-A824-EE31F0E7AB99}" name="CÓDIGO_1.195_10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4842370-952A-459D-8390-DC66767BA131}" name="Tabla23" displayName="Tabla23" ref="N2:O22" totalsRowShown="0">
  <autoFilter ref="N2:O22" xr:uid="{74842370-952A-459D-8390-DC66767BA131}">
    <filterColumn colId="0" hiddenButton="1"/>
    <filterColumn colId="1" hiddenButton="1"/>
  </autoFilter>
  <tableColumns count="2">
    <tableColumn id="1" xr3:uid="{4F0BCF64-4207-4FD9-8DFE-08940028E82A}" name="DS_5600"/>
    <tableColumn id="2" xr3:uid="{2B97244D-5089-40C5-A701-4737B87B8A00}" name="CÓDIGO_1.195_13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CB93175-1475-4605-8A2D-9DD6A212D8E2}" name="Tabla24" displayName="Tabla24" ref="Q2:R20" totalsRowShown="0">
  <autoFilter ref="Q2:R20" xr:uid="{ECB93175-1475-4605-8A2D-9DD6A212D8E2}">
    <filterColumn colId="0" hiddenButton="1"/>
    <filterColumn colId="1" hiddenButton="1"/>
  </autoFilter>
  <tableColumns count="2">
    <tableColumn id="1" xr3:uid="{9E15BAB7-F5C2-4CED-8733-4F90DE351B77}" name="T_10_1"/>
    <tableColumn id="2" xr3:uid="{0D2C3939-BB64-4159-9ABA-AEDDDF91BC05}" name="CÓDIGO_1.527_15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FF1F41E-42DA-438C-8490-90D5172ABEE5}" name="Tabla25" displayName="Tabla25" ref="T2:U12" totalsRowShown="0">
  <autoFilter ref="T2:U12" xr:uid="{2FF1F41E-42DA-438C-8490-90D5172ABEE5}">
    <filterColumn colId="0" hiddenButton="1"/>
    <filterColumn colId="1" hiddenButton="1"/>
  </autoFilter>
  <tableColumns count="2">
    <tableColumn id="1" xr3:uid="{89271D3A-52B9-48CA-8F27-D4FBE987774C}" name="VC_5.100"/>
    <tableColumn id="2" xr3:uid="{C7F8E4DB-53FE-42B1-8353-CB8E5DD878B5}" name="CÓDIGO_1.994_00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54320F4-6CFF-498D-BD46-E4C929F30A5E}" name="Tabla26" displayName="Tabla26" ref="W2:X18" totalsRowShown="0">
  <autoFilter ref="W2:X18" xr:uid="{D54320F4-6CFF-498D-BD46-E4C929F30A5E}">
    <filterColumn colId="0" hiddenButton="1"/>
    <filterColumn colId="1" hiddenButton="1"/>
  </autoFilter>
  <tableColumns count="2">
    <tableColumn id="1" xr3:uid="{4C4BA675-962B-4A42-8F43-9293DE8AA57F}" name="VC_1800"/>
    <tableColumn id="2" xr3:uid="{FE52D673-3D2A-4D2A-879A-8A2468DDE834}" name="CÓDIGO_1.723_96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D0CEE20-29DA-4AD1-9A90-5C7E6F85ECE4}" name="Tabla27" displayName="Tabla27" ref="Z2:AA17" totalsRowShown="0">
  <autoFilter ref="Z2:AA17" xr:uid="{BD0CEE20-29DA-4AD1-9A90-5C7E6F85ECE4}">
    <filterColumn colId="0" hiddenButton="1"/>
    <filterColumn colId="1" hiddenButton="1"/>
  </autoFilter>
  <tableColumns count="2">
    <tableColumn id="1" xr3:uid="{8A2A02C6-3F58-4F1B-9DF1-E65A5684908D}" name="WD_1"/>
    <tableColumn id="2" xr3:uid="{35E86E3A-12DE-4BE4-A7C0-89DF4AE89FBB}" name="CÓDIGO_1.098_305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4E09AEB-AC55-4F63-ADBA-098D8D0B5412}" name="Tabla28" displayName="Tabla28" ref="AC2:AD17" totalsRowShown="0">
  <autoFilter ref="AC2:AD17" xr:uid="{94E09AEB-AC55-4F63-ADBA-098D8D0B5412}">
    <filterColumn colId="0" hiddenButton="1"/>
    <filterColumn colId="1" hiddenButton="1"/>
  </autoFilter>
  <tableColumns count="2">
    <tableColumn id="1" xr3:uid="{ADDBE1E2-E724-44AF-8F8C-D3010DD730AC}" name="WD_2"/>
    <tableColumn id="2" xr3:uid="{AF1FE4B4-F949-41FF-9275-FA58120B37D6}" name="CÓDIGO_1.629_77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39B858-468F-40F4-ABB8-15CA51F9F155}" name="Tabla29" displayName="Tabla29" ref="AF2:AG18" totalsRowShown="0">
  <autoFilter ref="AF2:AG18" xr:uid="{F139B858-468F-40F4-ABB8-15CA51F9F155}">
    <filterColumn colId="0" hiddenButton="1"/>
    <filterColumn colId="1" hiddenButton="1"/>
  </autoFilter>
  <tableColumns count="2">
    <tableColumn id="1" xr3:uid="{71FC595C-51EA-48A2-96DD-DDCEF758B865}" name="WD_3"/>
    <tableColumn id="2" xr3:uid="{3CAD383C-E441-4EFF-816C-77D48E7C0585}" name="CÓDIGO_1.629_813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7BCA71C-EC08-4F6D-B7F8-F451086D51FC}" name="Tabla30" displayName="Tabla30" ref="AI2:AJ17" totalsRowShown="0">
  <autoFilter ref="AI2:AJ17" xr:uid="{F7BCA71C-EC08-4F6D-B7F8-F451086D51FC}">
    <filterColumn colId="0" hiddenButton="1"/>
    <filterColumn colId="1" hiddenButton="1"/>
  </autoFilter>
  <tableColumns count="2">
    <tableColumn id="1" xr3:uid="{7EB1F7D6-B5E9-4B8D-AE20-CF33AA7598FF}" name="WD_3200"/>
    <tableColumn id="2" xr3:uid="{B751EDB6-16FF-47FA-BBDC-A11C3B4B57F9}" name="CÓDIGO_1.629_608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58FA0C4-20A0-4B83-87AC-E9019A40C48E}" name="Tabla31" displayName="Tabla31" ref="B40:C62" totalsRowShown="0">
  <autoFilter ref="B40:C62" xr:uid="{B58FA0C4-20A0-4B83-87AC-E9019A40C48E}">
    <filterColumn colId="0" hiddenButton="1"/>
    <filterColumn colId="1" hiddenButton="1"/>
  </autoFilter>
  <tableColumns count="2">
    <tableColumn id="1" xr3:uid="{1878799C-60FC-46D6-911C-6A576223A83E}" name="BV_5_1_BP"/>
    <tableColumn id="2" xr3:uid="{D5275B0A-20F2-4DDF-BFAC-1199318154D1}" name="CÓDIGO_1.394_224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E5C62EC-7CDA-42EB-B097-C8959045D0C5}" name="Tabla32" displayName="Tabla32" ref="E40:F59" totalsRowShown="0">
  <autoFilter ref="E40:F59" xr:uid="{6E5C62EC-7CDA-42EB-B097-C8959045D0C5}">
    <filterColumn colId="0" hiddenButton="1"/>
    <filterColumn colId="1" hiddenButton="1"/>
  </autoFilter>
  <tableColumns count="2">
    <tableColumn id="1" xr3:uid="{C60E0844-2ABD-4E44-B8EB-6AE68F3042AA}" name="BV_5_1_Ep"/>
    <tableColumn id="2" xr3:uid="{42777572-B8BC-4C06-BD7F-9C5922834E1A}" name="CÓDIGO_1.394_215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9E4A4E4-09E0-4C78-BB22-34D36555CD35}" name="Tabla33" displayName="Tabla33" ref="H40:I69" totalsRowShown="0">
  <autoFilter ref="H40:I69" xr:uid="{19E4A4E4-09E0-4C78-BB22-34D36555CD35}">
    <filterColumn colId="0" hiddenButton="1"/>
    <filterColumn colId="1" hiddenButton="1"/>
  </autoFilter>
  <tableColumns count="2">
    <tableColumn id="1" xr3:uid="{7A609FCA-00A9-4A21-ABC9-06F78B83364D}" name="CV_30_1"/>
    <tableColumn id="2" xr3:uid="{E0B78AF2-847A-4949-81FC-FE888A1495AC}" name="CÓDIGO_1.023_113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BEF3E6F-6F4C-4A6D-A9F1-2F9AD45FABA4}" name="Tabla34" displayName="Tabla34" ref="K40:L60" totalsRowShown="0">
  <autoFilter ref="K40:L60" xr:uid="{2BEF3E6F-6F4C-4A6D-A9F1-2F9AD45FABA4}">
    <filterColumn colId="0" hiddenButton="1"/>
    <filterColumn colId="1" hiddenButton="1"/>
  </autoFilter>
  <tableColumns count="2">
    <tableColumn id="1" xr3:uid="{8B3B5D27-C017-44E6-BA77-C215BF504F3E}" name="NT_30_1"/>
    <tableColumn id="2" xr3:uid="{BA230FA1-FBBF-4ED6-B237-5AD088B0E8FE}" name="CÓDIGO_1_148_206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A51E38B-6B3D-4151-AC8E-711F51F075E3}" name="Tabla35" displayName="Tabla35" ref="N40:O57" totalsRowShown="0">
  <autoFilter ref="N40:O57" xr:uid="{EA51E38B-6B3D-4151-AC8E-711F51F075E3}">
    <filterColumn colId="0" hiddenButton="1"/>
    <filterColumn colId="1" hiddenButton="1"/>
  </autoFilter>
  <tableColumns count="2">
    <tableColumn id="1" xr3:uid="{8C3CF811-2E4F-4414-9C86-BC6C9A2208FE}" name="NT_35_1"/>
    <tableColumn id="2" xr3:uid="{3977FF80-F1CD-45D7-A4C4-1100554FCE00}" name="CÓDIGO_1.184_854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CF35AEA-7F90-42F7-B2B7-D8259845C97F}" name="Tabla36" displayName="Tabla36" ref="Q40:R60" totalsRowShown="0">
  <autoFilter ref="Q40:R60" xr:uid="{BCF35AEA-7F90-42F7-B2B7-D8259845C97F}">
    <filterColumn colId="0" hiddenButton="1"/>
    <filterColumn colId="1" hiddenButton="1"/>
  </autoFilter>
  <tableColumns count="2">
    <tableColumn id="1" xr3:uid="{B8850D0F-9BFD-4FD6-B443-2BC8C768B182}" name="NT_38_1"/>
    <tableColumn id="2" xr3:uid="{E7BDA612-8E37-4E86-ABDF-2BF6AB2D51D4}" name="CÓDIGO_1.428_537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36CE9CB-27B8-4635-9FDD-71A7C70EAF3D}" name="Tabla37" displayName="Tabla37" ref="T40:U67" totalsRowShown="0">
  <autoFilter ref="T40:U67" xr:uid="{D36CE9CB-27B8-4635-9FDD-71A7C70EAF3D}">
    <filterColumn colId="0" hiddenButton="1"/>
    <filterColumn colId="1" hiddenButton="1"/>
  </autoFilter>
  <tableColumns count="2">
    <tableColumn id="1" xr3:uid="{D4045AC6-938A-4C1A-8A5B-48CAFAE04317}" name="NT_48_1"/>
    <tableColumn id="2" xr3:uid="{8945E7DC-2A7A-4193-A491-032880138CF8}" name="CÓDIGO_1.428_623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3C50734-E3CE-4441-90CD-6A8D8EDDA548}" name="Tabla38" displayName="Tabla38" ref="W40:X75" totalsRowShown="0">
  <autoFilter ref="W40:X75" xr:uid="{83C50734-E3CE-4441-90CD-6A8D8EDDA548}">
    <filterColumn colId="0" hiddenButton="1"/>
    <filterColumn colId="1" hiddenButton="1"/>
  </autoFilter>
  <tableColumns count="2">
    <tableColumn id="1" xr3:uid="{61FE51C2-E573-4F21-888C-C93FF4B85BFD}" name="NT_65_2"/>
    <tableColumn id="2" xr3:uid="{095988F3-48FA-43D9-B8AE-7CDD9C115EB7}" name="CÓDIGO_1._325_104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5B28FF9-BE35-40DD-897E-6F32BC02A47D}" name="Tabla39" displayName="Tabla39" ref="Z40:AA66" totalsRowShown="0">
  <autoFilter ref="Z40:AA66" xr:uid="{25B28FF9-BE35-40DD-897E-6F32BC02A47D}">
    <filterColumn colId="0" hiddenButton="1"/>
    <filterColumn colId="1" hiddenButton="1"/>
  </autoFilter>
  <tableColumns count="2">
    <tableColumn id="1" xr3:uid="{D552573E-3E0A-4D25-901C-90AD2988D8F5}" name="NT_70_2"/>
    <tableColumn id="2" xr3:uid="{8D4595A2-D8AE-4C56-B70F-4119E169DFFE}" name="CÓDIGO_1.667_200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66007FA-E428-4EE7-B366-157124CAF7DB}" name="Tabla40" displayName="Tabla40" ref="AC40:AD67" totalsRowShown="0">
  <autoFilter ref="AC40:AD67" xr:uid="{166007FA-E428-4EE7-B366-157124CAF7DB}">
    <filterColumn colId="0" hiddenButton="1"/>
    <filterColumn colId="1" hiddenButton="1"/>
  </autoFilter>
  <tableColumns count="2">
    <tableColumn id="1" xr3:uid="{5763F0E4-DE7E-4399-ADF5-C78D795BBD81}" name="NT_72_2"/>
    <tableColumn id="2" xr3:uid="{F30B402E-3BAA-4828-99A1-8F79513F848B}" name="CÓDIGO_1.667_106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2D8956C-7A24-4949-9C7B-E03F07C75740}" name="Tabla41" displayName="Tabla41" ref="AF40:AG66" totalsRowShown="0">
  <autoFilter ref="AF40:AG66" xr:uid="{32D8956C-7A24-4949-9C7B-E03F07C75740}">
    <filterColumn colId="0" hiddenButton="1"/>
    <filterColumn colId="1" hiddenButton="1"/>
  </autoFilter>
  <tableColumns count="2">
    <tableColumn id="1" xr3:uid="{E416AF48-6578-441F-8876-BDB96EE180DC}" name="NT_90_2"/>
    <tableColumn id="2" xr3:uid="{B9ACB283-7875-4865-AB88-1CAD034737D9}" name="CÓDIGO_1.667_70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B8FA8FD-9446-435D-B5BA-CB7C8647B608}" name="Tabla42" displayName="Tabla42" ref="AI40:AJ62" totalsRowShown="0">
  <autoFilter ref="AI40:AJ62" xr:uid="{9B8FA8FD-9446-435D-B5BA-CB7C8647B608}">
    <filterColumn colId="0" hiddenButton="1"/>
    <filterColumn colId="1" hiddenButton="1"/>
  </autoFilter>
  <tableColumns count="2">
    <tableColumn id="1" xr3:uid="{0E3AD99B-A6C9-4594-98D2-F6AC07E4421F}" name="T_15_1"/>
    <tableColumn id="2" xr3:uid="{705EC0B5-3703-4598-81BE-DF596602CDCA}" name="CÓDIGO_1.355_228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A310F5C0-B71E-45FC-8E85-2DC521B2AECC}" name="Tabla56" displayName="Tabla56" ref="B80:C92" totalsRowShown="0">
  <autoFilter ref="B80:C92" xr:uid="{A310F5C0-B71E-45FC-8E85-2DC521B2AECC}">
    <filterColumn colId="0" hiddenButton="1"/>
    <filterColumn colId="1" hiddenButton="1"/>
  </autoFilter>
  <tableColumns count="2">
    <tableColumn id="1" xr3:uid="{3764FDFC-73D4-4D43-924D-6B88528A3D09}" name="VC_4_I"/>
    <tableColumn id="2" xr3:uid="{AA907BCE-7046-49C0-8F1E-96C389FE708E}" name="CÓDIGO_1.198_254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CEB159D2-643E-4DFE-8B01-C390573E8B5A}" name="Tabla121" displayName="Tabla121" ref="E80:F96" totalsRowShown="0">
  <autoFilter ref="E80:F96" xr:uid="{CEB159D2-643E-4DFE-8B01-C390573E8B5A}">
    <filterColumn colId="0" hiddenButton="1"/>
    <filterColumn colId="1" hiddenButton="1"/>
  </autoFilter>
  <tableColumns count="2">
    <tableColumn id="1" xr3:uid="{D7A51954-256B-4E05-B326-565020FF4414}" name="VCS_4S"/>
    <tableColumn id="2" xr3:uid="{EAF18283-D590-46BE-BF75-67190A2ACD78}" name="CÓDIGO_1.198_280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2F4834CF-2F01-4D55-8130-438A97CB6D93}" name="Tabla122" displayName="Tabla122" ref="H80:I101" totalsRowShown="0">
  <autoFilter ref="H80:I101" xr:uid="{2F4834CF-2F01-4D55-8130-438A97CB6D93}">
    <filterColumn colId="0" hiddenButton="1"/>
    <filterColumn colId="1" hiddenButton="1"/>
  </autoFilter>
  <tableColumns count="2">
    <tableColumn id="1" xr3:uid="{4CEC7C3D-F643-4E0C-BE41-06228782B9C6}" name="NT_20_1"/>
    <tableColumn id="2" xr3:uid="{2621FCFC-E1FA-4758-A42A-3B201EFC507F}" name="CÓDIGO_1.428_547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660B1762-DE30-40CA-BE8F-4D94A7E355C5}" name="Tabla123" displayName="Tabla123" ref="K80:L112" totalsRowShown="0">
  <autoFilter ref="K80:L112" xr:uid="{660B1762-DE30-40CA-BE8F-4D94A7E355C5}">
    <filterColumn colId="0" hiddenButton="1"/>
    <filterColumn colId="1" hiddenButton="1"/>
  </autoFilter>
  <tableColumns count="2">
    <tableColumn id="1" xr3:uid="{BC3A7787-03BA-416D-BE88-63262F14F6EA}" name="XP_12_AZUL"/>
    <tableColumn id="2" xr3:uid="{F95D46C2-EC31-4283-B7BD-F10E8EE97AC2}" name="CÓDIGO_1.012_024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552AB114-2630-4D01-AA0A-44D06A068D1C}" name="Tabla125" displayName="Tabla125" ref="N80:O112" totalsRowShown="0">
  <autoFilter ref="N80:O112" xr:uid="{552AB114-2630-4D01-AA0A-44D06A068D1C}">
    <filterColumn colId="0" hiddenButton="1"/>
    <filterColumn colId="1" hiddenButton="1"/>
  </autoFilter>
  <tableColumns count="2">
    <tableColumn id="1" xr3:uid="{E5387AAA-9671-4827-97DB-0D3A6E5AA7D8}" name="XP_12_GRIS"/>
    <tableColumn id="2" xr3:uid="{965ED8D0-1E93-425C-9414-3E96A14E5704}" name="CÓDIGO_1.012_024.2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508025CE-B2EB-411E-BF12-3A2779F3C53C}" name="Tabla116" displayName="Tabla116" ref="B2:C29" totalsRowShown="0">
  <autoFilter ref="B2:C29" xr:uid="{508025CE-B2EB-411E-BF12-3A2779F3C53C}">
    <filterColumn colId="0" hiddenButton="1"/>
    <filterColumn colId="1" hiddenButton="1"/>
  </autoFilter>
  <tableColumns count="2">
    <tableColumn id="1" xr3:uid="{5991E867-08BA-4B34-A179-487C4EA2D02D}" name="KM_70_20"/>
    <tableColumn id="2" xr3:uid="{F9E5A4AF-FE0C-4DCA-B576-85CE371768DF}" name="CÓDIGO_1.517_106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9F6E158-E95F-4B2E-B989-7A3BCD099B36}" name="Tabla127" displayName="Tabla127" ref="B2:C9" totalsRowShown="0">
  <autoFilter ref="B2:C9" xr:uid="{A9F6E158-E95F-4B2E-B989-7A3BCD099B36}">
    <filterColumn colId="0" hiddenButton="1"/>
    <filterColumn colId="1" hiddenButton="1"/>
  </autoFilter>
  <tableColumns count="2">
    <tableColumn id="1" xr3:uid="{310C6723-E3EB-4996-BD3F-22DFC7DC8E43}" name="KB_5"/>
    <tableColumn id="2" xr3:uid="{51372843-A246-4831-8C35-D8486164FDB0}" name="CÓDIGO_1.258_004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5A86380E-16B0-4934-8369-A48930C17C86}" name="Tabla75" displayName="Tabla75" ref="B2:C22" totalsRowShown="0">
  <autoFilter ref="B2:C22" xr:uid="{5A86380E-16B0-4934-8369-A48930C17C86}">
    <filterColumn colId="0" hiddenButton="1"/>
    <filterColumn colId="1" hiddenButton="1"/>
  </autoFilter>
  <tableColumns count="2">
    <tableColumn id="1" xr3:uid="{43D65761-76B6-48AD-94E4-BFFF7088ED45}" name="K2.68"/>
    <tableColumn id="2" xr3:uid="{F9610246-08A8-409C-8383-ECD5D18284E6}" name="CÓDIGO_1.601_632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5AF5DC4E-B6F2-4B5C-8EF9-3F340E0C9BEC}" name="Tabla76" displayName="Tabla76" ref="E2:F20" totalsRowShown="0">
  <autoFilter ref="E2:F20" xr:uid="{5AF5DC4E-B6F2-4B5C-8EF9-3F340E0C9BEC}">
    <filterColumn colId="0" hiddenButton="1"/>
    <filterColumn colId="1" hiddenButton="1"/>
  </autoFilter>
  <tableColumns count="2">
    <tableColumn id="1" xr3:uid="{9ABE50F5-6340-4217-A2EB-A72F6B065974}" name="K_4"/>
    <tableColumn id="2" xr3:uid="{BE3CF87D-83D5-4661-B3D6-1E6441610064}" name="CÓDIGO_1.601_850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4D9FAA71-A95B-4F9C-860A-6387FCA2F6CF}" name="Tabla77" displayName="Tabla77" ref="H2:I18" totalsRowShown="0">
  <autoFilter ref="H2:I18" xr:uid="{4D9FAA71-A95B-4F9C-860A-6387FCA2F6CF}">
    <filterColumn colId="0" hiddenButton="1"/>
    <filterColumn colId="1" hiddenButton="1"/>
  </autoFilter>
  <tableColumns count="2">
    <tableColumn id="1" xr3:uid="{6FF06EC6-FEB5-4483-82CA-3F8504B2ABDE}" name="K_2"/>
    <tableColumn id="2" xr3:uid="{85AEFD5C-1C15-4BF2-87FB-8855EAC6D15E}" name="CÓDIGO_1.602_212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51C762F6-2ADA-436E-878C-B22EB98C157E}" name="Tabla78" displayName="Tabla78" ref="K2:L18" totalsRowShown="0">
  <autoFilter ref="K2:L18" xr:uid="{51C762F6-2ADA-436E-878C-B22EB98C157E}">
    <filterColumn colId="0" hiddenButton="1"/>
    <filterColumn colId="1" hiddenButton="1"/>
  </autoFilter>
  <tableColumns count="2">
    <tableColumn id="1" xr3:uid="{4E05F0FD-E3CE-4CE4-A056-605A4692C2D1}" name="K2_BASIC"/>
    <tableColumn id="2" xr3:uid="{B5C7555E-D449-4CA0-8DDB-1148EE7AE13E}" name="CÓDIGO_1.602_105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ABFA43C-AF11-4957-A986-08D9ACBD59B3}" name="Tabla79" displayName="Tabla79" ref="N2:O14" totalsRowShown="0">
  <autoFilter ref="N2:O14" xr:uid="{0ABFA43C-AF11-4957-A986-08D9ACBD59B3}">
    <filterColumn colId="0" hiddenButton="1"/>
    <filterColumn colId="1" hiddenButton="1"/>
  </autoFilter>
  <tableColumns count="2">
    <tableColumn id="1" xr3:uid="{FA5446D2-2AE1-45DA-865B-ED37B762539A}" name="K2_COMPACT"/>
    <tableColumn id="2" xr3:uid="{E6D100C8-2278-4A47-9E5A-5D74BC8AFDC4}" name="CÓDIGO_1.602_106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A6938B0F-30F2-4C7E-87B9-C1F7B3AAF032}" name="Tabla80" displayName="Tabla80" ref="Q2:R15" totalsRowShown="0">
  <autoFilter ref="Q2:R15" xr:uid="{A6938B0F-30F2-4C7E-87B9-C1F7B3AAF032}">
    <filterColumn colId="0" hiddenButton="1"/>
    <filterColumn colId="1" hiddenButton="1"/>
  </autoFilter>
  <tableColumns count="2">
    <tableColumn id="1" xr3:uid="{5370A7DD-6B9A-487E-8949-9FEEA1C6CBF2}" name="K3.000"/>
    <tableColumn id="2" xr3:uid="{ABE870F1-96BB-41FC-8730-A816D40EC5DA}" name="CÓDIGO_1.601_990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D15CDE3B-198A-4A64-8AC7-67C247AF0FA8}" name="Tabla81" displayName="Tabla81" ref="T2:U22" totalsRowShown="0">
  <autoFilter ref="T2:U22" xr:uid="{D15CDE3B-198A-4A64-8AC7-67C247AF0FA8}">
    <filterColumn colId="0" hiddenButton="1"/>
    <filterColumn colId="1" hiddenButton="1"/>
  </autoFilter>
  <tableColumns count="2">
    <tableColumn id="1" xr3:uid="{EB0A1243-87ED-445A-B500-2AA672DEE13E}" name="K_3.690"/>
    <tableColumn id="2" xr3:uid="{58A43A19-0DBB-4927-A486-E69B879AFF9A}" name="CÓDIGO_1.601_772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3024314E-F7C3-4EA2-B4D0-A834B16CBFF9}" name="Tabla82" displayName="Tabla82" ref="W2:X25" totalsRowShown="0">
  <autoFilter ref="W2:X25" xr:uid="{3024314E-F7C3-4EA2-B4D0-A834B16CBFF9}">
    <filterColumn colId="0" hiddenButton="1"/>
    <filterColumn colId="1" hiddenButton="1"/>
  </autoFilter>
  <tableColumns count="2">
    <tableColumn id="1" xr3:uid="{36D5B0EB-8888-4A7F-AE58-E8AAEC103D44}" name="K_5"/>
    <tableColumn id="2" xr3:uid="{E369364D-B6DD-496B-9CDF-61315D24C99B}" name="CÓDIGO_1.180_643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38F2D78-D6F3-4ED2-8940-B818AF29E5B1}" name="Tabla83" displayName="Tabla83" ref="Z2:AA21" totalsRowShown="0">
  <autoFilter ref="Z2:AA21" xr:uid="{038F2D78-D6F3-4ED2-8940-B818AF29E5B1}">
    <filterColumn colId="0" hiddenButton="1"/>
    <filterColumn colId="1" hiddenButton="1"/>
  </autoFilter>
  <tableColumns count="2">
    <tableColumn id="1" xr3:uid="{54BD4489-5FFF-4F10-A1DD-14250F0A3753}" name="K3.450"/>
    <tableColumn id="2" xr3:uid="{AD71A844-A052-42AD-80A8-53299223B034}" name="CÓDIGO_1.601_774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E2E789DB-45DE-448B-9AE4-2DC12E837971}" name="Tabla84" displayName="Tabla84" ref="B33:C51" totalsRowShown="0">
  <autoFilter ref="B33:C51" xr:uid="{E2E789DB-45DE-448B-9AE4-2DC12E837971}">
    <filterColumn colId="0" hiddenButton="1"/>
    <filterColumn colId="1" hiddenButton="1"/>
  </autoFilter>
  <tableColumns count="2">
    <tableColumn id="1" xr3:uid="{316B4AF9-24D9-41D1-991C-EAD497019899}" name="K3.68"/>
    <tableColumn id="2" xr3:uid="{7A966F75-970E-4EE6-8111-830BE377415A}" name="CÓDIGO_1.601_746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469DDE3-60DD-4753-85D0-EF9F93663B1A}" name="Tabla85" displayName="Tabla85" ref="E33:F51" totalsRowShown="0">
  <autoFilter ref="E33:F51" xr:uid="{5469DDE3-60DD-4753-85D0-EF9F93663B1A}">
    <filterColumn colId="0" hiddenButton="1"/>
    <filterColumn colId="1" hiddenButton="1"/>
  </autoFilter>
  <tableColumns count="2">
    <tableColumn id="1" xr3:uid="{6E4FF960-8A55-42B8-B4E3-B5F4A6768E52}" name="K3.40"/>
    <tableColumn id="2" xr3:uid="{F58DC2E2-AA8E-41E4-B198-1E2CD34E2DBB}" name="CÓDIGO_1.994_880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D208F0B9-D725-4024-8A8C-5F05CD566D81}" name="Tabla86" displayName="Tabla86" ref="H33:I50" totalsRowShown="0">
  <autoFilter ref="H33:I50" xr:uid="{D208F0B9-D725-4024-8A8C-5F05CD566D81}">
    <filterColumn colId="0" hiddenButton="1"/>
    <filterColumn colId="1" hiddenButton="1"/>
  </autoFilter>
  <tableColumns count="2">
    <tableColumn id="1" xr3:uid="{AFE11E29-295B-4A9F-A3B1-C28058B30A25}" name="K2.150"/>
    <tableColumn id="2" xr3:uid="{34987C31-E6CF-4CA3-87A7-551D0AEDBB44}" name="CÓDIGO_1.601_660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C2C454A3-4464-4463-A6BA-6F1E80FF08FD}" name="Tabla87" displayName="Tabla87" ref="K33:L49" totalsRowShown="0">
  <autoFilter ref="K33:L49" xr:uid="{C2C454A3-4464-4463-A6BA-6F1E80FF08FD}">
    <filterColumn colId="0" hiddenButton="1"/>
    <filterColumn colId="1" hiddenButton="1"/>
  </autoFilter>
  <tableColumns count="2">
    <tableColumn id="1" xr3:uid="{DEF82013-86C5-476C-A22A-69FC6EEC20E9}" name="K5.68"/>
    <tableColumn id="2" xr3:uid="{467165C7-4EE8-4885-9CF2-21034B954985}" name="CÓDIGO_1.601_911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F94B195D-5EF7-4723-845F-DCCB9250E1D1}" name="Tabla88" displayName="Tabla88" ref="N33:O53" totalsRowShown="0">
  <autoFilter ref="N33:O53" xr:uid="{F94B195D-5EF7-4723-845F-DCCB9250E1D1}">
    <filterColumn colId="0" hiddenButton="1"/>
    <filterColumn colId="1" hiddenButton="1"/>
  </autoFilter>
  <tableColumns count="2">
    <tableColumn id="1" xr3:uid="{A282A529-B142-466F-883F-A7FD687A85A9}" name="K5.690"/>
    <tableColumn id="2" xr3:uid="{B4A83754-EB9F-4614-966D-3E4ABDC0980C}" name="CÓDIGO_1.601_901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D91A1A5-317C-4B68-BEEC-B0BC5BCE4C0C}" name="Tabla89" displayName="Tabla89" ref="Q33:R55" totalsRowShown="0">
  <autoFilter ref="Q33:R55" xr:uid="{0D91A1A5-317C-4B68-BEEC-B0BC5BCE4C0C}">
    <filterColumn colId="0" hiddenButton="1"/>
    <filterColumn colId="1" hiddenButton="1"/>
  </autoFilter>
  <tableColumns count="2">
    <tableColumn id="1" xr3:uid="{1F26D614-83E2-4AA9-890F-3C7F4FF82E62}" name="K5.540"/>
    <tableColumn id="2" xr3:uid="{5062A534-51FA-43C9-9D24-A61CE7B666BE}" name="CÓDIGO_1.603_320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BAFF96AA-9348-4E67-8F05-29B9890BFAC8}" name="Tabla90" displayName="Tabla90" ref="T33:U46" totalsRowShown="0">
  <autoFilter ref="T33:U46" xr:uid="{BAFF96AA-9348-4E67-8F05-29B9890BFAC8}">
    <filterColumn colId="0" hiddenButton="1"/>
    <filterColumn colId="1" hiddenButton="1"/>
  </autoFilter>
  <tableColumns count="2">
    <tableColumn id="1" xr3:uid="{D91003D7-8B22-4E3E-9CF2-8469C622F837}" name="K2.01"/>
    <tableColumn id="2" xr3:uid="{B3C610E7-9879-4F77-B3E1-248C39009E3F}" name="CÓDIGO_1.672_370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D9C901C2-409E-4854-8ED6-65AF95F50972}" name="Tabla91" displayName="Tabla91" ref="W33:X47" totalsRowShown="0">
  <autoFilter ref="W33:X47" xr:uid="{D9C901C2-409E-4854-8ED6-65AF95F50972}">
    <filterColumn colId="0" hiddenButton="1"/>
    <filterColumn colId="1" hiddenButton="1"/>
  </autoFilter>
  <tableColumns count="2">
    <tableColumn id="1" xr3:uid="{8BFA80F8-0548-40BC-8D5D-AF0C3BC961E0}" name="K2_PLUS"/>
    <tableColumn id="2" xr3:uid="{651CE71B-395B-4EC0-9CD4-C1814B4C4F05}" name="CÓDIGO_1.602_224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6F0B8EC0-340B-45F2-9887-B6DC6BE67625}" name="Tabla92" displayName="Tabla92" ref="Z33:AA52" totalsRowShown="0">
  <autoFilter ref="Z33:AA52" xr:uid="{6F0B8EC0-340B-45F2-9887-B6DC6BE67625}">
    <filterColumn colId="0" hiddenButton="1"/>
    <filterColumn colId="1" hiddenButton="1"/>
  </autoFilter>
  <tableColumns count="2">
    <tableColumn id="1" xr3:uid="{5D4E49A9-ADF2-4A49-8AC7-90F715841448}" name="K2.00_PLUS"/>
    <tableColumn id="2" xr3:uid="{F2FAEE9A-65D6-4BB7-879E-C96D37482204}" name="CÓDIGO_1.241_110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66B22842-E7C4-475C-8B4F-B063E6109ED2}" name="Tabla93" displayName="Tabla93" ref="E61:F74" totalsRowShown="0">
  <autoFilter ref="E61:F74" xr:uid="{66B22842-E7C4-475C-8B4F-B063E6109ED2}">
    <filterColumn colId="0" hiddenButton="1"/>
    <filterColumn colId="1" hiddenButton="1"/>
  </autoFilter>
  <tableColumns count="2">
    <tableColumn id="1" xr3:uid="{491ACC09-4CB7-43B9-B114-AA00C71D070B}" name="K2.19"/>
    <tableColumn id="2" xr3:uid="{3176765B-5AE9-4C20-A0C2-CDDE561113AB}" name="CÓDIGO_1.601_513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82FB30FD-56FF-47CE-BB25-40358A2208EA}" name="Tabla94" displayName="Tabla94" ref="H61:I73" totalsRowShown="0">
  <autoFilter ref="H61:I73" xr:uid="{82FB30FD-56FF-47CE-BB25-40358A2208EA}">
    <filterColumn colId="0" hiddenButton="1"/>
    <filterColumn colId="1" hiddenButton="1"/>
  </autoFilter>
  <tableColumns count="2">
    <tableColumn id="1" xr3:uid="{3CAD97D9-6099-43A8-91FF-7C9DEADDB638}" name="K2.27"/>
    <tableColumn id="2" xr3:uid="{B3BA7996-EC6B-4147-9B88-B64DFF70DFE2}" name="CÓDIGO_1.601_176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E83838BB-9139-4D2D-9AB6-42EEF3FC647D}" name="Tabla95" displayName="Tabla95" ref="K61:L79" totalsRowShown="0">
  <autoFilter ref="K61:L79" xr:uid="{E83838BB-9139-4D2D-9AB6-42EEF3FC647D}">
    <filterColumn colId="0" hiddenButton="1"/>
    <filterColumn colId="1" hiddenButton="1"/>
  </autoFilter>
  <tableColumns count="2">
    <tableColumn id="1" xr3:uid="{9BE1ED52-43DB-48C1-AB49-5E84F630961E}" name="K2.050"/>
    <tableColumn id="2" xr3:uid="{E947BFE2-A8F0-4C53-A222-80CB0B8C6190}" name="CÓDIGO_1.601_653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F78FCA7D-C51D-4373-BD69-CA97C8B81C68}" name="Tabla96" displayName="Tabla96" ref="N61:O79" totalsRowShown="0">
  <autoFilter ref="N61:O79" xr:uid="{F78FCA7D-C51D-4373-BD69-CA97C8B81C68}">
    <filterColumn colId="0" hiddenButton="1"/>
    <filterColumn colId="1" hiddenButton="1"/>
  </autoFilter>
  <tableColumns count="2">
    <tableColumn id="1" xr3:uid="{B9BF2FC6-9EAD-4AEC-A2E0-8C91B1F3A347}" name="K2.250"/>
    <tableColumn id="2" xr3:uid="{6B2013F0-84F0-41F5-BC29-A7A6AD3A9F5F}" name="CÓDIGO_1.601_672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8ECF4509-EB49-4006-96C8-C87B80B61815}" name="Tabla97" displayName="Tabla97" ref="Q61:R79" totalsRowShown="0">
  <autoFilter ref="Q61:R79" xr:uid="{8ECF4509-EB49-4006-96C8-C87B80B61815}">
    <filterColumn colId="0" hiddenButton="1"/>
    <filterColumn colId="1" hiddenButton="1"/>
  </autoFilter>
  <tableColumns count="2">
    <tableColumn id="1" xr3:uid="{7FC498D5-250C-4268-8D2B-4F9BFA1A8AFB}" name="K2.93 "/>
    <tableColumn id="2" xr3:uid="{B980E32D-E1C2-40B3-897F-8433F02EDCA5}" name="CÓDIGO_1.601_105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439DEA16-B4AC-41E5-8377-732248CEE6D5}" name="Tabla98" displayName="Tabla98" ref="B61:C75" totalsRowShown="0">
  <autoFilter ref="B61:C75" xr:uid="{439DEA16-B4AC-41E5-8377-732248CEE6D5}">
    <filterColumn colId="0" hiddenButton="1"/>
    <filterColumn colId="1" hiddenButton="1"/>
  </autoFilter>
  <tableColumns count="2">
    <tableColumn id="1" xr3:uid="{4AD5FEA6-5959-49F2-BF86-130D5665138D}" name="K2.26"/>
    <tableColumn id="2" xr3:uid="{C99007B9-B907-44CC-9BE9-9DE8AB58DB6B}" name="CÓDIGO_1.601_602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F7CE472A-6725-4D51-8F5D-8BB18FF22DF4}" name="Tabla126" displayName="Tabla126" ref="T61:U77" totalsRowShown="0">
  <autoFilter ref="T61:U77" xr:uid="{F7CE472A-6725-4D51-8F5D-8BB18FF22DF4}">
    <filterColumn colId="0" hiddenButton="1"/>
    <filterColumn colId="1" hiddenButton="1"/>
  </autoFilter>
  <tableColumns count="2">
    <tableColumn id="1" xr3:uid="{143E8810-683A-4812-B481-9D86F02BA47C}" name="K2.21"/>
    <tableColumn id="2" xr3:uid="{E190B0DA-8BA8-48F2-A4DD-50ED4D6F4349}" name="CÓDIGO_1.601_138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D5A167AD-052F-4644-BC31-4AD579AF979E}" name="Tabla124" displayName="Tabla124" ref="W61:X103" totalsRowShown="0">
  <autoFilter ref="W61:X103" xr:uid="{D5A167AD-052F-4644-BC31-4AD579AF979E}">
    <filterColumn colId="0" hiddenButton="1"/>
    <filterColumn colId="1" hiddenButton="1"/>
  </autoFilter>
  <tableColumns count="2">
    <tableColumn id="1" xr3:uid="{37569217-2FC2-4A82-87F3-D7466AF8C9D2}" name="K5.85"/>
    <tableColumn id="2" xr3:uid="{DB9CA094-B03F-477E-9B4E-4E119423245F}" name="CÓDIGO_1.396-703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A63BB14C-6F61-4528-9764-EBA4640AEE0E}" name="Tabla43" displayName="Tabla43" ref="B2:C17" totalsRowShown="0">
  <autoFilter ref="B2:C17" xr:uid="{A63BB14C-6F61-4528-9764-EBA4640AEE0E}">
    <filterColumn colId="0" hiddenButton="1"/>
    <filterColumn colId="1" hiddenButton="1"/>
  </autoFilter>
  <tableColumns count="2">
    <tableColumn id="1" xr3:uid="{70FDBE56-61F6-4BB6-A2F0-314F9BD0556E}" name="FC_5"/>
    <tableColumn id="2" xr3:uid="{A49D7C23-69CB-4BA1-9837-939800078128}" name="CÓDIGO_1.055_506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E2277C4-DAEE-48EC-94E6-73F987C1357C}" name="Tabla44" displayName="Tabla44" ref="E2:F12" totalsRowShown="0">
  <autoFilter ref="E2:F12" xr:uid="{DE2277C4-DAEE-48EC-94E6-73F987C1357C}">
    <filterColumn colId="0" hiddenButton="1"/>
    <filterColumn colId="1" hiddenButton="1"/>
  </autoFilter>
  <tableColumns count="2">
    <tableColumn id="1" xr3:uid="{94F2ED62-A22D-459B-A177-ACAA4D2EFB10}" name="FC_3"/>
    <tableColumn id="2" xr3:uid="{82444A88-BA72-4601-86C8-7E0DE2115188}" name="CÓDIGO_1.055_300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5FA7596-B032-4F3E-88FF-D0D69D822533}" name="Tabla45" displayName="Tabla45" ref="H2:I20" totalsRowShown="0">
  <autoFilter ref="H2:I20" xr:uid="{65FA7596-B032-4F3E-88FF-D0D69D822533}">
    <filterColumn colId="0" hiddenButton="1"/>
    <filterColumn colId="1" hiddenButton="1"/>
  </autoFilter>
  <tableColumns count="2">
    <tableColumn id="1" xr3:uid="{952B1C4F-76B1-4808-9D56-8F485DB6B9BA}" name="B40_WP_D43_EP"/>
    <tableColumn id="2" xr3:uid="{0E6FE452-81FD-4241-9634-D16300650EED}" name="CÓDIGO_2.533_201.2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75845CF-5C29-48CA-9C8A-B7AC1458A0A5}" name="Tabla46" displayName="Tabla46" ref="K2:L20" totalsRowShown="0">
  <autoFilter ref="K2:L20" xr:uid="{875845CF-5C29-48CA-9C8A-B7AC1458A0A5}">
    <filterColumn colId="0" hiddenButton="1"/>
    <filterColumn colId="1" hiddenButton="1"/>
  </autoFilter>
  <tableColumns count="2">
    <tableColumn id="1" xr3:uid="{0C2FED6D-4B17-4874-BDE8-894544636F2D}" name="B40_WP_D51_EP"/>
    <tableColumn id="2" xr3:uid="{4B9D4014-2817-44FB-A67B-1DBDB20F3CAD}" name="CÓDIGO_2.533_201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80DE06D4-F276-4CBD-AA8A-6B0D0270EF17}" name="Tabla47" displayName="Tabla47" ref="N2:O30" totalsRowShown="0">
  <autoFilter ref="N2:O30" xr:uid="{80DE06D4-F276-4CBD-AA8A-6B0D0270EF17}">
    <filterColumn colId="0" hiddenButton="1"/>
    <filterColumn colId="1" hiddenButton="1"/>
  </autoFilter>
  <tableColumns count="2">
    <tableColumn id="1" xr3:uid="{0772109D-19BF-4379-91D4-85A59A6304B6}" name="B40_W_BP_D43"/>
    <tableColumn id="2" xr3:uid="{C526D5D0-8D6D-4BC5-B083-C1A5147C2476}" name="CÓDIGO_1.533_210.2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8F920C87-7892-4C5A-AAB9-3113A8F82E09}" name="Tabla48" displayName="Tabla48" ref="Q2:R30" totalsRowShown="0">
  <autoFilter ref="Q2:R30" xr:uid="{8F920C87-7892-4C5A-AAB9-3113A8F82E09}">
    <filterColumn colId="0" hiddenButton="1"/>
    <filterColumn colId="1" hiddenButton="1"/>
  </autoFilter>
  <tableColumns count="2">
    <tableColumn id="1" xr3:uid="{4E63DF0F-F0C5-446B-A5FC-23C23E03590B}" name="B40_W_BP_D51"/>
    <tableColumn id="2" xr3:uid="{3D7EADF7-8E8E-47C8-883E-84C2F12847E6}" name="CÓDIGO_1.533_210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B8E05F-2210-494F-BF81-D0D9E92F5AF8}" name="Tabla49" displayName="Tabla49" ref="T2:U29" totalsRowShown="0">
  <autoFilter ref="T2:U29" xr:uid="{13B8E05F-2210-494F-BF81-D0D9E92F5AF8}">
    <filterColumn colId="0" hiddenButton="1"/>
    <filterColumn colId="1" hiddenButton="1"/>
  </autoFilter>
  <tableColumns count="2">
    <tableColumn id="1" xr3:uid="{54F10FA9-C8BD-4874-9913-ACFCB1825BE6}" name="B60_W_BP_D55"/>
    <tableColumn id="2" xr3:uid="{28EFC64A-2EC8-488D-9085-BF95BA43FBE9}" name="CÓDIGO_1.384_020.2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3AF4212-92B8-4812-A357-6EE088C827D6}" name="Tabla50" displayName="Tabla50" ref="W2:X29" totalsRowShown="0">
  <autoFilter ref="W2:X29" xr:uid="{E3AF4212-92B8-4812-A357-6EE088C827D6}">
    <filterColumn colId="0" hiddenButton="1"/>
    <filterColumn colId="1" hiddenButton="1"/>
  </autoFilter>
  <tableColumns count="2">
    <tableColumn id="1" xr3:uid="{D1929EFF-B731-4A1A-BE21-2F83B1959913}" name="B60_W_BP_D65"/>
    <tableColumn id="2" xr3:uid="{AB8CD2D2-24C7-4509-B929-77D2F8EC9C87}" name="CÓDIGO_1.384_020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257FEC3-C243-48C9-812A-38735E7099D3}" name="Tabla51" displayName="Tabla51" ref="Z2:AA17" totalsRowShown="0">
  <autoFilter ref="Z2:AA17" xr:uid="{6257FEC3-C243-48C9-812A-38735E7099D3}">
    <filterColumn colId="0" hiddenButton="1"/>
    <filterColumn colId="1" hiddenButton="1"/>
  </autoFilter>
  <tableColumns count="2">
    <tableColumn id="1" xr3:uid="{522B8243-9F86-407C-8631-88DAB784A38D}" name="BR_55/60"/>
    <tableColumn id="2" xr3:uid="{5453169A-9DB2-40D5-A8F1-2AA33B814D4F}" name="CÓDIGO_1.384_211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C3359226-87DA-4E13-BEB7-53C6FBCEABB5}" name="Tabla52" displayName="Tabla52" ref="AC2:AD44" totalsRowShown="0">
  <autoFilter ref="AC2:AD44" xr:uid="{C3359226-87DA-4E13-BEB7-53C6FBCEABB5}">
    <filterColumn colId="0" hiddenButton="1"/>
    <filterColumn colId="1" hiddenButton="1"/>
  </autoFilter>
  <tableColumns count="2">
    <tableColumn id="1" xr3:uid="{58B8A278-0ED5-4580-868D-F23F42262440}" name="B140_R_D75"/>
    <tableColumn id="2" xr3:uid="{5E98393C-705D-4ACC-AC36-65208A1342F6}" name="CÓDIGO_1.246_008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5417E088-1D47-4977-939F-093FB3E2CE17}" name="Tabla53" displayName="Tabla53" ref="AF2:AG39" totalsRowShown="0">
  <autoFilter ref="AF2:AG39" xr:uid="{5417E088-1D47-4977-939F-093FB3E2CE17}">
    <filterColumn colId="0" hiddenButton="1"/>
    <filterColumn colId="1" hiddenButton="1"/>
  </autoFilter>
  <tableColumns count="2">
    <tableColumn id="1" xr3:uid="{59D4AEB1-9CF1-452B-8706-0B6ACA39BDC9}" name="B150R_BP_D75"/>
    <tableColumn id="2" xr3:uid="{95CD571D-7938-4853-8B71-9AB75AA978EE}" name="CÓDIGO_1.246_020.2"/>
  </tableColumns>
  <tableStyleInfo name="TableStyleMedium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0C20FFC-E74A-4BA3-8E6C-31A855E13A0A}" name="Tabla54" displayName="Tabla54" ref="AI2:AJ39" totalsRowShown="0">
  <autoFilter ref="AI2:AJ39" xr:uid="{20C20FFC-E74A-4BA3-8E6C-31A855E13A0A}">
    <filterColumn colId="0" hiddenButton="1"/>
    <filterColumn colId="1" hiddenButton="1"/>
  </autoFilter>
  <tableColumns count="2">
    <tableColumn id="1" xr3:uid="{6C2BD7EE-E866-4A68-958A-A76319843172}" name="B150R_D90"/>
    <tableColumn id="2" xr3:uid="{9C60D31C-D46C-4997-94E9-2FBB1A3D87D9}" name="CÓDIGO_1.246_020"/>
  </tableColumns>
  <tableStyleInfo name="TableStyleMedium2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8063FD3E-5D4E-49D8-AD78-B5A760BEA396}" name="Tabla55" displayName="Tabla55" ref="AL2:AM20" totalsRowShown="0">
  <autoFilter ref="AL2:AM20" xr:uid="{8063FD3E-5D4E-49D8-AD78-B5A760BEA396}">
    <filterColumn colId="0" hiddenButton="1"/>
    <filterColumn colId="1" hiddenButton="1"/>
  </autoFilter>
  <tableColumns count="2">
    <tableColumn id="1" xr3:uid="{085539AA-634A-4A97-91D1-8426D7DC2389}" name="BR_75/140"/>
    <tableColumn id="2" xr3:uid="{F77C01DE-4D96-48A3-B869-FAF44256E9EF}" name="CÓDIGO_1.246_171"/>
  </tableColumns>
  <tableStyleInfo name="TableStyleMedium2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8A65D48-7A56-4A8A-96D6-84B3EF6FC189}" name="Tabla57" displayName="Tabla57" ref="AO2:AP30" totalsRowShown="0">
  <autoFilter ref="AO2:AP30" xr:uid="{98A65D48-7A56-4A8A-96D6-84B3EF6FC189}">
    <filterColumn colId="0" hiddenButton="1"/>
    <filterColumn colId="1" hiddenButton="1"/>
  </autoFilter>
  <tableColumns count="2">
    <tableColumn id="1" xr3:uid="{12E89087-BAAF-414C-9AA0-DAA933451FF3}" name="B250_D100 "/>
    <tableColumn id="2" xr3:uid="{C593F5DE-E2C3-4B9F-8D3F-E388C57A549E}" name="CÓDIGO_1.480_230.2"/>
  </tableColumns>
  <tableStyleInfo name="TableStyleMedium2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7B990B9-3BE3-4752-92A9-FB1565AD141B}" name="Tabla58" displayName="Tabla58" ref="AR2:AS31" totalsRowShown="0">
  <autoFilter ref="AR2:AS31" xr:uid="{17B990B9-3BE3-4752-92A9-FB1565AD141B}">
    <filterColumn colId="0" hiddenButton="1"/>
    <filterColumn colId="1" hiddenButton="1"/>
  </autoFilter>
  <tableColumns count="2">
    <tableColumn id="1" xr3:uid="{A20A6499-8C46-4998-BCDC-5452A4F1ED56}" name="B250_D100_KIK"/>
    <tableColumn id="2" xr3:uid="{028DD3CE-12B1-4B2E-AC27-E1CFE3449240}" name="CÓDIGO_1.480_231.2"/>
  </tableColumns>
  <tableStyleInfo name="TableStyleMedium2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53482C1-3F46-499D-8D91-6BB9E1A6D4E4}" name="Tabla59" displayName="Tabla59" ref="AU2:AV17" totalsRowShown="0">
  <autoFilter ref="AU2:AV17" xr:uid="{953482C1-3F46-499D-8D91-6BB9E1A6D4E4}">
    <filterColumn colId="0" hiddenButton="1"/>
    <filterColumn colId="1" hiddenButton="1"/>
  </autoFilter>
  <tableColumns count="2">
    <tableColumn id="1" xr3:uid="{2553E8D5-B7CD-4F56-B976-CB430375B36F}" name="BD_50_50"/>
    <tableColumn id="2" xr3:uid="{FCF81AA2-1E7C-4301-97CE-EF645E2CE89F}" name="CÓDIGO_1.127_006"/>
  </tableColumns>
  <tableStyleInfo name="TableStyleMedium2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1A70F1B-AD6D-4288-94BB-24C664062923}" name="Tabla60" displayName="Tabla60" ref="AX2:AY15" totalsRowShown="0">
  <autoFilter ref="AX2:AY15" xr:uid="{01A70F1B-AD6D-4288-94BB-24C664062923}">
    <filterColumn colId="0" hiddenButton="1"/>
    <filterColumn colId="1" hiddenButton="1"/>
  </autoFilter>
  <tableColumns count="2">
    <tableColumn id="1" xr3:uid="{C5445E44-B3D4-45C0-AD94-5FD2A721BBBE}" name="BD_50_60_EP"/>
    <tableColumn id="2" xr3:uid="{0CFAFB69-AF84-4B18-9BFF-D916CC31F5E2}" name="CÓDIGO_1.127_003"/>
  </tableColumns>
  <tableStyleInfo name="TableStyleMedium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FC1CE2F1-2F34-4B5B-9AF3-2A70FA50868A}" name="Tabla61" displayName="Tabla61" ref="BA2:BB34" totalsRowShown="0">
  <autoFilter ref="BA2:BB34" xr:uid="{FC1CE2F1-2F34-4B5B-9AF3-2A70FA50868A}">
    <filterColumn colId="0" hiddenButton="1"/>
    <filterColumn colId="1" hiddenButton="1"/>
  </autoFilter>
  <tableColumns count="2">
    <tableColumn id="1" xr3:uid="{5714CDE6-95B6-446E-BC39-49ACECB1439D}" name="BD_50_70"/>
    <tableColumn id="2" xr3:uid="{B0DBA0F2-BACD-4664-8008-B054AE176B1B}" name="CÓDIGO_1.161_071"/>
  </tableColumns>
  <tableStyleInfo name="TableStyleMedium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E233D0B6-E539-4E83-8850-F4551D36659D}" name="Tabla62" displayName="Tabla62" ref="BD2:BE15" totalsRowShown="0">
  <autoFilter ref="BD2:BE15" xr:uid="{E233D0B6-E539-4E83-8850-F4551D36659D}">
    <filterColumn colId="0" hiddenButton="1"/>
    <filterColumn colId="1" hiddenButton="1"/>
  </autoFilter>
  <tableColumns count="2">
    <tableColumn id="1" xr3:uid="{B4498C68-19F6-4E4A-AAF7-783B2A872EEC}" name="BR_30/4"/>
    <tableColumn id="2" xr3:uid="{5FC2C938-D131-4238-8BDE-EDFA131B8272}" name="CÓDIGO_1.783_221"/>
  </tableColumns>
  <tableStyleInfo name="TableStyleMedium2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242AE0B-FE6B-46D3-9282-21453225596B}" name="Tabla63" displayName="Tabla63" ref="BG2:BI25" totalsRowShown="0">
  <autoFilter ref="BG2:BI25" xr:uid="{D242AE0B-FE6B-46D3-9282-21453225596B}">
    <filterColumn colId="0" hiddenButton="1"/>
    <filterColumn colId="1" hiddenButton="1"/>
    <filterColumn colId="2" hiddenButton="1"/>
  </autoFilter>
  <tableColumns count="3">
    <tableColumn id="1" xr3:uid="{B0CFCF02-141A-4F11-8C0C-53227425E636}" name="BR_35/12"/>
    <tableColumn id="2" xr3:uid="{00B43248-8FF1-43D9-9556-D051A8FCC301}" name="CÓDIGO_1.783_470"/>
    <tableColumn id="3" xr3:uid="{91A81CFF-8F9F-4B83-89E5-52D0EF1307F1}" name="CÓDIGO_1_783_454"/>
  </tableColumns>
  <tableStyleInfo name="TableStyleMedium2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E31BFE2-5E18-48F9-81F9-59D06565C2B0}" name="Tabla64" displayName="Tabla64" ref="BK2:BL14" totalsRowShown="0">
  <autoFilter ref="BK2:BL14" xr:uid="{3E31BFE2-5E18-48F9-81F9-59D06565C2B0}">
    <filterColumn colId="0" hiddenButton="1"/>
    <filterColumn colId="1" hiddenButton="1"/>
  </autoFilter>
  <tableColumns count="2">
    <tableColumn id="1" xr3:uid="{A5BF4A8C-4694-48AA-B60E-11C9DCBF5984}" name="BR_40/25 "/>
    <tableColumn id="2" xr3:uid="{DDFA16B9-0BE7-40D2-8076-33894FAD64E8}" name="CÓDIGO_1.515_106"/>
  </tableColumns>
  <tableStyleInfo name="TableStyleMedium2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D42A6BD8-3239-4D8E-AB0A-FE737F0BF1A0}" name="Tabla65" displayName="Tabla65" ref="BN2:BO17" totalsRowShown="0">
  <autoFilter ref="BN2:BO17" xr:uid="{D42A6BD8-3239-4D8E-AB0A-FE737F0BF1A0}">
    <filterColumn colId="0" hiddenButton="1"/>
    <filterColumn colId="1" hiddenButton="1"/>
  </autoFilter>
  <tableColumns count="2">
    <tableColumn id="1" xr3:uid="{4E99BFE1-02B3-47B4-8632-7B5C7760FF51}" name="B_80/100 "/>
    <tableColumn id="2" xr3:uid="{3D65B078-25AE-498F-B65D-D4A063AE9969}" name="CÓDIGO_1.127_028"/>
  </tableColumns>
  <tableStyleInfo name="TableStyleMedium2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EFD222B-2839-4B0B-AEC7-07D8F7FAD21F}" name="Tabla18" displayName="Tabla18" ref="B60:C97" totalsRowShown="0">
  <autoFilter ref="B60:C97" xr:uid="{0EFD222B-2839-4B0B-AEC7-07D8F7FAD21F}">
    <filterColumn colId="0" hiddenButton="1"/>
    <filterColumn colId="1" hiddenButton="1"/>
  </autoFilter>
  <tableColumns count="2">
    <tableColumn id="1" xr3:uid="{E8EDC1B9-8842-4ED8-9364-C61F62A4B956}" name="BR_40_10"/>
    <tableColumn id="2" xr3:uid="{26A86611-A758-4D43-8BCF-4150DD32E0B0}" name="CÓDIGO_1.783_3112"/>
  </tableColumns>
  <tableStyleInfo name="TableStyleMedium2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D086C033-7178-47A7-84CC-82898F9A88CB}" name="Tabla66" displayName="Tabla66" ref="B2:D43" totalsRowShown="0">
  <autoFilter ref="B2:D43" xr:uid="{D086C033-7178-47A7-84CC-82898F9A88CB}">
    <filterColumn colId="0" hiddenButton="1"/>
    <filterColumn colId="1" hiddenButton="1"/>
    <filterColumn colId="2" hiddenButton="1"/>
  </autoFilter>
  <tableColumns count="3">
    <tableColumn id="1" xr3:uid="{DD320E43-4E8D-44EA-BE0B-117B2CE493ED}" name="G_2700"/>
    <tableColumn id="2" xr3:uid="{AAC9BACB-82C9-498F-829E-A34A34F87192}" name="CÓDIGO_1.107_383"/>
    <tableColumn id="3" xr3:uid="{0199413A-3B88-4573-B44F-0B91B824663E}" name="CÓDIGO_1.107_331"/>
  </tableColumns>
  <tableStyleInfo name="TableStyleMedium2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28DA3BF3-22F5-41ED-80A7-AE2C65F26BC9}" name="Tabla67" displayName="Tabla67" ref="B2:D62" totalsRowShown="0">
  <autoFilter ref="B2:D62" xr:uid="{28DA3BF3-22F5-41ED-80A7-AE2C65F26BC9}">
    <filterColumn colId="0" hiddenButton="1"/>
    <filterColumn colId="1" hiddenButton="1"/>
    <filterColumn colId="2" hiddenButton="1"/>
  </autoFilter>
  <tableColumns count="3">
    <tableColumn id="1" xr3:uid="{7A8EFAF1-B406-4D98-AD05-0FCBF71572B7}" name="HDS_3.5_30"/>
    <tableColumn id="2" xr3:uid="{603D59B2-D2E5-42A9-ACD8-636E57CF606E}" name="CÓDIGO_1.027_350"/>
    <tableColumn id="3" xr3:uid="{14EA1AF3-2196-4C66-9A3C-668F500CDDA7}" name="CÓDIGO_1.071_431"/>
  </tableColumns>
  <tableStyleInfo name="TableStyleMedium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9C73E6E-15D6-49A9-88C9-AC56FDB933BC}" name="Tabla68" displayName="Tabla68" ref="B2:D92" totalsRowShown="0">
  <autoFilter ref="B2:D92" xr:uid="{09C73E6E-15D6-49A9-88C9-AC56FDB933BC}">
    <filterColumn colId="0" hiddenButton="1"/>
    <filterColumn colId="1" hiddenButton="1"/>
    <filterColumn colId="2" hiddenButton="1"/>
  </autoFilter>
  <tableColumns count="3">
    <tableColumn id="1" xr3:uid="{C46559DB-F06F-4515-9BFE-BB4F8CFE3D62}" name="HD_7_12"/>
    <tableColumn id="2" xr3:uid="{422654A3-02A0-492E-A37B-6DDAB3D94C4A}" name="CÓDIGO_1.524_123"/>
    <tableColumn id="3" xr3:uid="{84ABB4BF-C293-4C5B-9D41-9203E4D05A97}" name="CÓDIGO_1.524_902"/>
  </tableColumns>
  <tableStyleInfo name="TableStyleMedium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1D87A5F2-0823-47CC-8D8A-86582643C265}" name="Tabla69" displayName="Tabla69" ref="F2:G57" totalsRowShown="0">
  <autoFilter ref="F2:G57" xr:uid="{1D87A5F2-0823-47CC-8D8A-86582643C265}">
    <filterColumn colId="0" hiddenButton="1"/>
    <filterColumn colId="1" hiddenButton="1"/>
  </autoFilter>
  <tableColumns count="2">
    <tableColumn id="1" xr3:uid="{A91E3527-AD18-48D8-B207-6FE7EB3EA50F}" name="HD_585"/>
    <tableColumn id="2" xr3:uid="{C270A361-389B-417F-9B8B-B45CFA03D4F3}" name="CÓDIGO_1.974_187"/>
  </tableColumns>
  <tableStyleInfo name="TableStyleMedium2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2D4312B6-6DC6-4696-BBBB-7D8A91F7F827}" name="Tabla70" displayName="Tabla70" ref="I2:J70" totalsRowShown="0">
  <autoFilter ref="I2:J70" xr:uid="{2D4312B6-6DC6-4696-BBBB-7D8A91F7F827}">
    <filterColumn colId="0" hiddenButton="1"/>
    <filterColumn colId="1" hiddenButton="1"/>
  </autoFilter>
  <tableColumns count="2">
    <tableColumn id="1" xr3:uid="{6F627B90-CF43-4AE4-951C-7858489FE910}" name="HD_5_12"/>
    <tableColumn id="2" xr3:uid="{E1F6DBFE-AADB-4B07-9BDA-F1C705DCE41E}" name="CÓDIGO_1.514_134"/>
  </tableColumns>
  <tableStyleInfo name="TableStyleMedium2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9A4B7C35-E2A7-4AF7-B94B-F9261D1E80DF}" name="Tabla71" displayName="Tabla71" ref="L2:N70" totalsRowShown="0">
  <autoFilter ref="L2:N70" xr:uid="{9A4B7C35-E2A7-4AF7-B94B-F9261D1E80DF}">
    <filterColumn colId="0" hiddenButton="1"/>
    <filterColumn colId="1" hiddenButton="1"/>
    <filterColumn colId="2" hiddenButton="1"/>
  </autoFilter>
  <tableColumns count="3">
    <tableColumn id="1" xr3:uid="{492F79BF-DD6D-4AA7-B8E4-7880D1B81D75}" name="HD_3.5"/>
    <tableColumn id="2" xr3:uid="{42FAC119-0AF0-4624-B728-4E5128D5CEA4}" name="CÓDIGO_1.286_127"/>
    <tableColumn id="3" xr3:uid="{98D60AC1-9B7D-4017-A41A-56D57291669C}" name="CÓDIGO_1.286_908"/>
  </tableColumns>
  <tableStyleInfo name="TableStyleMedium2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15CBE2B-81BA-40FF-BE74-A347F9722D61}" name="Tabla72" displayName="Tabla72" ref="P2:R70" totalsRowShown="0">
  <autoFilter ref="P2:R70" xr:uid="{E15CBE2B-81BA-40FF-BE74-A347F9722D61}">
    <filterColumn colId="0" hiddenButton="1"/>
    <filterColumn colId="1" hiddenButton="1"/>
    <filterColumn colId="2" hiddenButton="1"/>
  </autoFilter>
  <tableColumns count="3">
    <tableColumn id="1" xr3:uid="{C5FEC6E5-3E81-46D3-9B83-509EC8E91F3F}" name="HD_10_25"/>
    <tableColumn id="2" xr3:uid="{C72653EB-FC25-4A87-A77F-5948052A9741}" name="CÓDIGO_1.286_109"/>
    <tableColumn id="3" xr3:uid="{DEA47756-4FA9-4393-B732-CE2A7B6134BE}" name="CÓDIGO_1.286_907"/>
  </tableColumns>
  <tableStyleInfo name="TableStyleMedium2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9009587F-B297-41FA-9DF6-8A1B74F665C2}" name="Tabla73" displayName="Tabla73" ref="T2:U35" totalsRowShown="0">
  <autoFilter ref="T2:U35" xr:uid="{9009587F-B297-41FA-9DF6-8A1B74F665C2}">
    <filterColumn colId="0" hiddenButton="1"/>
    <filterColumn colId="1" hiddenButton="1"/>
  </autoFilter>
  <tableColumns count="2">
    <tableColumn id="1" xr3:uid="{1D86B839-0066-4E0B-97AF-E502EBCA2789}" name="HD_4_9"/>
    <tableColumn id="2" xr3:uid="{2D0D6E00-C6EB-47CC-8E20-FCF39EFAC905}" name="CÓDIGO_1.520_148"/>
  </tableColumns>
  <tableStyleInfo name="TableStyleMedium2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180DCA3A-1799-431B-87D0-4C84776E1C44}" name="Tabla74" displayName="Tabla74" ref="W2:X36" totalsRowShown="0">
  <autoFilter ref="W2:X36" xr:uid="{180DCA3A-1799-431B-87D0-4C84776E1C44}">
    <filterColumn colId="0" hiddenButton="1"/>
    <filterColumn colId="1" hiddenButton="1"/>
  </autoFilter>
  <tableColumns count="2">
    <tableColumn id="1" xr3:uid="{662A7EAB-63DC-476C-9E09-2DEED7B82964}" name="HD_6_15"/>
    <tableColumn id="2" xr3:uid="{A9DB540E-6E22-4378-8925-A407C54AC3D2}" name="CÓDIGO_1.367_310"/>
  </tableColumns>
  <tableStyleInfo name="TableStyleMedium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CF5E9903-9FCA-4C51-AC23-3D2800CFEEF0}" name="Tabla131" displayName="Tabla131" ref="Z2:AA54" totalsRowShown="0">
  <autoFilter ref="Z2:AA54" xr:uid="{CF5E9903-9FCA-4C51-AC23-3D2800CFEEF0}">
    <filterColumn colId="0" hiddenButton="1"/>
    <filterColumn colId="1" hiddenButton="1"/>
  </autoFilter>
  <tableColumns count="2">
    <tableColumn id="1" xr3:uid="{518385C0-45A2-4F52-A31B-BA8CA6094F74}" name="HD_855"/>
    <tableColumn id="2" xr3:uid="{F72A1603-7645-411B-910F-1D824AF6C2FE}" name="CÓDIGO_1.087_711"/>
  </tableColumns>
  <tableStyleInfo name="TableStyleMedium2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126FA47E-9B19-4E9B-AD5C-B8C9FF122AF1}" name="Tabla117" displayName="Tabla117" ref="B2:C25" totalsRowShown="0">
  <autoFilter ref="B2:C25" xr:uid="{126FA47E-9B19-4E9B-AD5C-B8C9FF122AF1}">
    <filterColumn colId="0" hiddenButton="1"/>
    <filterColumn colId="1" hiddenButton="1"/>
  </autoFilter>
  <tableColumns count="2">
    <tableColumn id="1" xr3:uid="{1B05207C-C2D0-476D-A670-8D4E2CAFDC01}" name="PUZZI_8_1"/>
    <tableColumn id="2" xr3:uid="{B988886C-8AFB-4DE5-8507-5CD1D07082E5}" name="CÓDIGO_1.100_228"/>
  </tableColumns>
  <tableStyleInfo name="TableStyleMedium2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4732DD22-D931-4A57-906A-DA349FEFB34A}" name="Tabla118" displayName="Tabla118" ref="E2:F31" totalsRowShown="0">
  <autoFilter ref="E2:F31" xr:uid="{4732DD22-D931-4A57-906A-DA349FEFB34A}">
    <filterColumn colId="0" hiddenButton="1"/>
    <filterColumn colId="1" hiddenButton="1"/>
  </autoFilter>
  <tableColumns count="2">
    <tableColumn id="1" xr3:uid="{F4666A0B-3006-4752-9AED-4075C14087B2}" name="BRC_30_15"/>
    <tableColumn id="2" xr3:uid="{8DBD0E5F-3A51-436A-BC0B-CB98BBA31988}" name="CÓDIGO_1.008_058"/>
  </tableColumns>
  <tableStyleInfo name="TableStyleMedium2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B84E19C2-F847-47E5-8911-C8749AF56D7F}" name="Tabla119" displayName="Tabla119" ref="H2:I42" totalsRowShown="0">
  <autoFilter ref="H2:I42" xr:uid="{B84E19C2-F847-47E5-8911-C8749AF56D7F}">
    <filterColumn colId="0" hiddenButton="1"/>
    <filterColumn colId="1" hiddenButton="1"/>
  </autoFilter>
  <tableColumns count="2">
    <tableColumn id="1" xr3:uid="{7EB25A8F-D639-4BFB-8281-3485555C27C7}" name="BRC_38_30"/>
    <tableColumn id="2" xr3:uid="{3CEE66B5-F663-4EBB-AFCC-7A2C685D2F57}" name="CÓDIGO_1.008-053"/>
  </tableColumns>
  <tableStyleInfo name="TableStyleMedium2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2DC53155-B1B1-48AA-B1CA-01AB46E405F5}" name="Tabla120" displayName="Tabla120" ref="K2:L31" totalsRowShown="0">
  <autoFilter ref="K2:L31" xr:uid="{2DC53155-B1B1-48AA-B1CA-01AB46E405F5}">
    <filterColumn colId="0" hiddenButton="1"/>
    <filterColumn colId="1" hiddenButton="1"/>
  </autoFilter>
  <tableColumns count="2">
    <tableColumn id="1" xr3:uid="{98DC65DE-EF83-427B-BD5D-2A2D0ABFEF6A}" name="PUZZI_100"/>
    <tableColumn id="2" xr3:uid="{560828AE-5009-4894-92B3-6913A20C29A5}" name="CÓDIGO_1.100_123"/>
  </tableColumns>
  <tableStyleInfo name="TableStyleMedium2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F1C68115-A27A-4914-9176-C25423E29AC6}" name="Tabla103" displayName="Tabla103" ref="B2:C17" totalsRowShown="0">
  <autoFilter ref="B2:C17" xr:uid="{F1C68115-A27A-4914-9176-C25423E29AC6}">
    <filterColumn colId="0" hiddenButton="1"/>
    <filterColumn colId="1" hiddenButton="1"/>
  </autoFilter>
  <tableColumns count="2">
    <tableColumn id="1" xr3:uid="{B897243F-CAD3-4D48-8FC4-2455F205F08E}" name="SC_2"/>
    <tableColumn id="2" xr3:uid="{667EC410-A263-4CB3-8741-D8C0E9968E3B}" name="CÓDIGO_1.512_007"/>
  </tableColumns>
  <tableStyleInfo name="TableStyleMedium2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FF2BE333-A199-4B87-B138-3490B415B763}" name="Tabla128" displayName="Tabla128" ref="E2:F21" totalsRowShown="0">
  <autoFilter ref="E2:F21" xr:uid="{FF2BE333-A199-4B87-B138-3490B415B763}">
    <filterColumn colId="0" hiddenButton="1"/>
    <filterColumn colId="1" hiddenButton="1"/>
  </autoFilter>
  <tableColumns count="2">
    <tableColumn id="1" xr3:uid="{D0776551-DD99-4361-8283-1CF074A8DF7B}" name="SC_1"/>
    <tableColumn id="2" xr3:uid="{512E64D5-FE42-4447-891C-2E071DDECA4A}" name="CÓDIGO_1.516_263"/>
  </tableColumns>
  <tableStyleInfo name="TableStyleMedium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3AC1EEAF-07A7-484C-86A3-B6A64CD135A1}" name="Tabla129" displayName="Tabla129" ref="H2:I21" totalsRowShown="0">
  <autoFilter ref="H2:I21" xr:uid="{3AC1EEAF-07A7-484C-86A3-B6A64CD135A1}">
    <filterColumn colId="0" hiddenButton="1"/>
    <filterColumn colId="1" hiddenButton="1"/>
  </autoFilter>
  <tableColumns count="2">
    <tableColumn id="1" xr3:uid="{69F44064-55DE-456D-BF86-55A0F2378405}" name="SC_1.020"/>
    <tableColumn id="2" xr3:uid="{368F4860-CEF7-4333-AB12-4DB361A63B54}" name="CÓDIGO_1.512_223"/>
  </tableColumns>
  <tableStyleInfo name="TableStyleMedium2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EDF00358-04E4-4C72-AA8C-1023250CB7D9}" name="Tabla130" displayName="Tabla130" ref="K2:L16" totalsRowShown="0">
  <autoFilter ref="K2:L16" xr:uid="{EDF00358-04E4-4C72-AA8C-1023250CB7D9}">
    <filterColumn colId="0" hiddenButton="1"/>
    <filterColumn colId="1" hiddenButton="1"/>
  </autoFilter>
  <tableColumns count="2">
    <tableColumn id="1" xr3:uid="{444B9AE4-632E-44FC-98E2-310E7A778E56}" name="SC_1052"/>
    <tableColumn id="2" xr3:uid="{CBF4D470-9F67-47FB-AE18-66DC1058C60D}" name="CÓDIGO_1.512_207"/>
  </tableColumns>
  <tableStyleInfo name="TableStyleMedium2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AA3EBDCD-0D5C-467F-A0D5-1CD50E3A4AC4}" name="Tabla115" displayName="Tabla115" ref="B2:F3909" totalsRowShown="0">
  <autoFilter ref="B2:F3909" xr:uid="{AA3EBDCD-0D5C-467F-A0D5-1CD50E3A4AC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7FF0FA5-B1F6-4769-9437-75962F2F291E}" name="Número de artículo"/>
    <tableColumn id="2" xr3:uid="{E8C1A143-EF9A-4141-97B4-6365575E0D66}" name="Descripción del artículo"/>
    <tableColumn id="3" xr3:uid="{1020E2DF-7769-4875-BA32-4950B5BF68D4}" name="Código de almacén"/>
    <tableColumn id="4" xr3:uid="{261088C4-A7FF-4B31-BEDC-050F7FAF45C1}" name="LOCALIZACION"/>
    <tableColumn id="5" xr3:uid="{5669F6BB-F994-46A7-AFEF-FB18C3808125}" name="En sto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ljromero20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13" Type="http://schemas.openxmlformats.org/officeDocument/2006/relationships/table" Target="../tables/table30.xml"/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12" Type="http://schemas.openxmlformats.org/officeDocument/2006/relationships/table" Target="../tables/table29.xml"/><Relationship Id="rId2" Type="http://schemas.openxmlformats.org/officeDocument/2006/relationships/table" Target="../tables/table19.xml"/><Relationship Id="rId1" Type="http://schemas.openxmlformats.org/officeDocument/2006/relationships/table" Target="../tables/table18.xml"/><Relationship Id="rId6" Type="http://schemas.openxmlformats.org/officeDocument/2006/relationships/table" Target="../tables/table23.xml"/><Relationship Id="rId11" Type="http://schemas.openxmlformats.org/officeDocument/2006/relationships/table" Target="../tables/table28.xml"/><Relationship Id="rId5" Type="http://schemas.openxmlformats.org/officeDocument/2006/relationships/table" Target="../tables/table22.xml"/><Relationship Id="rId15" Type="http://schemas.openxmlformats.org/officeDocument/2006/relationships/table" Target="../tables/table32.xml"/><Relationship Id="rId10" Type="http://schemas.openxmlformats.org/officeDocument/2006/relationships/table" Target="../tables/table27.xml"/><Relationship Id="rId4" Type="http://schemas.openxmlformats.org/officeDocument/2006/relationships/table" Target="../tables/table21.xml"/><Relationship Id="rId9" Type="http://schemas.openxmlformats.org/officeDocument/2006/relationships/table" Target="../tables/table26.xml"/><Relationship Id="rId14" Type="http://schemas.openxmlformats.org/officeDocument/2006/relationships/table" Target="../tables/table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13" Type="http://schemas.openxmlformats.org/officeDocument/2006/relationships/table" Target="../tables/table45.xml"/><Relationship Id="rId18" Type="http://schemas.openxmlformats.org/officeDocument/2006/relationships/table" Target="../tables/table50.xml"/><Relationship Id="rId26" Type="http://schemas.openxmlformats.org/officeDocument/2006/relationships/table" Target="../tables/table58.xml"/><Relationship Id="rId3" Type="http://schemas.openxmlformats.org/officeDocument/2006/relationships/table" Target="../tables/table35.xml"/><Relationship Id="rId21" Type="http://schemas.openxmlformats.org/officeDocument/2006/relationships/table" Target="../tables/table53.xml"/><Relationship Id="rId7" Type="http://schemas.openxmlformats.org/officeDocument/2006/relationships/table" Target="../tables/table39.xml"/><Relationship Id="rId12" Type="http://schemas.openxmlformats.org/officeDocument/2006/relationships/table" Target="../tables/table44.xml"/><Relationship Id="rId17" Type="http://schemas.openxmlformats.org/officeDocument/2006/relationships/table" Target="../tables/table49.xml"/><Relationship Id="rId25" Type="http://schemas.openxmlformats.org/officeDocument/2006/relationships/table" Target="../tables/table57.xml"/><Relationship Id="rId2" Type="http://schemas.openxmlformats.org/officeDocument/2006/relationships/table" Target="../tables/table34.xml"/><Relationship Id="rId16" Type="http://schemas.openxmlformats.org/officeDocument/2006/relationships/table" Target="../tables/table48.xml"/><Relationship Id="rId20" Type="http://schemas.openxmlformats.org/officeDocument/2006/relationships/table" Target="../tables/table52.xml"/><Relationship Id="rId29" Type="http://schemas.openxmlformats.org/officeDocument/2006/relationships/table" Target="../tables/table61.xml"/><Relationship Id="rId1" Type="http://schemas.openxmlformats.org/officeDocument/2006/relationships/table" Target="../tables/table33.xml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24" Type="http://schemas.openxmlformats.org/officeDocument/2006/relationships/table" Target="../tables/table56.xml"/><Relationship Id="rId5" Type="http://schemas.openxmlformats.org/officeDocument/2006/relationships/table" Target="../tables/table37.xml"/><Relationship Id="rId15" Type="http://schemas.openxmlformats.org/officeDocument/2006/relationships/table" Target="../tables/table47.xml"/><Relationship Id="rId23" Type="http://schemas.openxmlformats.org/officeDocument/2006/relationships/table" Target="../tables/table55.xml"/><Relationship Id="rId28" Type="http://schemas.openxmlformats.org/officeDocument/2006/relationships/table" Target="../tables/table60.xml"/><Relationship Id="rId10" Type="http://schemas.openxmlformats.org/officeDocument/2006/relationships/table" Target="../tables/table42.xml"/><Relationship Id="rId19" Type="http://schemas.openxmlformats.org/officeDocument/2006/relationships/table" Target="../tables/table51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Relationship Id="rId14" Type="http://schemas.openxmlformats.org/officeDocument/2006/relationships/table" Target="../tables/table46.xml"/><Relationship Id="rId22" Type="http://schemas.openxmlformats.org/officeDocument/2006/relationships/table" Target="../tables/table54.xml"/><Relationship Id="rId27" Type="http://schemas.openxmlformats.org/officeDocument/2006/relationships/table" Target="../tables/table5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1.xml"/><Relationship Id="rId13" Type="http://schemas.openxmlformats.org/officeDocument/2006/relationships/table" Target="../tables/table76.xml"/><Relationship Id="rId18" Type="http://schemas.openxmlformats.org/officeDocument/2006/relationships/table" Target="../tables/table81.xml"/><Relationship Id="rId26" Type="http://schemas.openxmlformats.org/officeDocument/2006/relationships/table" Target="../tables/table89.xml"/><Relationship Id="rId3" Type="http://schemas.openxmlformats.org/officeDocument/2006/relationships/table" Target="../tables/table66.xml"/><Relationship Id="rId21" Type="http://schemas.openxmlformats.org/officeDocument/2006/relationships/table" Target="../tables/table84.xml"/><Relationship Id="rId7" Type="http://schemas.openxmlformats.org/officeDocument/2006/relationships/table" Target="../tables/table70.xml"/><Relationship Id="rId12" Type="http://schemas.openxmlformats.org/officeDocument/2006/relationships/table" Target="../tables/table75.xml"/><Relationship Id="rId17" Type="http://schemas.openxmlformats.org/officeDocument/2006/relationships/table" Target="../tables/table80.xml"/><Relationship Id="rId25" Type="http://schemas.openxmlformats.org/officeDocument/2006/relationships/table" Target="../tables/table88.xml"/><Relationship Id="rId2" Type="http://schemas.openxmlformats.org/officeDocument/2006/relationships/table" Target="../tables/table65.xml"/><Relationship Id="rId16" Type="http://schemas.openxmlformats.org/officeDocument/2006/relationships/table" Target="../tables/table79.xml"/><Relationship Id="rId20" Type="http://schemas.openxmlformats.org/officeDocument/2006/relationships/table" Target="../tables/table83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11" Type="http://schemas.openxmlformats.org/officeDocument/2006/relationships/table" Target="../tables/table74.xml"/><Relationship Id="rId24" Type="http://schemas.openxmlformats.org/officeDocument/2006/relationships/table" Target="../tables/table87.xml"/><Relationship Id="rId5" Type="http://schemas.openxmlformats.org/officeDocument/2006/relationships/table" Target="../tables/table68.xml"/><Relationship Id="rId15" Type="http://schemas.openxmlformats.org/officeDocument/2006/relationships/table" Target="../tables/table78.xml"/><Relationship Id="rId23" Type="http://schemas.openxmlformats.org/officeDocument/2006/relationships/table" Target="../tables/table86.xml"/><Relationship Id="rId10" Type="http://schemas.openxmlformats.org/officeDocument/2006/relationships/table" Target="../tables/table73.xml"/><Relationship Id="rId19" Type="http://schemas.openxmlformats.org/officeDocument/2006/relationships/table" Target="../tables/table82.xml"/><Relationship Id="rId4" Type="http://schemas.openxmlformats.org/officeDocument/2006/relationships/table" Target="../tables/table67.xml"/><Relationship Id="rId9" Type="http://schemas.openxmlformats.org/officeDocument/2006/relationships/table" Target="../tables/table72.xml"/><Relationship Id="rId14" Type="http://schemas.openxmlformats.org/officeDocument/2006/relationships/table" Target="../tables/table77.xml"/><Relationship Id="rId22" Type="http://schemas.openxmlformats.org/officeDocument/2006/relationships/table" Target="../tables/table8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7.xml"/><Relationship Id="rId13" Type="http://schemas.openxmlformats.org/officeDocument/2006/relationships/table" Target="../tables/table102.xml"/><Relationship Id="rId18" Type="http://schemas.openxmlformats.org/officeDocument/2006/relationships/table" Target="../tables/table107.xml"/><Relationship Id="rId3" Type="http://schemas.openxmlformats.org/officeDocument/2006/relationships/table" Target="../tables/table92.xml"/><Relationship Id="rId21" Type="http://schemas.openxmlformats.org/officeDocument/2006/relationships/table" Target="../tables/table110.xml"/><Relationship Id="rId7" Type="http://schemas.openxmlformats.org/officeDocument/2006/relationships/table" Target="../tables/table96.xml"/><Relationship Id="rId12" Type="http://schemas.openxmlformats.org/officeDocument/2006/relationships/table" Target="../tables/table101.xml"/><Relationship Id="rId17" Type="http://schemas.openxmlformats.org/officeDocument/2006/relationships/table" Target="../tables/table106.xml"/><Relationship Id="rId2" Type="http://schemas.openxmlformats.org/officeDocument/2006/relationships/table" Target="../tables/table91.xml"/><Relationship Id="rId16" Type="http://schemas.openxmlformats.org/officeDocument/2006/relationships/table" Target="../tables/table105.xml"/><Relationship Id="rId20" Type="http://schemas.openxmlformats.org/officeDocument/2006/relationships/table" Target="../tables/table109.xml"/><Relationship Id="rId1" Type="http://schemas.openxmlformats.org/officeDocument/2006/relationships/table" Target="../tables/table90.xml"/><Relationship Id="rId6" Type="http://schemas.openxmlformats.org/officeDocument/2006/relationships/table" Target="../tables/table95.xml"/><Relationship Id="rId11" Type="http://schemas.openxmlformats.org/officeDocument/2006/relationships/table" Target="../tables/table100.xml"/><Relationship Id="rId5" Type="http://schemas.openxmlformats.org/officeDocument/2006/relationships/table" Target="../tables/table94.xml"/><Relationship Id="rId15" Type="http://schemas.openxmlformats.org/officeDocument/2006/relationships/table" Target="../tables/table104.xml"/><Relationship Id="rId23" Type="http://schemas.openxmlformats.org/officeDocument/2006/relationships/table" Target="../tables/table112.xml"/><Relationship Id="rId10" Type="http://schemas.openxmlformats.org/officeDocument/2006/relationships/table" Target="../tables/table99.xml"/><Relationship Id="rId19" Type="http://schemas.openxmlformats.org/officeDocument/2006/relationships/table" Target="../tables/table108.xml"/><Relationship Id="rId4" Type="http://schemas.openxmlformats.org/officeDocument/2006/relationships/table" Target="../tables/table93.xml"/><Relationship Id="rId9" Type="http://schemas.openxmlformats.org/officeDocument/2006/relationships/table" Target="../tables/table98.xml"/><Relationship Id="rId14" Type="http://schemas.openxmlformats.org/officeDocument/2006/relationships/table" Target="../tables/table103.xml"/><Relationship Id="rId22" Type="http://schemas.openxmlformats.org/officeDocument/2006/relationships/table" Target="../tables/table1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2.xml"/><Relationship Id="rId3" Type="http://schemas.openxmlformats.org/officeDocument/2006/relationships/table" Target="../tables/table117.xml"/><Relationship Id="rId7" Type="http://schemas.openxmlformats.org/officeDocument/2006/relationships/table" Target="../tables/table121.xml"/><Relationship Id="rId2" Type="http://schemas.openxmlformats.org/officeDocument/2006/relationships/table" Target="../tables/table116.xml"/><Relationship Id="rId1" Type="http://schemas.openxmlformats.org/officeDocument/2006/relationships/table" Target="../tables/table115.xml"/><Relationship Id="rId6" Type="http://schemas.openxmlformats.org/officeDocument/2006/relationships/table" Target="../tables/table120.xml"/><Relationship Id="rId5" Type="http://schemas.openxmlformats.org/officeDocument/2006/relationships/table" Target="../tables/table119.xml"/><Relationship Id="rId4" Type="http://schemas.openxmlformats.org/officeDocument/2006/relationships/table" Target="../tables/table1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4.xml"/><Relationship Id="rId2" Type="http://schemas.openxmlformats.org/officeDocument/2006/relationships/table" Target="../tables/table12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26.xml"/><Relationship Id="rId4" Type="http://schemas.openxmlformats.org/officeDocument/2006/relationships/table" Target="../tables/table12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9.xml"/><Relationship Id="rId2" Type="http://schemas.openxmlformats.org/officeDocument/2006/relationships/table" Target="../tables/table128.xml"/><Relationship Id="rId1" Type="http://schemas.openxmlformats.org/officeDocument/2006/relationships/table" Target="../tables/table127.xml"/><Relationship Id="rId4" Type="http://schemas.openxmlformats.org/officeDocument/2006/relationships/table" Target="../tables/table13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B1:X821"/>
  <sheetViews>
    <sheetView tabSelected="1" zoomScale="106" zoomScaleNormal="80" workbookViewId="0">
      <selection activeCell="G25" sqref="G25"/>
    </sheetView>
  </sheetViews>
  <sheetFormatPr baseColWidth="10" defaultColWidth="9.1640625" defaultRowHeight="15" outlineLevelCol="1" x14ac:dyDescent="0.2"/>
  <cols>
    <col min="1" max="1" width="2.6640625" style="21" customWidth="1"/>
    <col min="2" max="2" width="20.6640625" style="21" customWidth="1"/>
    <col min="3" max="3" width="36" style="21" customWidth="1"/>
    <col min="4" max="4" width="12.83203125" style="21" customWidth="1"/>
    <col min="5" max="5" width="16.5" style="21" customWidth="1"/>
    <col min="6" max="7" width="7.1640625" style="21" customWidth="1"/>
    <col min="8" max="8" width="9.1640625" style="21" bestFit="1" customWidth="1"/>
    <col min="9" max="9" width="29.6640625" style="21" customWidth="1"/>
    <col min="10" max="10" width="178.83203125" style="21" bestFit="1" customWidth="1"/>
    <col min="11" max="13" width="12.83203125" style="21" hidden="1" customWidth="1" outlineLevel="1"/>
    <col min="14" max="14" width="35.5" style="21" hidden="1" customWidth="1" outlineLevel="1"/>
    <col min="15" max="15" width="12.83203125" style="21" hidden="1" customWidth="1" outlineLevel="1"/>
    <col min="16" max="16" width="20.33203125" style="21" hidden="1" customWidth="1" outlineLevel="1"/>
    <col min="17" max="17" width="8.6640625" style="21" hidden="1" customWidth="1" outlineLevel="1"/>
    <col min="18" max="18" width="19.33203125" style="21" hidden="1" customWidth="1" outlineLevel="1"/>
    <col min="19" max="19" width="182.83203125" style="21" hidden="1" customWidth="1" outlineLevel="1"/>
    <col min="20" max="20" width="14.6640625" style="21" hidden="1" customWidth="1" outlineLevel="1"/>
    <col min="21" max="21" width="28.5" style="21" hidden="1" customWidth="1" outlineLevel="1"/>
    <col min="22" max="22" width="43.5" style="21" hidden="1" customWidth="1" outlineLevel="1"/>
    <col min="23" max="23" width="24.83203125" style="21" hidden="1" customWidth="1" outlineLevel="1"/>
    <col min="24" max="24" width="9.1640625" style="21" collapsed="1"/>
    <col min="25" max="16384" width="9.1640625" style="21"/>
  </cols>
  <sheetData>
    <row r="1" spans="2:23" x14ac:dyDescent="0.2">
      <c r="E1" s="22"/>
    </row>
    <row r="2" spans="2:23" x14ac:dyDescent="0.2">
      <c r="B2" s="23" t="s">
        <v>1499</v>
      </c>
      <c r="C2" s="24">
        <v>2000</v>
      </c>
      <c r="E2" s="56" t="str">
        <f>IF(OR((F15&gt;0),(F16&gt;0),(F17&gt;0),(F18&gt;0),(F19&gt;0),(F20&gt;0),(F21&gt;0),(F22&gt;0),(F23&gt;0),(F24&gt;0),(F25&gt;0),(F26&gt;0),(F27&gt;0),(F28&gt;0),(F29&gt;0),(F30&gt;0),(F31&gt;0),(F32&gt;0),(F33&gt;0),(F34&gt;0),(F35&gt;0),(F36&gt;0),(F37&gt;0),(F38&gt;0),(F39&gt;0),(F40&gt;0),(F41&gt;0),(F42&gt;0),(F43&gt;0),(F44&gt;0),(F45&gt;0),(F46&gt;0),(F47&gt;0),(F48&gt;0),(F49&gt;0),(F50&gt;0),(F51&gt;0),(F52&gt;0),(F53&gt;0),(F54&gt;0),(F55&gt;0),(F56&gt;0),(F57&gt;0),(F58&gt;0),(F59&gt;0),(F60&gt;0),(F61&gt;0),(F62&gt;0),(F63&gt;0),(F64&gt;0),(F65&gt;0),(F66&gt;0),(F67&gt;0),(F68&gt;0),(F69&gt;0),(F70&gt;0),(F71&gt;0),(F72&gt;0),(F73&gt;0),(F74&gt;0),(F75&gt;0),(F76&gt;0),(F77&gt;0),(F78&gt;0),(F79&gt;0),(F80&gt;0),(F81&gt;0),(F82&gt;0),(F83&gt;0),(F84&gt;0),(F85&gt;0),(F86&gt;0)*(F87&gt;0),(F88&gt;0),(F89&gt;0),(F90&gt;0),(F91&gt;0),(F92&gt;0),(F93&gt;0),(F94&gt;0),(F95&gt;0),(F96&gt;0),(F97&gt;0),(F98&gt;0),(F99&gt;0),(F100&gt;0),(F101&gt;0),(F102&gt;0),(F103&gt;0),(F104&gt;0),(F105&gt;0),(F106&gt;0),(F107&gt;0),(F108&gt;0),(F109&gt;0),(F110&gt;0),(F111&gt;0),(F112&gt;0),(F113&gt;0),(F114&gt;0),(F115&gt;0),(F116&gt;0),(F117&gt;0),(F118&gt;0),(F119&gt;0),(F120&gt;0),(F121&gt;0),(F122&gt;0),(F123&gt;0),(F124&gt;0),(F125&gt;0),(F126&gt;0),(F127&gt;0),(F128&gt;0),(F129&gt;0),(F130&gt;0)),HYPERLINK("#"&amp;"Servicio!A1","ENVIAR A SERVICIO"),"INDIQUE EL ERROR")</f>
        <v>ENVIAR A SERVICIO</v>
      </c>
      <c r="F2" s="56"/>
      <c r="G2" s="38"/>
      <c r="H2" s="23" t="s">
        <v>2777</v>
      </c>
      <c r="I2" s="25"/>
    </row>
    <row r="3" spans="2:23" ht="14.25" customHeight="1" x14ac:dyDescent="0.2">
      <c r="B3" s="23" t="s">
        <v>1500</v>
      </c>
      <c r="C3" s="24" t="s">
        <v>1</v>
      </c>
      <c r="E3" s="57"/>
      <c r="F3" s="57"/>
      <c r="O3" s="42" t="s">
        <v>1585</v>
      </c>
    </row>
    <row r="4" spans="2:23" x14ac:dyDescent="0.2">
      <c r="B4" s="23" t="s">
        <v>1501</v>
      </c>
      <c r="C4" s="24" t="s">
        <v>1408</v>
      </c>
      <c r="E4" s="58"/>
      <c r="F4" s="58"/>
    </row>
    <row r="5" spans="2:23" x14ac:dyDescent="0.2">
      <c r="B5" s="23" t="s">
        <v>16</v>
      </c>
      <c r="C5" s="24"/>
      <c r="E5" s="59"/>
      <c r="F5" s="59"/>
    </row>
    <row r="6" spans="2:23" x14ac:dyDescent="0.2">
      <c r="B6" s="23" t="s">
        <v>1502</v>
      </c>
      <c r="C6" s="24" t="s">
        <v>137</v>
      </c>
      <c r="E6" s="56" t="str">
        <f>IF(OR((D15&gt;0),(D16&gt;0),(D17&gt;0),(D18&gt;0),(D19&gt;0),(D20&gt;0),(D21&gt;0),(D22&gt;0),(D23&gt;0),(D24&gt;0),(D25&gt;0),(D26&gt;0),(D27&gt;0),(D28&gt;0),(D29&gt;0),(D30&gt;0),(D31&gt;0),(D32&gt;0),(D33&gt;0),(D34&gt;0),(D35&gt;0),(D36&gt;0),(D37&gt;0),(D38&gt;0),(D39&gt;0),(D40&gt;0),(D41&gt;0),(D42&gt;0),(D43&gt;0),(D44&gt;0),(D45&gt;0),(D46&gt;0),(D47&gt;0),(D48&gt;0),(D49&gt;0),(D50&gt;0),(D51&gt;0),(D52&gt;0),(D53&gt;0),(D54&gt;0),(D55&gt;0),(D56&gt;0),(D57&gt;0),(D58&gt;0),(D59&gt;0),(D60&gt;0),(D61&gt;0),(D62&gt;0),(D63&gt;0),(D64&gt;0),(D65&gt;0),(D66&gt;0),(D67&gt;0),(D68&gt;0),(D69&gt;0),(D70&gt;0),(D71&gt;0),(D72&gt;0),(D73&gt;0),(D74&gt;0),(D75&gt;0),(D76&gt;0),(D77&gt;0),(D78&gt;0),(D79&gt;0),(D80&gt;0),(D81&gt;0),(D82&gt;0),(D83&gt;0),(D84&gt;0),(D85&gt;0),(D86&gt;0)*(D87&gt;0),(D88&gt;0),(D89&gt;0),(D90&gt;0),(D91&gt;0),(D92&gt;0),(D93&gt;0),(D94&gt;0),(D95&gt;0),(D96&gt;0),(D97&gt;0),(D98&gt;0),(D99&gt;0),(D100&gt;0),(D101&gt;0),(D102&gt;0),(D103&gt;0),(D104&gt;0),(D105&gt;0),(D106&gt;0),(D107&gt;0),(D108&gt;0),(D109&gt;0),(D110&gt;0),(D111&gt;0),(D112&gt;0),(D113&gt;0),(D114&gt;0),(D115&gt;0),(D116&gt;0),(D117&gt;0),(D118&gt;0),(D119&gt;0),(D120&gt;0),(D121&gt;0),(D122&gt;0),(D123&gt;0),(D124&gt;0),(D125&gt;0),(D126&gt;0),(D127&gt;0),(D128&gt;0),(D129&gt;0),(D130&gt;0)),HYPERLINK("#"&amp;"Bodega!A1","ENVIAR A REPUESTOS"),"REVISE LAS CANTIDADES")</f>
        <v>ENVIAR A REPUESTOS</v>
      </c>
      <c r="F6" s="56"/>
      <c r="G6" s="38"/>
    </row>
    <row r="7" spans="2:23" x14ac:dyDescent="0.2">
      <c r="E7" s="22"/>
    </row>
    <row r="8" spans="2:23" x14ac:dyDescent="0.2">
      <c r="B8" s="46" t="s">
        <v>11231</v>
      </c>
      <c r="C8" s="46"/>
      <c r="D8" s="46"/>
      <c r="E8" s="46"/>
      <c r="F8" s="46"/>
      <c r="G8" s="36"/>
    </row>
    <row r="9" spans="2:23" x14ac:dyDescent="0.2">
      <c r="B9" s="47"/>
      <c r="C9" s="48"/>
      <c r="D9" s="48"/>
      <c r="E9" s="48"/>
      <c r="F9" s="49"/>
      <c r="G9" s="37"/>
    </row>
    <row r="10" spans="2:23" x14ac:dyDescent="0.2">
      <c r="B10" s="50"/>
      <c r="C10" s="51"/>
      <c r="D10" s="51"/>
      <c r="E10" s="51"/>
      <c r="F10" s="52"/>
      <c r="G10" s="37"/>
    </row>
    <row r="11" spans="2:23" x14ac:dyDescent="0.2">
      <c r="B11" s="50"/>
      <c r="C11" s="51"/>
      <c r="D11" s="51"/>
      <c r="E11" s="51"/>
      <c r="F11" s="52"/>
      <c r="G11" s="37"/>
    </row>
    <row r="12" spans="2:23" x14ac:dyDescent="0.2">
      <c r="B12" s="53"/>
      <c r="C12" s="54"/>
      <c r="D12" s="54"/>
      <c r="E12" s="54"/>
      <c r="F12" s="55"/>
      <c r="G12" s="37"/>
    </row>
    <row r="14" spans="2:23" ht="19" x14ac:dyDescent="0.25">
      <c r="B14" s="26" t="s">
        <v>1585</v>
      </c>
      <c r="C14" s="27" t="s">
        <v>1586</v>
      </c>
      <c r="D14" s="28" t="s">
        <v>1587</v>
      </c>
      <c r="E14" s="28" t="s">
        <v>1588</v>
      </c>
      <c r="F14" s="28" t="s">
        <v>1589</v>
      </c>
      <c r="G14"/>
      <c r="H14" s="29" t="s">
        <v>1590</v>
      </c>
      <c r="I14" s="29" t="s">
        <v>1586</v>
      </c>
      <c r="J14" s="29" t="str">
        <f>IF(C3="ASPIRADORA","DIAGNOSTICO_ASPIRADORA",IF(C3="BARREDORA","DIAGNOSTICO_BARREDORA",IF(C3="CEPILLO_PULIDOR","DIAGNOSTICO_CEPILLO_PULIDOR",IF(C3="COMPRESOR","DIAGNOSTICO_COMPRESOR",IF(C3="ESCOBA","DIAGNOSTICO_ESCOBA",IF(C3="FREGADORA","DIAGNOSTICO_FREGADORA",IF(C3="HIDROLAVADORA_ESTACIONARIA","DIAGNOSTICO_HIDROLAVADORA_ESTACIONARIA",IF(C3="HIDROLAVADORA_GASOLINA","DIAGNOSTICO_HIDROLAVADORA_GASOLINA",IF(C3="HIDROLAVADORA_HD","DIAGNOSTICO_HIDROLAVADORA_HD",IF(C3="HIDROLAVADORA_HDS","DIAGNOSTICO_HIDROLAVADORA_HDS",IF(C3="HIDROLAVADORA_K","DIAGNOSTICO_HIDROLAVADORA_K",IF(C3="TRAPP","DIAGNOSTICO_TRAPP",IF(C3="IROBOT","DIAGNOSTICO_IROBOT",IF(C3="VAPORIZADOR","DIAGNOSTICO_VAPORIZADOR"))))))))))))))</f>
        <v>DIAGNOSTICO_ASPIRADORA</v>
      </c>
      <c r="K14" s="45" t="s">
        <v>1672</v>
      </c>
      <c r="L14" s="45"/>
      <c r="M14" s="45"/>
      <c r="N14" s="30" t="s">
        <v>1673</v>
      </c>
      <c r="O14" s="30" t="s">
        <v>1670</v>
      </c>
      <c r="P14" s="30" t="s">
        <v>1671</v>
      </c>
      <c r="Q14" s="30" t="s">
        <v>1590</v>
      </c>
      <c r="R14" s="30" t="s">
        <v>1586</v>
      </c>
      <c r="S14" s="30" t="str">
        <f>IF(C3="ASPIRADORA","DIAGNOSTICO_ASPIRADORA",IF(C3="BARREDORA","DIAGNOSTICO_BARREDORA",IF(C3="CEPILLO_PULIDOR","DIAGNOSTICO_CEPILLO_PULIDOR",IF(C3="COMPRESOR","DIAGNOSTICO_COMPRESOR",IF(C3="ESCOBA","DIAGNOSTICO_ESCOBA",IF(C3="FREGADORA","DIAGNOSTICO_FREGADORA",IF(C3="HIDROLAVADORA_ESTACIONARIA","DIAGNOSTICO_HIDROLAVADORA_ESTACIONARIA",IF(C3="HIDROLAVADORA_GASOLINA","DIAGNOSTICO_HIDROLAVADORA_GASOLINA",IF(C3="HIDROLAVADORA_HD","DIAGNOSTICO_HIDROLAVADORA_HD",IF(C3="HIDROLAVADORA_HDS","DIAGNOSTICO_HIDROLAVADORA_HDS",IF(C3="HIDROLAVADORA_K","DIAGNOSTICO_HIDROLAVADORA_K",IF(C3="TRAPP","DIAGNOSTICO_TRAPP",IF(C3="IROBOT","DIAGNOSTICO_IROBOT",IF(C3="VAPORIZADOR","DIAGNOSTICO_VAPORIZADOR"))))))))))))))</f>
        <v>DIAGNOSTICO_ASPIRADORA</v>
      </c>
      <c r="T14" s="33" t="s">
        <v>11820</v>
      </c>
      <c r="U14" s="33" t="s">
        <v>11821</v>
      </c>
      <c r="V14" s="33" t="s">
        <v>11822</v>
      </c>
      <c r="W14" s="33" t="s">
        <v>11823</v>
      </c>
    </row>
    <row r="15" spans="2:23" ht="19" x14ac:dyDescent="0.25">
      <c r="B15" s="31" t="str" cm="1">
        <f t="array" aca="1" ref="B15" ca="1">IFERROR(_xlfn._xlws.FILTER(INDIRECT(C$6),INDIRECT(C$4)=C15,""),"")</f>
        <v>A6-490-185</v>
      </c>
      <c r="C15" s="31" t="str" cm="1">
        <f t="array" aca="1" ref="C15:C32" ca="1">IFERROR(INDIRECT($C$4),"COMPLETE EL CUADRO MODELO")</f>
        <v>Turbina</v>
      </c>
      <c r="D15" s="39">
        <v>1</v>
      </c>
      <c r="E15" s="40" t="str">
        <f t="shared" ref="E15:E46" ca="1" si="0">IFERROR(VLOOKUP(B15,Ubicaciones,4,0),"")</f>
        <v>V1</v>
      </c>
      <c r="F15" s="39">
        <v>1</v>
      </c>
      <c r="G15" s="39"/>
      <c r="H15" s="31" t="str" cm="1">
        <f t="array" aca="1" ref="H15" ca="1">IFERROR(_xlfn.IFS(S14="DIAGNOSTICO_HIDROLAVADORA_HD",_xlfn._xlws.FILTER(INDIRECT(S$14),R15:R129=I2,"INDIQUE EN EL CUADRO DE BUSCAR, EL FALLO DEL EQUIPO"),S14="DIAGNOSTICO_ASPIRADORA",_xlfn._xlws.FILTER(INDIRECT(S$14),R15:R62=I2,"INDIQUE EN EL CUADRO DE BUSCAR, EL FALLO DEL EQUIPO"),S14="DIAGNOSTICO_CEPILLO_PULIDOR",_xlfn._xlws.FILTER(INDIRECT(S$14),R15:R62=I2,"INDIQUE EN EL CUADRO DE BUSCAR, EL FALLO DEL EQUIPO"),S14="DIAGNOSTICO_HIDROLAVADORA_GASOLINA",_xlfn._xlws.FILTER(INDIRECT(S$14),R15:R133=I2,"INDIQUE EN EL CUADRO DE BUSCAR, EL FALLO DEL EQUIPO"),S14="DIAGNOSTICO_HIDROLAVADORA_K",_xlfn._xlws.FILTER(INDIRECT(S$14),R15:R56=I2,"INDIQUE EN EL CUADRO DE BUSCAR, EL FALLO DEL EQUIPO"),S14="DIAGNOSTICO_HIDROLAVADORA_HDS",_xlfn._xlws.FILTER(INDIRECT(S$14),R15:R162=I2,"INDIQUE EN EL CUADRO DE BUSCAR, EL FALLO DEL EQUIPO")),"INDIQUE EL TIPO DE MÁQUINA QUE BUSCA")</f>
        <v>INDIQUE EN EL CUADRO DE BUSCAR, EL FALLO DEL EQUIPO</v>
      </c>
      <c r="K15" s="21" t="b" cm="1">
        <f t="array" aca="1" ref="K15:M62" ca="1">ISNUMBER(SEARCH(I2,INDIRECT(S14),1))</f>
        <v>1</v>
      </c>
      <c r="L15" s="21" t="b">
        <f ca="1"/>
        <v>1</v>
      </c>
      <c r="M15" s="21" t="b">
        <f ca="1"/>
        <v>0</v>
      </c>
      <c r="N15" s="21" t="str" cm="1">
        <f t="array" aca="1" ref="N15:N62" ca="1">_xlfn.IFS(S14="DIAGNOSTICO_HIDROLAVADORA_HD",_xlfn.UNIQUE(_xlfn._xlws.FILTER(R15:R129,L15:L129)),S14="DIAGNOSTICO_ASPIRADORA",_xlfn.UNIQUE(_xlfn._xlws.FILTER(R15:R62,L15:L62)),S14="DIAGNOSTICO_CEPILLO_PULIDOR",_xlfn.UNIQUE(_xlfn._xlws.FILTER(R15:R62,L15:L62)),S14="DIAGNOSTICO_HIDROLAVADORA_GASOLINA",_xlfn.UNIQUE(_xlfn._xlws.FILTER(R15:R133,L15:L133)),S14="DIAGNOSTICO_HIDROLAVADORA_K",_xlfn.UNIQUE(_xlfn._xlws.FILTER(R15:R56,L15:L56)),S14="DIAGNOSTICO_HIDROLAVADORA_HDS",_xlfn.UNIQUE(_xlfn._xlws.FILTER(R15:R162,L15:L162)))</f>
        <v>NO ENCONTRADO</v>
      </c>
      <c r="O15" s="21" t="b" cm="1">
        <f t="array" aca="1" ref="O15:O32" ca="1">ISNUMBER(SEARCH(O3,INDIRECT($C$4),1))</f>
        <v>0</v>
      </c>
      <c r="P15" s="21" t="str" cm="1">
        <f t="array" aca="1" ref="P15" ca="1">_xlfn._xlws.FILTER(INDIRECT($C$4),_xlfn.ANCHORARRAY(O15))</f>
        <v>CÓDIGO_1.629_104</v>
      </c>
      <c r="Q15" s="21" cm="1">
        <f t="array" aca="1" ref="Q15:S62" ca="1">INDIRECT(S$14)</f>
        <v>1</v>
      </c>
      <c r="R15" s="21" t="str">
        <f ca="1"/>
        <v>NO ENCONTRADO</v>
      </c>
      <c r="S15" s="21">
        <f ca="1"/>
        <v>0</v>
      </c>
      <c r="T15" s="34" t="s">
        <v>11818</v>
      </c>
      <c r="U15" s="34" t="s">
        <v>11819</v>
      </c>
      <c r="V15" s="34" t="str">
        <f>"adjunto cotizacion de la boleta "&amp;W15</f>
        <v>adjunto cotizacion de la boleta 2000</v>
      </c>
      <c r="W15" s="34">
        <f>C2</f>
        <v>2000</v>
      </c>
    </row>
    <row r="16" spans="2:23" ht="19" x14ac:dyDescent="0.25">
      <c r="B16" s="31" t="str" cm="1">
        <f t="array" aca="1" ref="B16" ca="1">IFERROR(_xlfn._xlws.FILTER(INDIRECT(C$6),INDIRECT(C$4)=C16,""),"")</f>
        <v>A6-630-087</v>
      </c>
      <c r="C16" s="31" t="str">
        <f ca="1"/>
        <v>Interruptor</v>
      </c>
      <c r="D16" s="39"/>
      <c r="E16" s="40" t="str">
        <f t="shared" ca="1" si="0"/>
        <v>GAV 1590</v>
      </c>
      <c r="F16" s="39"/>
      <c r="G16" s="39"/>
      <c r="H16" s="31"/>
      <c r="K16" s="21" t="b">
        <f ca="1"/>
        <v>1</v>
      </c>
      <c r="L16" s="21" t="b">
        <f ca="1"/>
        <v>1</v>
      </c>
      <c r="M16" s="21" t="b">
        <f ca="1"/>
        <v>1</v>
      </c>
      <c r="N16" s="21" t="str">
        <f ca="1"/>
        <v>TURBINA/LIMPIEZA</v>
      </c>
      <c r="O16" s="21" t="b">
        <f ca="1"/>
        <v>0</v>
      </c>
      <c r="Q16" s="21">
        <f ca="1"/>
        <v>2</v>
      </c>
      <c r="R16" s="21" t="str">
        <f ca="1"/>
        <v>TURBINA/LIMPIEZA</v>
      </c>
      <c r="S16" s="21" t="str">
        <f ca="1"/>
        <v>El ventilador del motor de aspiración (turbina) está saturado de suciedad, genera un fuerte sonido. Se limpió y funciona correctamente.</v>
      </c>
      <c r="T16" s="34" t="s">
        <v>11824</v>
      </c>
      <c r="U16" s="35" t="s">
        <v>11819</v>
      </c>
      <c r="V16" s="34" t="str">
        <f>"adjunto cotizacion de la boleta "&amp;W16</f>
        <v>adjunto cotizacion de la boleta 2000</v>
      </c>
      <c r="W16" s="34">
        <f>C2</f>
        <v>2000</v>
      </c>
    </row>
    <row r="17" spans="2:19" x14ac:dyDescent="0.2">
      <c r="B17" s="31" t="str" cm="1">
        <f t="array" aca="1" ref="B17" ca="1">IFERROR(_xlfn._xlws.FILTER(INDIRECT(C$6),INDIRECT(C$4)=C17,""),"")</f>
        <v>C0-000-211</v>
      </c>
      <c r="C17" s="31" t="str">
        <f ca="1"/>
        <v>Cable electrico</v>
      </c>
      <c r="D17" s="39"/>
      <c r="E17" s="40" t="str">
        <f t="shared" ca="1" si="0"/>
        <v>A5</v>
      </c>
      <c r="F17" s="39"/>
      <c r="G17" s="39"/>
      <c r="H17" s="31"/>
      <c r="J17" s="22"/>
      <c r="K17" s="21" t="b">
        <f ca="1"/>
        <v>1</v>
      </c>
      <c r="L17" s="21" t="b">
        <f ca="1"/>
        <v>1</v>
      </c>
      <c r="M17" s="21" t="b">
        <f ca="1"/>
        <v>1</v>
      </c>
      <c r="N17" s="21" t="str">
        <f ca="1"/>
        <v>TURBINA/CARBONES</v>
      </c>
      <c r="O17" s="21" t="b">
        <f ca="1"/>
        <v>0</v>
      </c>
      <c r="Q17" s="21">
        <f ca="1"/>
        <v>3</v>
      </c>
      <c r="R17" s="21" t="str">
        <f ca="1"/>
        <v>TURBINA/CARBONES</v>
      </c>
      <c r="S17" s="21" t="str">
        <f ca="1"/>
        <v>El motor de aspiración (turbina) ha cumplido con su vida útil, por lo tanto, se recomienda el cambio del mismo.</v>
      </c>
    </row>
    <row r="18" spans="2:19" x14ac:dyDescent="0.2">
      <c r="B18" s="31" t="str" cm="1">
        <f t="array" aca="1" ref="B18" ca="1">IFERROR(_xlfn._xlws.FILTER(INDIRECT(C$6),INDIRECT(C$4)=C18,""),"")</f>
        <v>C0-000-005</v>
      </c>
      <c r="C18" s="31" t="str">
        <f ca="1"/>
        <v>Enchufe 110 V</v>
      </c>
      <c r="D18" s="39"/>
      <c r="E18" s="40" t="str">
        <f t="shared" ca="1" si="0"/>
        <v>F5</v>
      </c>
      <c r="F18" s="39"/>
      <c r="G18" s="39"/>
      <c r="H18" s="31"/>
      <c r="K18" s="21" t="b">
        <f ca="1"/>
        <v>1</v>
      </c>
      <c r="L18" s="21" t="b">
        <f ca="1"/>
        <v>1</v>
      </c>
      <c r="M18" s="21" t="b">
        <f ca="1"/>
        <v>1</v>
      </c>
      <c r="N18" s="21" t="str">
        <f ca="1"/>
        <v>TURBINA/POLVO GYPSUM-CEMENTO</v>
      </c>
      <c r="O18" s="21" t="b">
        <f ca="1"/>
        <v>0</v>
      </c>
      <c r="Q18" s="21">
        <f ca="1"/>
        <v>4</v>
      </c>
      <c r="R18" s="21" t="str">
        <f ca="1"/>
        <v>TURBINA/POLVO GYPSUM-CEMENTO</v>
      </c>
      <c r="S18" s="21" t="str">
        <f ca="1"/>
        <v>Se encuentra polvo fino (gypsum/cemento) dentro del motor de aspiración (turbina) generando un daño irreversible sobre el mismo. Este tipo de polvos finos no deben de ser aspirados.</v>
      </c>
    </row>
    <row r="19" spans="2:19" x14ac:dyDescent="0.2">
      <c r="B19" s="31" t="str" cm="1">
        <f t="array" aca="1" ref="B19" ca="1">IFERROR(_xlfn._xlws.FILTER(INDIRECT(C$6),INDIRECT(C$4)=C19,""),"")</f>
        <v>A6-414-552</v>
      </c>
      <c r="C19" s="31" t="str">
        <f ca="1"/>
        <v>Filtro de cartucho</v>
      </c>
      <c r="D19" s="39"/>
      <c r="E19" s="40" t="str">
        <f t="shared" ca="1" si="0"/>
        <v>I2</v>
      </c>
      <c r="F19" s="39"/>
      <c r="G19" s="39"/>
      <c r="H19" s="31"/>
      <c r="K19" s="21" t="b">
        <f ca="1"/>
        <v>1</v>
      </c>
      <c r="L19" s="21" t="b">
        <f ca="1"/>
        <v>1</v>
      </c>
      <c r="M19" s="21" t="b">
        <f ca="1"/>
        <v>1</v>
      </c>
      <c r="N19" s="21" t="str">
        <f ca="1"/>
        <v>TURBINA/TUERCA VENTILADOR</v>
      </c>
      <c r="O19" s="21" t="b">
        <f ca="1"/>
        <v>0</v>
      </c>
      <c r="Q19" s="21">
        <f ca="1"/>
        <v>5</v>
      </c>
      <c r="R19" s="21" t="str">
        <f ca="1"/>
        <v>TURBINA/TUERCA VENTILADOR</v>
      </c>
      <c r="S19" s="21" t="str">
        <f ca="1"/>
        <v>Se encontró el ventilador del motor de aspiración (turbina) sin la tuerca de sujeción, provocando así daños irreversibles al motor.</v>
      </c>
    </row>
    <row r="20" spans="2:19" x14ac:dyDescent="0.2">
      <c r="B20" s="31" t="str" cm="1">
        <f t="array" aca="1" ref="B20" ca="1">IFERROR(_xlfn._xlws.FILTER(INDIRECT(C$6),INDIRECT(C$4)=C20,""),"")</f>
        <v>A4-075-012</v>
      </c>
      <c r="C20" s="31" t="str">
        <f ca="1"/>
        <v>Mariposa de Filtro</v>
      </c>
      <c r="D20" s="39"/>
      <c r="E20" s="40" t="str">
        <f t="shared" ca="1" si="0"/>
        <v>4.5 A</v>
      </c>
      <c r="F20" s="39"/>
      <c r="G20" s="39"/>
      <c r="H20" s="31"/>
      <c r="K20" s="21" t="b">
        <f ca="1"/>
        <v>1</v>
      </c>
      <c r="L20" s="21" t="b">
        <f ca="1"/>
        <v>1</v>
      </c>
      <c r="M20" s="21" t="b">
        <f ca="1"/>
        <v>1</v>
      </c>
      <c r="N20" s="21" t="str">
        <f ca="1"/>
        <v>TURBINA/BOBINADO DAÑADO</v>
      </c>
      <c r="O20" s="21" t="b">
        <f ca="1"/>
        <v>0</v>
      </c>
      <c r="Q20" s="21">
        <f ca="1"/>
        <v>6</v>
      </c>
      <c r="R20" s="21" t="str">
        <f ca="1"/>
        <v>TURBINA/BOBINADO DAÑADO</v>
      </c>
      <c r="S20" s="21" t="str">
        <f ca="1"/>
        <v>Debido a un corto circuito en el cableado del motor de aspiración (turbina), el mismo queda con un daño irreversible.</v>
      </c>
    </row>
    <row r="21" spans="2:19" x14ac:dyDescent="0.2">
      <c r="B21" s="31" t="str" cm="1">
        <f t="array" aca="1" ref="B21" ca="1">IFERROR(_xlfn._xlws.FILTER(INDIRECT(C$6),INDIRECT(C$4)=C21,""),"")</f>
        <v>A6-904-322</v>
      </c>
      <c r="C21" s="31" t="str">
        <f ca="1"/>
        <v>Bolsa de papel</v>
      </c>
      <c r="D21" s="39"/>
      <c r="E21" s="40" t="str">
        <f t="shared" ca="1" si="0"/>
        <v/>
      </c>
      <c r="F21" s="39"/>
      <c r="G21" s="39"/>
      <c r="H21" s="31"/>
      <c r="K21" s="21" t="b">
        <f ca="1"/>
        <v>1</v>
      </c>
      <c r="L21" s="21" t="b">
        <f ca="1"/>
        <v>1</v>
      </c>
      <c r="M21" s="21" t="b">
        <f ca="1"/>
        <v>1</v>
      </c>
      <c r="N21" s="21" t="str">
        <f ca="1"/>
        <v>TURBINA/HUMEDAD</v>
      </c>
      <c r="O21" s="21" t="b">
        <f ca="1"/>
        <v>0</v>
      </c>
      <c r="Q21" s="21">
        <f ca="1"/>
        <v>7</v>
      </c>
      <c r="R21" s="21" t="str">
        <f ca="1"/>
        <v>TURBINA/HUMEDAD</v>
      </c>
      <c r="S21" s="21" t="str">
        <f ca="1"/>
        <v>Se encuentran señas de oxido en el motor de aspiración (turbina), esto es provocado por ingreso de humedad (agua) en algún momento dado.</v>
      </c>
    </row>
    <row r="22" spans="2:19" x14ac:dyDescent="0.2">
      <c r="B22" s="31" t="str" cm="1">
        <f t="array" aca="1" ref="B22" ca="1">IFERROR(_xlfn._xlws.FILTER(INDIRECT(C$6),INDIRECT(C$4)=C22,""),"")</f>
        <v>A5-731-595</v>
      </c>
      <c r="C22" s="31" t="str">
        <f ca="1"/>
        <v>Filtro de espuma</v>
      </c>
      <c r="D22" s="39"/>
      <c r="E22" s="40" t="str">
        <f t="shared" ca="1" si="0"/>
        <v/>
      </c>
      <c r="F22" s="39"/>
      <c r="G22" s="39"/>
      <c r="H22" s="31"/>
      <c r="K22" s="21" t="b">
        <f ca="1"/>
        <v>1</v>
      </c>
      <c r="L22" s="21" t="b">
        <f ca="1"/>
        <v>1</v>
      </c>
      <c r="M22" s="21" t="b">
        <f ca="1"/>
        <v>1</v>
      </c>
      <c r="N22" s="21" t="str">
        <f ca="1"/>
        <v>NO TRAE BOLSA</v>
      </c>
      <c r="O22" s="21" t="b">
        <f ca="1"/>
        <v>0</v>
      </c>
      <c r="Q22" s="21">
        <f ca="1"/>
        <v>8</v>
      </c>
      <c r="R22" s="21" t="str">
        <f ca="1"/>
        <v>NO TRAE BOLSA</v>
      </c>
      <c r="S22" s="21" t="str">
        <f ca="1"/>
        <v>Para aspiración en seco y proteger el motor, siempre es recomendable el uso de bolsa de papel</v>
      </c>
    </row>
    <row r="23" spans="2:19" x14ac:dyDescent="0.2">
      <c r="B23" s="31" t="str" cm="1">
        <f t="array" aca="1" ref="B23" ca="1">IFERROR(_xlfn._xlws.FILTER(INDIRECT(C$6),INDIRECT(C$4)=C23,""),"")</f>
        <v>A9-012-109</v>
      </c>
      <c r="C23" s="31" t="str">
        <f ca="1"/>
        <v>Manguera de aspiración</v>
      </c>
      <c r="D23" s="39"/>
      <c r="E23" s="40" t="str">
        <f t="shared" ca="1" si="0"/>
        <v/>
      </c>
      <c r="F23" s="39"/>
      <c r="G23" s="39"/>
      <c r="H23" s="31"/>
      <c r="K23" s="21" t="b">
        <f ca="1"/>
        <v>1</v>
      </c>
      <c r="L23" s="21" t="b">
        <f ca="1"/>
        <v>1</v>
      </c>
      <c r="M23" s="21" t="b">
        <f ca="1"/>
        <v>1</v>
      </c>
      <c r="N23" s="21" t="str">
        <f ca="1"/>
        <v>BOLSA/ROTA</v>
      </c>
      <c r="O23" s="21" t="b">
        <f ca="1"/>
        <v>0</v>
      </c>
      <c r="Q23" s="21">
        <f ca="1"/>
        <v>9</v>
      </c>
      <c r="R23" s="21" t="str">
        <f ca="1"/>
        <v>BOLSA/ROTA</v>
      </c>
      <c r="S23" s="21" t="str">
        <f ca="1"/>
        <v>La bolsa filtrante está rota. Para aspiración en seco y proteger el motor, siempre es recomendable el uso de bolsa de papel</v>
      </c>
    </row>
    <row r="24" spans="2:19" x14ac:dyDescent="0.2">
      <c r="B24" s="31" t="str" cm="1">
        <f t="array" aca="1" ref="B24" ca="1">IFERROR(_xlfn._xlws.FILTER(INDIRECT(C$6),INDIRECT(C$4)=C24,""),"")</f>
        <v>A2-862-141</v>
      </c>
      <c r="C24" s="31" t="str">
        <f ca="1"/>
        <v>Boquilla de piso</v>
      </c>
      <c r="D24" s="39"/>
      <c r="E24" s="40" t="str">
        <f t="shared" ca="1" si="0"/>
        <v>MM1</v>
      </c>
      <c r="F24" s="39"/>
      <c r="G24" s="39"/>
      <c r="H24" s="31"/>
      <c r="K24" s="21" t="b">
        <f ca="1"/>
        <v>1</v>
      </c>
      <c r="L24" s="21" t="b">
        <f ca="1"/>
        <v>1</v>
      </c>
      <c r="M24" s="21" t="b">
        <f ca="1"/>
        <v>1</v>
      </c>
      <c r="N24" s="21" t="str">
        <f ca="1"/>
        <v>BOLSA/LLENA</v>
      </c>
      <c r="O24" s="21" t="b">
        <f ca="1"/>
        <v>0</v>
      </c>
      <c r="Q24" s="21">
        <f ca="1"/>
        <v>10</v>
      </c>
      <c r="R24" s="21" t="str">
        <f ca="1"/>
        <v>BOLSA/LLENA</v>
      </c>
      <c r="S24" s="21" t="str">
        <f ca="1"/>
        <v>La bolsa llego a su capacidad máxima. Para aspiración en seco y proteger el motor, siempre es recomendable el uso de bolsa de papel</v>
      </c>
    </row>
    <row r="25" spans="2:19" x14ac:dyDescent="0.2">
      <c r="B25" s="31" t="str" cm="1">
        <f t="array" aca="1" ref="B25" ca="1">IFERROR(_xlfn._xlws.FILTER(INDIRECT(C$6),INDIRECT(C$4)=C25,""),"")</f>
        <v>A6-900-385</v>
      </c>
      <c r="C25" s="31" t="str">
        <f ca="1"/>
        <v>Boquilla de ranura</v>
      </c>
      <c r="D25" s="39"/>
      <c r="E25" s="40" t="str">
        <f t="shared" ca="1" si="0"/>
        <v>H5</v>
      </c>
      <c r="F25" s="39"/>
      <c r="G25" s="39"/>
      <c r="H25" s="31"/>
      <c r="K25" s="21" t="b">
        <f ca="1"/>
        <v>1</v>
      </c>
      <c r="L25" s="21" t="b">
        <f ca="1"/>
        <v>1</v>
      </c>
      <c r="M25" s="21" t="b">
        <f ca="1"/>
        <v>1</v>
      </c>
      <c r="N25" s="21" t="str">
        <f ca="1"/>
        <v>BOLSA/MOJADA</v>
      </c>
      <c r="O25" s="21" t="b">
        <f ca="1"/>
        <v>0</v>
      </c>
      <c r="Q25" s="21">
        <f ca="1"/>
        <v>11</v>
      </c>
      <c r="R25" s="21" t="str">
        <f ca="1"/>
        <v>BOLSA/MOJADA</v>
      </c>
      <c r="S25" s="21" t="str">
        <f ca="1"/>
        <v>La bolsa está mojada. No se recomienda utilizar bolsa de papel cuando se aspira en húmedo.</v>
      </c>
    </row>
    <row r="26" spans="2:19" x14ac:dyDescent="0.2">
      <c r="B26" s="31" t="str" cm="1">
        <f t="array" aca="1" ref="B26" ca="1">IFERROR(_xlfn._xlws.FILTER(INDIRECT(C$6),INDIRECT(C$4)=C26,""),"")</f>
        <v>A2-863-308</v>
      </c>
      <c r="C26" s="31" t="str">
        <f ca="1"/>
        <v>Extensión (tubo)</v>
      </c>
      <c r="D26" s="39"/>
      <c r="E26" s="40" t="str">
        <f t="shared" ca="1" si="0"/>
        <v>TT5</v>
      </c>
      <c r="F26" s="39"/>
      <c r="G26" s="39"/>
      <c r="H26" s="31"/>
      <c r="K26" s="21" t="b">
        <f ca="1"/>
        <v>1</v>
      </c>
      <c r="L26" s="21" t="b">
        <f ca="1"/>
        <v>1</v>
      </c>
      <c r="M26" s="21" t="b">
        <f ca="1"/>
        <v>1</v>
      </c>
      <c r="N26" s="21" t="str">
        <f ca="1"/>
        <v>FILTRO/SATURADO</v>
      </c>
      <c r="O26" s="21" t="b">
        <f ca="1"/>
        <v>0</v>
      </c>
      <c r="Q26" s="21">
        <f ca="1"/>
        <v>12</v>
      </c>
      <c r="R26" s="21" t="str">
        <f ca="1"/>
        <v>FILTRO/SATURADO</v>
      </c>
      <c r="S26" s="21" t="str">
        <f ca="1"/>
        <v>EL filtro de aire está saturado, esto ocasiona que el equipo pierda poder de succión</v>
      </c>
    </row>
    <row r="27" spans="2:19" x14ac:dyDescent="0.2">
      <c r="B27" s="31" t="str" cm="1">
        <f t="array" aca="1" ref="B27" ca="1">IFERROR(_xlfn._xlws.FILTER(INDIRECT(C$6),INDIRECT(C$4)=C27,""),"")</f>
        <v>A5-070-667</v>
      </c>
      <c r="C27" s="31" t="str">
        <f ca="1"/>
        <v>Contenedor</v>
      </c>
      <c r="D27" s="39"/>
      <c r="E27" s="40" t="str">
        <f t="shared" ca="1" si="0"/>
        <v/>
      </c>
      <c r="F27" s="39"/>
      <c r="G27" s="39"/>
      <c r="H27" s="31"/>
      <c r="K27" s="21" t="b">
        <f ca="1"/>
        <v>1</v>
      </c>
      <c r="L27" s="21" t="b">
        <f ca="1"/>
        <v>1</v>
      </c>
      <c r="M27" s="21" t="b">
        <f ca="1"/>
        <v>1</v>
      </c>
      <c r="N27" s="21" t="str">
        <f ca="1"/>
        <v>FILTRO/CAMBIO</v>
      </c>
      <c r="O27" s="21" t="b">
        <f ca="1"/>
        <v>0</v>
      </c>
      <c r="Q27" s="21">
        <f ca="1"/>
        <v>13</v>
      </c>
      <c r="R27" s="21" t="str">
        <f ca="1"/>
        <v>FILTRO/CAMBIO</v>
      </c>
      <c r="S27" s="21" t="str">
        <f ca="1"/>
        <v>El filtro de aire cumplió su vida útil. Se recomienda el cambio para mejorar el poder de aspiración y aumentar la vida útil del motor de aspiración (turbina)</v>
      </c>
    </row>
    <row r="28" spans="2:19" x14ac:dyDescent="0.2">
      <c r="B28" s="31" t="str" cm="1">
        <f t="array" aca="1" ref="B28" ca="1">IFERROR(_xlfn._xlws.FILTER(INDIRECT(C$6),INDIRECT(C$4)=C28,""),"")</f>
        <v>A5-075-033</v>
      </c>
      <c r="C28" s="31" t="str">
        <f ca="1"/>
        <v>Prensas de Carcasa</v>
      </c>
      <c r="D28" s="39"/>
      <c r="E28" s="40" t="str">
        <f t="shared" ca="1" si="0"/>
        <v>J5</v>
      </c>
      <c r="F28" s="39"/>
      <c r="G28" s="39"/>
      <c r="H28" s="31"/>
      <c r="K28" s="21" t="b">
        <f ca="1"/>
        <v>1</v>
      </c>
      <c r="L28" s="21" t="b">
        <f ca="1"/>
        <v>1</v>
      </c>
      <c r="M28" s="21" t="b">
        <f ca="1"/>
        <v>1</v>
      </c>
      <c r="N28" s="21" t="str">
        <f ca="1"/>
        <v>SIN FILTRO</v>
      </c>
      <c r="O28" s="21" t="b">
        <f ca="1"/>
        <v>0</v>
      </c>
      <c r="Q28" s="21">
        <f ca="1"/>
        <v>14</v>
      </c>
      <c r="R28" s="21" t="str">
        <f ca="1"/>
        <v>SIN FILTRO</v>
      </c>
      <c r="S28" s="21" t="str">
        <f ca="1"/>
        <v>El equipo no trae filtro de aire. Se recomienda utilizarlo para mejorar el poder de aspiración y aumentar la vida útil del motor de aspiración (turbina)</v>
      </c>
    </row>
    <row r="29" spans="2:19" x14ac:dyDescent="0.2">
      <c r="B29" s="31" t="str" cm="1">
        <f t="array" aca="1" ref="B29" ca="1">IFERROR(_xlfn._xlws.FILTER(INDIRECT(C$6),INDIRECT(C$4)=C29,""),"")</f>
        <v>A6-435-353</v>
      </c>
      <c r="C29" s="31" t="str">
        <f ca="1"/>
        <v>Rueda</v>
      </c>
      <c r="D29" s="39"/>
      <c r="E29" s="40" t="str">
        <f t="shared" ca="1" si="0"/>
        <v>N3</v>
      </c>
      <c r="F29" s="39"/>
      <c r="G29" s="39"/>
      <c r="H29" s="31"/>
      <c r="K29" s="21" t="b">
        <f ca="1"/>
        <v>1</v>
      </c>
      <c r="L29" s="21" t="b">
        <f ca="1"/>
        <v>1</v>
      </c>
      <c r="M29" s="21" t="b">
        <f ca="1"/>
        <v>1</v>
      </c>
      <c r="N29" s="21" t="str">
        <f ca="1"/>
        <v>FILTRO/ROTO</v>
      </c>
      <c r="O29" s="21" t="b">
        <f ca="1"/>
        <v>0</v>
      </c>
      <c r="Q29" s="21">
        <f ca="1"/>
        <v>15</v>
      </c>
      <c r="R29" s="21" t="str">
        <f ca="1"/>
        <v>FILTRO/ROTO</v>
      </c>
      <c r="S29" s="21" t="str">
        <f ca="1"/>
        <v>El filtro de aire está dañado. Se recomienda el cambio para mejorar el poder de aspiración y aumentar la vida útil del motor de aspiración (turbina)</v>
      </c>
    </row>
    <row r="30" spans="2:19" x14ac:dyDescent="0.2">
      <c r="B30" s="31" t="str" cm="1">
        <f t="array" aca="1" ref="B30" ca="1">IFERROR(_xlfn._xlws.FILTER(INDIRECT(C$6),INDIRECT(C$4)=C30,""),"")</f>
        <v>A5-069-129</v>
      </c>
      <c r="C30" s="31" t="str">
        <f ca="1"/>
        <v xml:space="preserve">Carcasa Superior </v>
      </c>
      <c r="D30" s="39"/>
      <c r="E30" s="40" t="str">
        <f t="shared" ca="1" si="0"/>
        <v/>
      </c>
      <c r="F30" s="39"/>
      <c r="G30" s="39"/>
      <c r="H30" s="31"/>
      <c r="K30" s="21" t="b">
        <f ca="1"/>
        <v>1</v>
      </c>
      <c r="L30" s="21" t="b">
        <f ca="1"/>
        <v>1</v>
      </c>
      <c r="M30" s="21" t="b">
        <f ca="1"/>
        <v>1</v>
      </c>
      <c r="N30" s="21" t="str">
        <f ca="1"/>
        <v>FILTRO/MOJADO</v>
      </c>
      <c r="O30" s="21" t="b">
        <f ca="1"/>
        <v>0</v>
      </c>
      <c r="Q30" s="21">
        <f ca="1"/>
        <v>16</v>
      </c>
      <c r="R30" s="21" t="str">
        <f ca="1"/>
        <v>FILTRO/MOJADO</v>
      </c>
      <c r="S30" s="21" t="str">
        <f ca="1"/>
        <v>El filtro presenta humedad. Se recomienda el cambio para mejorar el poder de aspiración y aumentar la vida útil del motor de aspiración (turbina)</v>
      </c>
    </row>
    <row r="31" spans="2:19" x14ac:dyDescent="0.2">
      <c r="B31" s="31" t="str" cm="1">
        <f t="array" aca="1" ref="B31" ca="1">IFERROR(_xlfn._xlws.FILTER(INDIRECT(C$6),INDIRECT(C$4)=C31,""),"")</f>
        <v>A5-585-054</v>
      </c>
      <c r="C31" s="31" t="str">
        <f ca="1"/>
        <v>Bolla</v>
      </c>
      <c r="D31" s="39"/>
      <c r="E31" s="40" t="str">
        <f t="shared" ca="1" si="0"/>
        <v/>
      </c>
      <c r="F31" s="39"/>
      <c r="G31" s="39"/>
      <c r="H31" s="31"/>
      <c r="K31" s="21" t="b">
        <f ca="1"/>
        <v>1</v>
      </c>
      <c r="L31" s="21" t="b">
        <f ca="1"/>
        <v>1</v>
      </c>
      <c r="M31" s="21" t="b">
        <f ca="1"/>
        <v>1</v>
      </c>
      <c r="N31" s="21" t="str">
        <f ca="1"/>
        <v>RECOMENDACIÓN FITRO MEMBRANA</v>
      </c>
      <c r="O31" s="21" t="b">
        <f ca="1"/>
        <v>0</v>
      </c>
      <c r="Q31" s="21">
        <f ca="1"/>
        <v>17</v>
      </c>
      <c r="R31" s="21" t="str">
        <f ca="1"/>
        <v>RECOMENDACIÓN FITRO MEMBRANA</v>
      </c>
      <c r="S31" s="21" t="str">
        <f ca="1"/>
        <v>Para aspiración en seco de polvos finos (gypsum / cemento/ harina), siempre es indispensable el uso del filtro para polvos finos (filtro de membrana) y la bolsa de papel para evitar daños en el motor de aspiración (turbina)</v>
      </c>
    </row>
    <row r="32" spans="2:19" x14ac:dyDescent="0.2">
      <c r="B32" s="31" t="str" cm="1">
        <f t="array" aca="1" ref="B32" ca="1">IFERROR(_xlfn._xlws.FILTER(INDIRECT(C$6),INDIRECT(C$4)=C32,""),"")</f>
        <v>C0-000-001</v>
      </c>
      <c r="C32" s="31" t="str">
        <f ca="1"/>
        <v>CÓDIGO_1.629_104</v>
      </c>
      <c r="D32" s="39"/>
      <c r="E32" s="40" t="str">
        <f t="shared" ca="1" si="0"/>
        <v/>
      </c>
      <c r="F32" s="39"/>
      <c r="G32" s="39"/>
      <c r="H32" s="31"/>
      <c r="K32" s="21" t="b">
        <f ca="1"/>
        <v>1</v>
      </c>
      <c r="L32" s="21" t="b">
        <f ca="1"/>
        <v>1</v>
      </c>
      <c r="M32" s="21" t="b">
        <f ca="1"/>
        <v>1</v>
      </c>
      <c r="N32" s="21" t="str">
        <f ca="1"/>
        <v>MEMBRANA/ROTA</v>
      </c>
      <c r="O32" s="21" t="b">
        <f ca="1"/>
        <v>1</v>
      </c>
      <c r="Q32" s="21">
        <f ca="1"/>
        <v>18</v>
      </c>
      <c r="R32" s="21" t="str">
        <f ca="1"/>
        <v>MEMBRANA/ROTA</v>
      </c>
      <c r="S32" s="21" t="str">
        <f ca="1"/>
        <v>El filtro para polvos finos (filtro de membrana) está roto por lo que el polvo no se filtra. Para aspiración en seco de polvos finos (gypsum / cemento/ harina), siempre es indispensable el uso del filtro de membrana y la bolsa de papel para evitar daños en el motor de aspiración (turbina)</v>
      </c>
    </row>
    <row r="33" spans="2:19" x14ac:dyDescent="0.2">
      <c r="B33" s="31" t="str" cm="1">
        <f t="array" aca="1" ref="B33" ca="1">IFERROR(_xlfn._xlws.FILTER(INDIRECT(C$6),INDIRECT(C$4)=C33,""),"")</f>
        <v/>
      </c>
      <c r="C33" s="31"/>
      <c r="D33" s="39"/>
      <c r="E33" s="40" t="str">
        <f t="shared" ca="1" si="0"/>
        <v/>
      </c>
      <c r="F33" s="39"/>
      <c r="G33" s="39"/>
      <c r="H33" s="31"/>
      <c r="K33" s="21" t="b">
        <f ca="1"/>
        <v>1</v>
      </c>
      <c r="L33" s="21" t="b">
        <f ca="1"/>
        <v>1</v>
      </c>
      <c r="M33" s="21" t="b">
        <f ca="1"/>
        <v>1</v>
      </c>
      <c r="N33" s="21" t="str">
        <f ca="1"/>
        <v>MEMBRANA /DESGASTE</v>
      </c>
      <c r="Q33" s="21">
        <f ca="1"/>
        <v>19</v>
      </c>
      <c r="R33" s="21" t="str">
        <f ca="1"/>
        <v>MEMBRANA /DESGASTE</v>
      </c>
      <c r="S33" s="21" t="str">
        <f ca="1"/>
        <v>El filtro para polvos finos (filtro de membrana) ha cumplido con su vida útil. Para aspiración en seco de polvos finos (gypsum / cemento/ harina), siempre es indispensable el uso del filtro de membrana y la bolsa de papel para evitar daños en el motor de aspiración (turbina)</v>
      </c>
    </row>
    <row r="34" spans="2:19" x14ac:dyDescent="0.2">
      <c r="B34" s="31" t="str" cm="1">
        <f t="array" aca="1" ref="B34" ca="1">IFERROR(_xlfn._xlws.FILTER(INDIRECT(C$6),INDIRECT(C$4)=C34,""),"")</f>
        <v/>
      </c>
      <c r="C34" s="31"/>
      <c r="D34" s="39"/>
      <c r="E34" s="40" t="str">
        <f t="shared" ca="1" si="0"/>
        <v/>
      </c>
      <c r="F34" s="39"/>
      <c r="G34" s="39"/>
      <c r="H34" s="31"/>
      <c r="K34" s="21" t="b">
        <f ca="1"/>
        <v>1</v>
      </c>
      <c r="L34" s="21" t="b">
        <f ca="1"/>
        <v>1</v>
      </c>
      <c r="M34" s="21" t="b">
        <f ca="1"/>
        <v>1</v>
      </c>
      <c r="N34" s="21" t="str">
        <f ca="1"/>
        <v>MANGUERA/ROTA</v>
      </c>
      <c r="Q34" s="21">
        <f ca="1"/>
        <v>20</v>
      </c>
      <c r="R34" s="21" t="str">
        <f ca="1"/>
        <v>MANGUERA/ROTA</v>
      </c>
      <c r="S34" s="21" t="str">
        <f ca="1"/>
        <v>La manguera de aspiración está rota, esto provoca pérdida de succión.</v>
      </c>
    </row>
    <row r="35" spans="2:19" x14ac:dyDescent="0.2">
      <c r="B35" s="31" t="str" cm="1">
        <f t="array" aca="1" ref="B35" ca="1">IFERROR(_xlfn._xlws.FILTER(INDIRECT(C$6),INDIRECT(C$4)=C35,""),"")</f>
        <v/>
      </c>
      <c r="C35" s="31"/>
      <c r="D35" s="39"/>
      <c r="E35" s="40" t="str">
        <f t="shared" ca="1" si="0"/>
        <v/>
      </c>
      <c r="F35" s="39"/>
      <c r="G35" s="39"/>
      <c r="H35" s="31"/>
      <c r="K35" s="21" t="b">
        <f ca="1"/>
        <v>1</v>
      </c>
      <c r="L35" s="21" t="b">
        <f ca="1"/>
        <v>1</v>
      </c>
      <c r="M35" s="21" t="b">
        <f ca="1"/>
        <v>1</v>
      </c>
      <c r="N35" s="21" t="str">
        <f ca="1"/>
        <v>MANGUERA/OBSTRUIDA</v>
      </c>
      <c r="Q35" s="21">
        <f ca="1"/>
        <v>21</v>
      </c>
      <c r="R35" s="21" t="str">
        <f ca="1"/>
        <v>MANGUERA/OBSTRUIDA</v>
      </c>
      <c r="S35" s="21" t="str">
        <f ca="1"/>
        <v>La manguera de aspiración está obstruida, esto provoca perdida de succión.</v>
      </c>
    </row>
    <row r="36" spans="2:19" x14ac:dyDescent="0.2">
      <c r="B36" s="31" t="str" cm="1">
        <f t="array" aca="1" ref="B36" ca="1">IFERROR(_xlfn._xlws.FILTER(INDIRECT(C$6),INDIRECT(C$4)=C36,""),"")</f>
        <v/>
      </c>
      <c r="C36" s="31"/>
      <c r="D36" s="39"/>
      <c r="E36" s="40" t="str">
        <f t="shared" ca="1" si="0"/>
        <v/>
      </c>
      <c r="F36" s="39"/>
      <c r="G36" s="39"/>
      <c r="H36" s="31"/>
      <c r="K36" s="21" t="b">
        <f ca="1"/>
        <v>1</v>
      </c>
      <c r="L36" s="21" t="b">
        <f ca="1"/>
        <v>1</v>
      </c>
      <c r="M36" s="21" t="b">
        <f ca="1"/>
        <v>1</v>
      </c>
      <c r="N36" s="21" t="str">
        <f ca="1"/>
        <v>CARCASA/QUEBRADA</v>
      </c>
      <c r="Q36" s="21">
        <f ca="1"/>
        <v>22</v>
      </c>
      <c r="R36" s="21" t="str">
        <f ca="1"/>
        <v>CARCASA/QUEBRADA</v>
      </c>
      <c r="S36" s="21" t="str">
        <f ca="1"/>
        <v>Carcasa plástica superior quebrada</v>
      </c>
    </row>
    <row r="37" spans="2:19" x14ac:dyDescent="0.2">
      <c r="B37" s="31" t="str" cm="1">
        <f t="array" aca="1" ref="B37" ca="1">IFERROR(_xlfn._xlws.FILTER(INDIRECT(C$6),INDIRECT(C$4)=C37,""),"")</f>
        <v/>
      </c>
      <c r="C37" s="31"/>
      <c r="D37" s="39"/>
      <c r="E37" s="40" t="str">
        <f t="shared" ca="1" si="0"/>
        <v/>
      </c>
      <c r="F37" s="39"/>
      <c r="G37" s="39"/>
      <c r="H37" s="31"/>
      <c r="K37" s="21" t="b">
        <f ca="1"/>
        <v>1</v>
      </c>
      <c r="L37" s="21" t="b">
        <f ca="1"/>
        <v>1</v>
      </c>
      <c r="M37" s="21" t="b">
        <f ca="1"/>
        <v>1</v>
      </c>
      <c r="N37" s="21" t="str">
        <f ca="1"/>
        <v>CARCASA/INTERNA QUEBRADA</v>
      </c>
      <c r="Q37" s="21">
        <f ca="1"/>
        <v>23</v>
      </c>
      <c r="R37" s="21" t="str">
        <f ca="1"/>
        <v>CARCASA/INTERNA QUEBRADA</v>
      </c>
      <c r="S37" s="21" t="str">
        <f ca="1"/>
        <v>La carcasa de la turnina está quebrada</v>
      </c>
    </row>
    <row r="38" spans="2:19" x14ac:dyDescent="0.2">
      <c r="B38" s="31" t="str" cm="1">
        <f t="array" aca="1" ref="B38" ca="1">IFERROR(_xlfn._xlws.FILTER(INDIRECT(C$6),INDIRECT(C$4)=C38,""),"")</f>
        <v/>
      </c>
      <c r="C38" s="31"/>
      <c r="D38" s="39"/>
      <c r="E38" s="40" t="str">
        <f t="shared" ca="1" si="0"/>
        <v/>
      </c>
      <c r="F38" s="39"/>
      <c r="G38" s="39"/>
      <c r="H38" s="31"/>
      <c r="K38" s="21" t="b">
        <f ca="1"/>
        <v>1</v>
      </c>
      <c r="L38" s="21" t="b">
        <f ca="1"/>
        <v>1</v>
      </c>
      <c r="M38" s="21" t="b">
        <f ca="1"/>
        <v>1</v>
      </c>
      <c r="N38" s="21" t="str">
        <f ca="1"/>
        <v>CABLE/CORTADO</v>
      </c>
      <c r="Q38" s="21">
        <f ca="1"/>
        <v>24</v>
      </c>
      <c r="R38" s="21" t="str">
        <f ca="1"/>
        <v>CABLE/CORTADO</v>
      </c>
      <c r="S38" s="21" t="str">
        <f ca="1"/>
        <v>Cable de corriente con daños (corte / pellizcado), con riesgo de generar cortos circuitos</v>
      </c>
    </row>
    <row r="39" spans="2:19" x14ac:dyDescent="0.2">
      <c r="B39" s="31" t="str" cm="1">
        <f t="array" aca="1" ref="B39" ca="1">IFERROR(_xlfn._xlws.FILTER(INDIRECT(C$6),INDIRECT(C$4)=C39,""),"")</f>
        <v/>
      </c>
      <c r="C39" s="31"/>
      <c r="D39" s="39"/>
      <c r="E39" s="40" t="str">
        <f t="shared" ca="1" si="0"/>
        <v/>
      </c>
      <c r="F39" s="39"/>
      <c r="G39" s="39"/>
      <c r="H39" s="31"/>
      <c r="K39" s="21" t="b">
        <f ca="1"/>
        <v>1</v>
      </c>
      <c r="L39" s="21" t="b">
        <f ca="1"/>
        <v>1</v>
      </c>
      <c r="M39" s="21" t="b">
        <f ca="1"/>
        <v>1</v>
      </c>
      <c r="N39" s="21" t="str">
        <f ca="1"/>
        <v>CABLE/EMPALMADO</v>
      </c>
      <c r="Q39" s="21">
        <f ca="1"/>
        <v>25</v>
      </c>
      <c r="R39" s="21" t="str">
        <f ca="1"/>
        <v>CABLE/EMPALMADO</v>
      </c>
      <c r="S39" s="21" t="str">
        <f ca="1"/>
        <v>Cable de corriente con daños y arreglos caseros (con tape) que afectan la seguridad del usuario</v>
      </c>
    </row>
    <row r="40" spans="2:19" x14ac:dyDescent="0.2">
      <c r="B40" s="31" t="str" cm="1">
        <f t="array" aca="1" ref="B40" ca="1">IFERROR(_xlfn._xlws.FILTER(INDIRECT(C$6),INDIRECT(C$4)=C40,""),"")</f>
        <v/>
      </c>
      <c r="C40" s="31"/>
      <c r="D40" s="39"/>
      <c r="E40" s="40" t="str">
        <f t="shared" ca="1" si="0"/>
        <v/>
      </c>
      <c r="F40" s="39"/>
      <c r="G40" s="39"/>
      <c r="H40" s="31"/>
      <c r="K40" s="21" t="b">
        <f ca="1"/>
        <v>1</v>
      </c>
      <c r="L40" s="21" t="b">
        <f ca="1"/>
        <v>1</v>
      </c>
      <c r="M40" s="21" t="b">
        <f ca="1"/>
        <v>1</v>
      </c>
      <c r="N40" s="21" t="str">
        <f ca="1"/>
        <v>CABLE/NO ENCIENDE</v>
      </c>
      <c r="Q40" s="21">
        <f ca="1"/>
        <v>26</v>
      </c>
      <c r="R40" s="21" t="str">
        <f ca="1"/>
        <v>CABLE/NO ENCIENDE</v>
      </c>
      <c r="S40" s="21" t="str">
        <f ca="1"/>
        <v>El cable de corriente no permite el flujo del voltaje hasta el motor de aspiración (turbina), por esta razón no enciende.</v>
      </c>
    </row>
    <row r="41" spans="2:19" x14ac:dyDescent="0.2">
      <c r="B41" s="31" t="str" cm="1">
        <f t="array" aca="1" ref="B41" ca="1">IFERROR(_xlfn._xlws.FILTER(INDIRECT(C$6),INDIRECT(C$4)=C41,""),"")</f>
        <v/>
      </c>
      <c r="C41" s="31"/>
      <c r="D41" s="39"/>
      <c r="E41" s="40" t="str">
        <f t="shared" ca="1" si="0"/>
        <v/>
      </c>
      <c r="F41" s="39"/>
      <c r="G41" s="39"/>
      <c r="H41" s="31"/>
      <c r="K41" s="21" t="b">
        <f ca="1"/>
        <v>1</v>
      </c>
      <c r="L41" s="21" t="b">
        <f ca="1"/>
        <v>1</v>
      </c>
      <c r="M41" s="21" t="b">
        <f ca="1"/>
        <v>1</v>
      </c>
      <c r="N41" s="21" t="str">
        <f ca="1"/>
        <v>INTERRUPTOR/DAÑADO</v>
      </c>
      <c r="Q41" s="21">
        <f ca="1"/>
        <v>27</v>
      </c>
      <c r="R41" s="21" t="str">
        <f ca="1"/>
        <v>INTERRUPTOR/DAÑADO</v>
      </c>
      <c r="S41" s="21" t="str">
        <f ca="1"/>
        <v>Interruptor de encendido en corto circuito. No permite el encendido del equipo.</v>
      </c>
    </row>
    <row r="42" spans="2:19" x14ac:dyDescent="0.2">
      <c r="B42" s="31" t="str" cm="1">
        <f t="array" aca="1" ref="B42" ca="1">IFERROR(_xlfn._xlws.FILTER(INDIRECT(C$6),INDIRECT(C$4)=C42,""),"")</f>
        <v/>
      </c>
      <c r="C42" s="31"/>
      <c r="D42" s="39"/>
      <c r="E42" s="40" t="str">
        <f t="shared" ca="1" si="0"/>
        <v/>
      </c>
      <c r="F42" s="39"/>
      <c r="G42" s="39"/>
      <c r="H42" s="31"/>
      <c r="K42" s="21" t="b">
        <f ca="1"/>
        <v>1</v>
      </c>
      <c r="L42" s="21" t="b">
        <f ca="1"/>
        <v>1</v>
      </c>
      <c r="M42" s="21" t="b">
        <f ca="1"/>
        <v>1</v>
      </c>
      <c r="N42" s="21" t="str">
        <f ca="1"/>
        <v>INTERRUPTOR/RECALENTADO</v>
      </c>
      <c r="Q42" s="21">
        <f ca="1"/>
        <v>28</v>
      </c>
      <c r="R42" s="21" t="str">
        <f ca="1"/>
        <v>INTERRUPTOR/RECALENTADO</v>
      </c>
      <c r="S42" s="21" t="str">
        <f ca="1"/>
        <v>Interruptor de encendido con contactos recalentados.</v>
      </c>
    </row>
    <row r="43" spans="2:19" x14ac:dyDescent="0.2">
      <c r="B43" s="31" t="str" cm="1">
        <f t="array" aca="1" ref="B43" ca="1">IFERROR(_xlfn._xlws.FILTER(INDIRECT(C$6),INDIRECT(C$4)=C43,""),"")</f>
        <v/>
      </c>
      <c r="C43" s="31"/>
      <c r="D43" s="39"/>
      <c r="E43" s="40" t="str">
        <f t="shared" ca="1" si="0"/>
        <v/>
      </c>
      <c r="F43" s="39"/>
      <c r="G43" s="39"/>
      <c r="H43" s="31"/>
      <c r="K43" s="21" t="b">
        <f ca="1"/>
        <v>1</v>
      </c>
      <c r="L43" s="21" t="b">
        <f ca="1"/>
        <v>1</v>
      </c>
      <c r="M43" s="21" t="b">
        <f ca="1"/>
        <v>1</v>
      </c>
      <c r="N43" s="21" t="str">
        <f ca="1"/>
        <v>TARJETA/CORTO CIRCUITO</v>
      </c>
      <c r="Q43" s="21">
        <f ca="1"/>
        <v>29</v>
      </c>
      <c r="R43" s="21" t="str">
        <f ca="1"/>
        <v>TARJETA/CORTO CIRCUITO</v>
      </c>
      <c r="S43" s="21" t="str">
        <f ca="1"/>
        <v>Tarjeta electrónica dañada, sin paso de corriente.</v>
      </c>
    </row>
    <row r="44" spans="2:19" x14ac:dyDescent="0.2">
      <c r="B44" s="31" t="str" cm="1">
        <f t="array" aca="1" ref="B44" ca="1">IFERROR(_xlfn._xlws.FILTER(INDIRECT(C$6),INDIRECT(C$4)=C44,""),"")</f>
        <v/>
      </c>
      <c r="C44" s="31"/>
      <c r="D44" s="39"/>
      <c r="E44" s="40" t="str">
        <f t="shared" ca="1" si="0"/>
        <v/>
      </c>
      <c r="F44" s="39"/>
      <c r="G44" s="39"/>
      <c r="H44" s="31"/>
      <c r="K44" s="21" t="b">
        <f ca="1"/>
        <v>1</v>
      </c>
      <c r="L44" s="21" t="b">
        <f ca="1"/>
        <v>1</v>
      </c>
      <c r="M44" s="21" t="b">
        <f ca="1"/>
        <v>1</v>
      </c>
      <c r="N44" s="21" t="str">
        <f ca="1"/>
        <v>TARJETA/HUMEDAD</v>
      </c>
      <c r="Q44" s="21">
        <f ca="1"/>
        <v>30</v>
      </c>
      <c r="R44" s="21" t="str">
        <f ca="1"/>
        <v>TARJETA/HUMEDAD</v>
      </c>
      <c r="S44" s="21" t="str">
        <f ca="1"/>
        <v>Tarjeta electrónica dañada por humedad (agua)</v>
      </c>
    </row>
    <row r="45" spans="2:19" x14ac:dyDescent="0.2">
      <c r="B45" s="31" t="str" cm="1">
        <f t="array" aca="1" ref="B45" ca="1">IFERROR(_xlfn._xlws.FILTER(INDIRECT(C$6),INDIRECT(C$4)=C45,""),"")</f>
        <v/>
      </c>
      <c r="C45" s="31"/>
      <c r="D45" s="39"/>
      <c r="E45" s="40" t="str">
        <f t="shared" ca="1" si="0"/>
        <v/>
      </c>
      <c r="F45" s="39"/>
      <c r="G45" s="39"/>
      <c r="H45" s="31"/>
      <c r="K45" s="21" t="b">
        <f ca="1"/>
        <v>1</v>
      </c>
      <c r="L45" s="21" t="b">
        <f ca="1"/>
        <v>1</v>
      </c>
      <c r="M45" s="21" t="b">
        <f ca="1"/>
        <v>1</v>
      </c>
      <c r="N45" s="21" t="str">
        <f ca="1"/>
        <v>RUEDA/DESGASTADA</v>
      </c>
      <c r="Q45" s="21">
        <f ca="1"/>
        <v>31</v>
      </c>
      <c r="R45" s="21" t="str">
        <f ca="1"/>
        <v>RUEDA/DESGASTADA</v>
      </c>
      <c r="S45" s="21" t="str">
        <f ca="1"/>
        <v>Rueda desgastada</v>
      </c>
    </row>
    <row r="46" spans="2:19" x14ac:dyDescent="0.2">
      <c r="B46" s="31" t="str" cm="1">
        <f t="array" aca="1" ref="B46" ca="1">IFERROR(_xlfn._xlws.FILTER(INDIRECT(C$6),INDIRECT(C$4)=C46,""),"")</f>
        <v/>
      </c>
      <c r="C46" s="31"/>
      <c r="D46" s="39"/>
      <c r="E46" s="40" t="str">
        <f t="shared" ca="1" si="0"/>
        <v/>
      </c>
      <c r="F46" s="39"/>
      <c r="G46" s="39"/>
      <c r="H46" s="31"/>
      <c r="K46" s="21" t="b">
        <f ca="1"/>
        <v>1</v>
      </c>
      <c r="L46" s="21" t="b">
        <f ca="1"/>
        <v>1</v>
      </c>
      <c r="M46" s="21" t="b">
        <f ca="1"/>
        <v>1</v>
      </c>
      <c r="N46" s="21" t="str">
        <f ca="1"/>
        <v>RUEDA/QUEBRADA</v>
      </c>
      <c r="Q46" s="21">
        <f ca="1"/>
        <v>32</v>
      </c>
      <c r="R46" s="21" t="str">
        <f ca="1"/>
        <v>RUEDA/QUEBRADA</v>
      </c>
      <c r="S46" s="21" t="str">
        <f ca="1"/>
        <v>Rueda quebrada</v>
      </c>
    </row>
    <row r="47" spans="2:19" x14ac:dyDescent="0.2">
      <c r="B47" s="31" t="str" cm="1">
        <f t="array" aca="1" ref="B47" ca="1">IFERROR(_xlfn._xlws.FILTER(INDIRECT(C$6),INDIRECT(C$4)=C47,""),"")</f>
        <v/>
      </c>
      <c r="C47" s="31"/>
      <c r="D47" s="39"/>
      <c r="E47" s="40" t="str">
        <f t="shared" ref="E47:E78" ca="1" si="1">IFERROR(VLOOKUP(B47,Ubicaciones,4,0),"")</f>
        <v/>
      </c>
      <c r="F47" s="39"/>
      <c r="G47" s="39"/>
      <c r="H47" s="31"/>
      <c r="K47" s="21" t="b">
        <f ca="1"/>
        <v>1</v>
      </c>
      <c r="L47" s="21" t="b">
        <f ca="1"/>
        <v>1</v>
      </c>
      <c r="M47" s="21" t="b">
        <f ca="1"/>
        <v>1</v>
      </c>
      <c r="N47" s="21" t="str">
        <f ca="1"/>
        <v>ESTRIBO/QUEBRADO</v>
      </c>
      <c r="Q47" s="21">
        <f ca="1"/>
        <v>33</v>
      </c>
      <c r="R47" s="21" t="str">
        <f ca="1"/>
        <v>ESTRIBO/QUEBRADO</v>
      </c>
      <c r="S47" s="21" t="str">
        <f ca="1"/>
        <v>Estribo protector (bumper) quebrado</v>
      </c>
    </row>
    <row r="48" spans="2:19" x14ac:dyDescent="0.2">
      <c r="B48" s="31" t="str" cm="1">
        <f t="array" aca="1" ref="B48" ca="1">IFERROR(_xlfn._xlws.FILTER(INDIRECT(C$6),INDIRECT(C$4)=C48,""),"")</f>
        <v/>
      </c>
      <c r="C48" s="31"/>
      <c r="D48" s="39"/>
      <c r="E48" s="40" t="str">
        <f t="shared" ca="1" si="1"/>
        <v/>
      </c>
      <c r="F48" s="39"/>
      <c r="G48" s="39"/>
      <c r="H48" s="31"/>
      <c r="K48" s="21" t="b">
        <f ca="1"/>
        <v>1</v>
      </c>
      <c r="L48" s="21" t="b">
        <f ca="1"/>
        <v>1</v>
      </c>
      <c r="M48" s="21" t="b">
        <f ca="1"/>
        <v>1</v>
      </c>
      <c r="N48" s="21" t="str">
        <f ca="1"/>
        <v>TANQUE/QUEBRADO</v>
      </c>
      <c r="Q48" s="21">
        <f ca="1"/>
        <v>34</v>
      </c>
      <c r="R48" s="21" t="str">
        <f ca="1"/>
        <v>TANQUE/QUEBRADO</v>
      </c>
      <c r="S48" s="21" t="str">
        <f ca="1"/>
        <v>Tanque de suciedad se encuentra quebrado</v>
      </c>
    </row>
    <row r="49" spans="2:19" x14ac:dyDescent="0.2">
      <c r="B49" s="31" t="str" cm="1">
        <f t="array" aca="1" ref="B49" ca="1">IFERROR(_xlfn._xlws.FILTER(INDIRECT(C$6),INDIRECT(C$4)=C49,""),"")</f>
        <v/>
      </c>
      <c r="C49" s="31"/>
      <c r="D49" s="39"/>
      <c r="E49" s="40" t="str">
        <f t="shared" ca="1" si="1"/>
        <v/>
      </c>
      <c r="F49" s="39"/>
      <c r="G49" s="39"/>
      <c r="H49" s="31"/>
      <c r="K49" s="21" t="b">
        <f ca="1"/>
        <v>1</v>
      </c>
      <c r="L49" s="21" t="b">
        <f ca="1"/>
        <v>1</v>
      </c>
      <c r="M49" s="21" t="b">
        <f ca="1"/>
        <v>1</v>
      </c>
      <c r="N49" s="21" t="str">
        <f ca="1"/>
        <v>ENROLLADOR/RESORTE DAÑADO</v>
      </c>
      <c r="Q49" s="21">
        <f ca="1"/>
        <v>35</v>
      </c>
      <c r="R49" s="21" t="str">
        <f ca="1"/>
        <v>ENROLLADOR/RESORTE DAÑADO</v>
      </c>
      <c r="S49" s="21" t="str">
        <f ca="1"/>
        <v>Enrollador de cable automático dañado</v>
      </c>
    </row>
    <row r="50" spans="2:19" x14ac:dyDescent="0.2">
      <c r="B50" s="31" t="str" cm="1">
        <f t="array" aca="1" ref="B50" ca="1">IFERROR(_xlfn._xlws.FILTER(INDIRECT(C$6),INDIRECT(C$4)=C50,""),"")</f>
        <v/>
      </c>
      <c r="C50" s="31"/>
      <c r="D50" s="39"/>
      <c r="E50" s="40" t="str">
        <f t="shared" ca="1" si="1"/>
        <v/>
      </c>
      <c r="F50" s="39"/>
      <c r="G50" s="39"/>
      <c r="H50" s="31"/>
      <c r="K50" s="21" t="b">
        <f ca="1"/>
        <v>1</v>
      </c>
      <c r="L50" s="21" t="b">
        <f ca="1"/>
        <v>1</v>
      </c>
      <c r="M50" s="21" t="b">
        <f ca="1"/>
        <v>1</v>
      </c>
      <c r="N50" s="21" t="str">
        <f ca="1"/>
        <v>ENCHUFE DAÑADO</v>
      </c>
      <c r="Q50" s="21">
        <f ca="1"/>
        <v>36</v>
      </c>
      <c r="R50" s="21" t="str">
        <f ca="1"/>
        <v>ENCHUFE DAÑADO</v>
      </c>
      <c r="S50" s="21" t="str">
        <f ca="1"/>
        <v>Enchufe eléctrico dañado</v>
      </c>
    </row>
    <row r="51" spans="2:19" x14ac:dyDescent="0.2">
      <c r="B51" s="31" t="str" cm="1">
        <f t="array" aca="1" ref="B51" ca="1">IFERROR(_xlfn._xlws.FILTER(INDIRECT(C$6),INDIRECT(C$4)=C51,""),"")</f>
        <v/>
      </c>
      <c r="C51" s="31"/>
      <c r="D51" s="39"/>
      <c r="E51" s="40" t="str">
        <f t="shared" ca="1" si="1"/>
        <v/>
      </c>
      <c r="F51" s="39"/>
      <c r="G51" s="39"/>
      <c r="H51" s="31"/>
      <c r="K51" s="21" t="b">
        <f ca="1"/>
        <v>1</v>
      </c>
      <c r="L51" s="21" t="b">
        <f ca="1"/>
        <v>1</v>
      </c>
      <c r="M51" s="21" t="b">
        <f ca="1"/>
        <v>1</v>
      </c>
      <c r="N51" s="21" t="str">
        <f ca="1"/>
        <v>ENCHUFE/FALTA TIERRA</v>
      </c>
      <c r="Q51" s="21">
        <f ca="1"/>
        <v>37</v>
      </c>
      <c r="R51" s="21" t="str">
        <f ca="1"/>
        <v>ENCHUFE/FALTA TIERRA</v>
      </c>
      <c r="S51" s="21" t="str">
        <f ca="1"/>
        <v>A el enchufe le falta la terminal de tierra</v>
      </c>
    </row>
    <row r="52" spans="2:19" x14ac:dyDescent="0.2">
      <c r="B52" s="31" t="str" cm="1">
        <f t="array" aca="1" ref="B52" ca="1">IFERROR(_xlfn._xlws.FILTER(INDIRECT(C$6),INDIRECT(C$4)=C52,""),"")</f>
        <v/>
      </c>
      <c r="C52" s="31"/>
      <c r="D52" s="39"/>
      <c r="E52" s="40" t="str">
        <f t="shared" ca="1" si="1"/>
        <v/>
      </c>
      <c r="F52" s="39"/>
      <c r="G52" s="39"/>
      <c r="H52" s="31"/>
      <c r="K52" s="21" t="b">
        <f ca="1"/>
        <v>1</v>
      </c>
      <c r="L52" s="21" t="b">
        <f ca="1"/>
        <v>1</v>
      </c>
      <c r="M52" s="21" t="b">
        <f ca="1"/>
        <v>1</v>
      </c>
      <c r="N52" s="21" t="str">
        <f ca="1"/>
        <v>ENCHUFE/RECALENTADO</v>
      </c>
      <c r="Q52" s="21">
        <f ca="1"/>
        <v>38</v>
      </c>
      <c r="R52" s="21" t="str">
        <f ca="1"/>
        <v>ENCHUFE/RECALENTADO</v>
      </c>
      <c r="S52" s="21" t="str">
        <f ca="1"/>
        <v>El enchufe tiene recalentados los contactos</v>
      </c>
    </row>
    <row r="53" spans="2:19" x14ac:dyDescent="0.2">
      <c r="B53" s="31" t="str" cm="1">
        <f t="array" aca="1" ref="B53" ca="1">IFERROR(_xlfn._xlws.FILTER(INDIRECT(C$6),INDIRECT(C$4)=C53,""),"")</f>
        <v/>
      </c>
      <c r="C53" s="31"/>
      <c r="D53" s="39"/>
      <c r="E53" s="40" t="str">
        <f t="shared" ca="1" si="1"/>
        <v/>
      </c>
      <c r="F53" s="39"/>
      <c r="G53" s="39"/>
      <c r="H53" s="31"/>
      <c r="K53" s="21" t="b">
        <f ca="1"/>
        <v>1</v>
      </c>
      <c r="L53" s="21" t="b">
        <f ca="1"/>
        <v>1</v>
      </c>
      <c r="M53" s="21" t="b">
        <f ca="1"/>
        <v>1</v>
      </c>
      <c r="N53" s="21" t="str">
        <f ca="1"/>
        <v>BOQUILLA RANURAS/DESGASTE</v>
      </c>
      <c r="Q53" s="21">
        <f ca="1"/>
        <v>39</v>
      </c>
      <c r="R53" s="21" t="str">
        <f ca="1"/>
        <v>BOQUILLA RANURAS/DESGASTE</v>
      </c>
      <c r="S53" s="21" t="str">
        <f ca="1"/>
        <v>Boquilla de ranuras alcanzó su vida útil</v>
      </c>
    </row>
    <row r="54" spans="2:19" x14ac:dyDescent="0.2">
      <c r="B54" s="31" t="str" cm="1">
        <f t="array" aca="1" ref="B54" ca="1">IFERROR(_xlfn._xlws.FILTER(INDIRECT(C$6),INDIRECT(C$4)=C54,""),"")</f>
        <v/>
      </c>
      <c r="C54" s="31"/>
      <c r="D54" s="39"/>
      <c r="E54" s="40" t="str">
        <f t="shared" ca="1" si="1"/>
        <v/>
      </c>
      <c r="F54" s="39"/>
      <c r="G54" s="39"/>
      <c r="H54" s="31"/>
      <c r="K54" s="21" t="b">
        <f ca="1"/>
        <v>1</v>
      </c>
      <c r="L54" s="21" t="b">
        <f ca="1"/>
        <v>1</v>
      </c>
      <c r="M54" s="21" t="b">
        <f ca="1"/>
        <v>1</v>
      </c>
      <c r="N54" s="21" t="str">
        <f ca="1"/>
        <v>BOQUILLA RANURAS/QUEBRADA</v>
      </c>
      <c r="Q54" s="21">
        <f ca="1"/>
        <v>40</v>
      </c>
      <c r="R54" s="21" t="str">
        <f ca="1"/>
        <v>BOQUILLA RANURAS/QUEBRADA</v>
      </c>
      <c r="S54" s="21" t="str">
        <f ca="1"/>
        <v>Boquilla de ranuras está quebrada</v>
      </c>
    </row>
    <row r="55" spans="2:19" x14ac:dyDescent="0.2">
      <c r="B55" s="31" t="str" cm="1">
        <f t="array" aca="1" ref="B55" ca="1">IFERROR(_xlfn._xlws.FILTER(INDIRECT(C$6),INDIRECT(C$4)=C55,""),"")</f>
        <v/>
      </c>
      <c r="C55" s="31"/>
      <c r="D55" s="39"/>
      <c r="E55" s="40" t="str">
        <f t="shared" ca="1" si="1"/>
        <v/>
      </c>
      <c r="F55" s="39"/>
      <c r="G55" s="39"/>
      <c r="H55" s="31"/>
      <c r="K55" s="21" t="b">
        <f ca="1"/>
        <v>1</v>
      </c>
      <c r="L55" s="21" t="b">
        <f ca="1"/>
        <v>1</v>
      </c>
      <c r="M55" s="21" t="b">
        <f ca="1"/>
        <v>1</v>
      </c>
      <c r="N55" s="21" t="str">
        <f ca="1"/>
        <v>BOQUILLA PISOS/DESGATE</v>
      </c>
      <c r="Q55" s="21">
        <f ca="1"/>
        <v>41</v>
      </c>
      <c r="R55" s="21" t="str">
        <f ca="1"/>
        <v>BOQUILLA PISOS/DESGATE</v>
      </c>
      <c r="S55" s="21" t="str">
        <f ca="1"/>
        <v>Boquilla de pisos alcanzó su vida útil</v>
      </c>
    </row>
    <row r="56" spans="2:19" x14ac:dyDescent="0.2">
      <c r="B56" s="31" t="str" cm="1">
        <f t="array" aca="1" ref="B56" ca="1">IFERROR(_xlfn._xlws.FILTER(INDIRECT(C$6),INDIRECT(C$4)=C56,""),"")</f>
        <v/>
      </c>
      <c r="C56" s="31"/>
      <c r="D56" s="39"/>
      <c r="E56" s="40" t="str">
        <f t="shared" ca="1" si="1"/>
        <v/>
      </c>
      <c r="F56" s="39"/>
      <c r="G56" s="39"/>
      <c r="H56" s="31"/>
      <c r="K56" s="21" t="b">
        <f ca="1"/>
        <v>1</v>
      </c>
      <c r="L56" s="21" t="b">
        <f ca="1"/>
        <v>1</v>
      </c>
      <c r="M56" s="21" t="b">
        <f ca="1"/>
        <v>1</v>
      </c>
      <c r="N56" s="21" t="str">
        <f ca="1"/>
        <v>BOQUILLA PISOS/QUEBRADA</v>
      </c>
      <c r="Q56" s="21">
        <f ca="1"/>
        <v>42</v>
      </c>
      <c r="R56" s="21" t="str">
        <f ca="1"/>
        <v>BOQUILLA PISOS/QUEBRADA</v>
      </c>
      <c r="S56" s="21" t="str">
        <f ca="1"/>
        <v>Boquilla de pisos está quebrada</v>
      </c>
    </row>
    <row r="57" spans="2:19" x14ac:dyDescent="0.2">
      <c r="B57" s="31" t="str" cm="1">
        <f t="array" aca="1" ref="B57" ca="1">IFERROR(_xlfn._xlws.FILTER(INDIRECT(C$6),INDIRECT(C$4)=C57,""),"")</f>
        <v/>
      </c>
      <c r="C57" s="31"/>
      <c r="D57" s="39"/>
      <c r="E57" s="40" t="str">
        <f t="shared" ca="1" si="1"/>
        <v/>
      </c>
      <c r="F57" s="39"/>
      <c r="G57" s="39"/>
      <c r="H57" s="31"/>
      <c r="K57" s="21" t="b">
        <f ca="1"/>
        <v>1</v>
      </c>
      <c r="L57" s="21" t="b">
        <f ca="1"/>
        <v>1</v>
      </c>
      <c r="M57" s="21" t="b">
        <f ca="1"/>
        <v>1</v>
      </c>
      <c r="N57" s="21" t="str">
        <f ca="1"/>
        <v>BOQUILLA/OBSTRUIDA</v>
      </c>
      <c r="Q57" s="21">
        <f ca="1"/>
        <v>43</v>
      </c>
      <c r="R57" s="21" t="str">
        <f ca="1"/>
        <v>BOQUILLA/OBSTRUIDA</v>
      </c>
      <c r="S57" s="21" t="str">
        <f ca="1"/>
        <v>Boquilla de pisos está obstruida, se limpió y funciona correctamente</v>
      </c>
    </row>
    <row r="58" spans="2:19" x14ac:dyDescent="0.2">
      <c r="B58" s="31" t="str" cm="1">
        <f t="array" aca="1" ref="B58" ca="1">IFERROR(_xlfn._xlws.FILTER(INDIRECT(C$6),INDIRECT(C$4)=C58,""),"")</f>
        <v/>
      </c>
      <c r="C58" s="31"/>
      <c r="D58" s="39"/>
      <c r="E58" s="40" t="str">
        <f t="shared" ca="1" si="1"/>
        <v/>
      </c>
      <c r="F58" s="39"/>
      <c r="G58" s="39"/>
      <c r="H58" s="31"/>
      <c r="K58" s="21" t="b">
        <f ca="1"/>
        <v>1</v>
      </c>
      <c r="L58" s="21" t="b">
        <f ca="1"/>
        <v>1</v>
      </c>
      <c r="M58" s="21" t="b">
        <f ca="1"/>
        <v>1</v>
      </c>
      <c r="N58" s="21" t="str">
        <f ca="1"/>
        <v>TUBO EXTENSION/FALTANTE</v>
      </c>
      <c r="Q58" s="21">
        <f ca="1"/>
        <v>44</v>
      </c>
      <c r="R58" s="21" t="str">
        <f ca="1"/>
        <v>TUBO EXTENSION/FALTANTE</v>
      </c>
      <c r="S58" s="21" t="str">
        <f ca="1"/>
        <v>Equipo no trae tubos de extensión</v>
      </c>
    </row>
    <row r="59" spans="2:19" x14ac:dyDescent="0.2">
      <c r="B59" s="31" t="str" cm="1">
        <f t="array" aca="1" ref="B59" ca="1">IFERROR(_xlfn._xlws.FILTER(INDIRECT(C$6),INDIRECT(C$4)=C59,""),"")</f>
        <v/>
      </c>
      <c r="C59" s="31"/>
      <c r="D59" s="39"/>
      <c r="E59" s="40" t="str">
        <f t="shared" ca="1" si="1"/>
        <v/>
      </c>
      <c r="F59" s="39"/>
      <c r="G59" s="39"/>
      <c r="H59" s="31"/>
      <c r="K59" s="21" t="b">
        <f ca="1"/>
        <v>1</v>
      </c>
      <c r="L59" s="21" t="b">
        <f ca="1"/>
        <v>1</v>
      </c>
      <c r="M59" s="21" t="b">
        <f ca="1"/>
        <v>1</v>
      </c>
      <c r="N59" s="21" t="str">
        <f ca="1"/>
        <v>TUBO EXTENSION/OBSTRUIDO</v>
      </c>
      <c r="Q59" s="21">
        <f ca="1"/>
        <v>45</v>
      </c>
      <c r="R59" s="21" t="str">
        <f ca="1"/>
        <v>TUBO EXTENSION/OBSTRUIDO</v>
      </c>
      <c r="S59" s="21" t="str">
        <f ca="1"/>
        <v>Tubo obstruido con basura, se limpió y funciona correctamente</v>
      </c>
    </row>
    <row r="60" spans="2:19" x14ac:dyDescent="0.2">
      <c r="B60" s="31" t="str" cm="1">
        <f t="array" aca="1" ref="B60" ca="1">IFERROR(_xlfn._xlws.FILTER(INDIRECT(C$6),INDIRECT(C$4)=C60,""),"")</f>
        <v/>
      </c>
      <c r="C60" s="31"/>
      <c r="D60" s="39"/>
      <c r="E60" s="40" t="str">
        <f t="shared" ca="1" si="1"/>
        <v/>
      </c>
      <c r="F60" s="39"/>
      <c r="G60" s="39"/>
      <c r="H60" s="31"/>
      <c r="K60" s="21" t="b">
        <f ca="1"/>
        <v>1</v>
      </c>
      <c r="L60" s="21" t="b">
        <f ca="1"/>
        <v>1</v>
      </c>
      <c r="M60" s="21" t="b">
        <f ca="1"/>
        <v>1</v>
      </c>
      <c r="N60" s="21" t="str">
        <f ca="1"/>
        <v>CODO MANGUERA/DESGASTE</v>
      </c>
      <c r="Q60" s="21">
        <f ca="1"/>
        <v>46</v>
      </c>
      <c r="R60" s="21" t="str">
        <f ca="1"/>
        <v>CODO MANGUERA/DESGASTE</v>
      </c>
      <c r="S60" s="21" t="str">
        <f ca="1"/>
        <v>Codo de unión entre manguera y tubos de aspiración presenta desgaste</v>
      </c>
    </row>
    <row r="61" spans="2:19" x14ac:dyDescent="0.2">
      <c r="B61" s="31" t="str" cm="1">
        <f t="array" aca="1" ref="B61" ca="1">IFERROR(_xlfn._xlws.FILTER(INDIRECT(C$6),INDIRECT(C$4)=C61,""),"")</f>
        <v/>
      </c>
      <c r="C61" s="31"/>
      <c r="D61" s="39"/>
      <c r="E61" s="40" t="str">
        <f t="shared" ca="1" si="1"/>
        <v/>
      </c>
      <c r="F61" s="39"/>
      <c r="G61" s="39"/>
      <c r="H61" s="31"/>
      <c r="K61" s="21" t="b">
        <f ca="1"/>
        <v>1</v>
      </c>
      <c r="L61" s="21" t="b">
        <f ca="1"/>
        <v>1</v>
      </c>
      <c r="M61" s="21" t="b">
        <f ca="1"/>
        <v>1</v>
      </c>
      <c r="N61" s="21" t="str">
        <f ca="1"/>
        <v>CODO MANGUERA/QUEBRADO</v>
      </c>
      <c r="Q61" s="21">
        <f ca="1"/>
        <v>47</v>
      </c>
      <c r="R61" s="21" t="str">
        <f ca="1"/>
        <v>CODO MANGUERA/QUEBRADO</v>
      </c>
      <c r="S61" s="21" t="str">
        <f ca="1"/>
        <v>Codo de unión entre manguera y tubos de aspiración quebrado</v>
      </c>
    </row>
    <row r="62" spans="2:19" x14ac:dyDescent="0.2">
      <c r="B62" s="31" t="str" cm="1">
        <f t="array" aca="1" ref="B62" ca="1">IFERROR(_xlfn._xlws.FILTER(INDIRECT(C$6),INDIRECT(C$4)=C62,""),"")</f>
        <v/>
      </c>
      <c r="C62" s="31"/>
      <c r="D62" s="39"/>
      <c r="E62" s="40" t="str">
        <f t="shared" ca="1" si="1"/>
        <v/>
      </c>
      <c r="F62" s="39"/>
      <c r="G62" s="39"/>
      <c r="H62" s="31"/>
      <c r="K62" s="21" t="b">
        <f ca="1"/>
        <v>1</v>
      </c>
      <c r="L62" s="21" t="b">
        <f ca="1"/>
        <v>1</v>
      </c>
      <c r="M62" s="21" t="b">
        <f ca="1"/>
        <v>1</v>
      </c>
      <c r="N62" s="21" t="str">
        <f ca="1"/>
        <v>PALPADOR</v>
      </c>
      <c r="Q62" s="21">
        <f ca="1"/>
        <v>48</v>
      </c>
      <c r="R62" s="21" t="str">
        <f ca="1"/>
        <v>PALPADOR</v>
      </c>
      <c r="S62" s="21" t="str">
        <f ca="1"/>
        <v>El palpador no está limpiando el filtro</v>
      </c>
    </row>
    <row r="63" spans="2:19" x14ac:dyDescent="0.2">
      <c r="B63" s="31" t="str" cm="1">
        <f t="array" aca="1" ref="B63" ca="1">IFERROR(_xlfn._xlws.FILTER(INDIRECT(C$6),INDIRECT(C$4)=C63,""),"")</f>
        <v/>
      </c>
      <c r="C63" s="31"/>
      <c r="D63" s="39"/>
      <c r="E63" s="40" t="str">
        <f t="shared" ca="1" si="1"/>
        <v/>
      </c>
      <c r="F63" s="39"/>
      <c r="G63" s="39"/>
      <c r="H63" s="31"/>
    </row>
    <row r="64" spans="2:19" x14ac:dyDescent="0.2">
      <c r="B64" s="31" t="str" cm="1">
        <f t="array" aca="1" ref="B64" ca="1">IFERROR(_xlfn._xlws.FILTER(INDIRECT(C$6),INDIRECT(C$4)=C64,""),"")</f>
        <v/>
      </c>
      <c r="C64" s="31"/>
      <c r="D64" s="39"/>
      <c r="E64" s="40" t="str">
        <f t="shared" ca="1" si="1"/>
        <v/>
      </c>
      <c r="F64" s="39"/>
      <c r="G64" s="39"/>
      <c r="H64" s="31"/>
    </row>
    <row r="65" spans="2:8" x14ac:dyDescent="0.2">
      <c r="B65" s="31" t="str" cm="1">
        <f t="array" aca="1" ref="B65" ca="1">IFERROR(_xlfn._xlws.FILTER(INDIRECT(C$6),INDIRECT(C$4)=C65,""),"")</f>
        <v/>
      </c>
      <c r="C65" s="31"/>
      <c r="D65" s="39"/>
      <c r="E65" s="40" t="str">
        <f t="shared" ca="1" si="1"/>
        <v/>
      </c>
      <c r="F65" s="39"/>
      <c r="G65" s="39"/>
      <c r="H65" s="31"/>
    </row>
    <row r="66" spans="2:8" x14ac:dyDescent="0.2">
      <c r="B66" s="31" t="str" cm="1">
        <f t="array" aca="1" ref="B66" ca="1">IFERROR(_xlfn._xlws.FILTER(INDIRECT(C$6),INDIRECT(C$4)=C66,""),"")</f>
        <v/>
      </c>
      <c r="C66" s="31"/>
      <c r="D66" s="39"/>
      <c r="E66" s="40" t="str">
        <f t="shared" ca="1" si="1"/>
        <v/>
      </c>
      <c r="F66" s="39"/>
      <c r="G66" s="39"/>
      <c r="H66" s="31"/>
    </row>
    <row r="67" spans="2:8" x14ac:dyDescent="0.2">
      <c r="B67" s="31" t="str" cm="1">
        <f t="array" aca="1" ref="B67" ca="1">IFERROR(_xlfn._xlws.FILTER(INDIRECT(C$6),INDIRECT(C$4)=C67,""),"")</f>
        <v/>
      </c>
      <c r="C67" s="31"/>
      <c r="D67" s="39"/>
      <c r="E67" s="40" t="str">
        <f t="shared" ca="1" si="1"/>
        <v/>
      </c>
      <c r="F67" s="39"/>
      <c r="G67" s="39"/>
      <c r="H67" s="31"/>
    </row>
    <row r="68" spans="2:8" x14ac:dyDescent="0.2">
      <c r="B68" s="31" t="str" cm="1">
        <f t="array" aca="1" ref="B68" ca="1">IFERROR(_xlfn._xlws.FILTER(INDIRECT(C$6),INDIRECT(C$4)=C68,""),"")</f>
        <v/>
      </c>
      <c r="C68" s="31"/>
      <c r="D68" s="39"/>
      <c r="E68" s="40" t="str">
        <f t="shared" ca="1" si="1"/>
        <v/>
      </c>
      <c r="F68" s="39"/>
      <c r="G68" s="39"/>
      <c r="H68" s="31"/>
    </row>
    <row r="69" spans="2:8" x14ac:dyDescent="0.2">
      <c r="B69" s="31" t="str" cm="1">
        <f t="array" aca="1" ref="B69" ca="1">IFERROR(_xlfn._xlws.FILTER(INDIRECT(C$6),INDIRECT(C$4)=C69,""),"")</f>
        <v/>
      </c>
      <c r="C69" s="31"/>
      <c r="D69" s="39"/>
      <c r="E69" s="40" t="str">
        <f t="shared" ca="1" si="1"/>
        <v/>
      </c>
      <c r="F69" s="39"/>
      <c r="G69" s="39"/>
      <c r="H69" s="31"/>
    </row>
    <row r="70" spans="2:8" x14ac:dyDescent="0.2">
      <c r="B70" s="31" t="str" cm="1">
        <f t="array" aca="1" ref="B70" ca="1">IFERROR(_xlfn._xlws.FILTER(INDIRECT(C$6),INDIRECT(C$4)=C70,""),"")</f>
        <v/>
      </c>
      <c r="C70" s="31"/>
      <c r="D70" s="39"/>
      <c r="E70" s="40" t="str">
        <f t="shared" ca="1" si="1"/>
        <v/>
      </c>
      <c r="F70" s="39"/>
      <c r="G70" s="39"/>
      <c r="H70" s="31"/>
    </row>
    <row r="71" spans="2:8" x14ac:dyDescent="0.2">
      <c r="B71" s="31" t="str" cm="1">
        <f t="array" aca="1" ref="B71" ca="1">IFERROR(_xlfn._xlws.FILTER(INDIRECT(C$6),INDIRECT(C$4)=C71,""),"")</f>
        <v/>
      </c>
      <c r="C71" s="31"/>
      <c r="D71" s="39"/>
      <c r="E71" s="40" t="str">
        <f t="shared" ca="1" si="1"/>
        <v/>
      </c>
      <c r="F71" s="39"/>
      <c r="G71" s="39"/>
      <c r="H71" s="31"/>
    </row>
    <row r="72" spans="2:8" x14ac:dyDescent="0.2">
      <c r="B72" s="31" t="str" cm="1">
        <f t="array" aca="1" ref="B72" ca="1">IFERROR(_xlfn._xlws.FILTER(INDIRECT(C$6),INDIRECT(C$4)=C72,""),"")</f>
        <v/>
      </c>
      <c r="C72" s="31"/>
      <c r="D72" s="39"/>
      <c r="E72" s="40" t="str">
        <f t="shared" ca="1" si="1"/>
        <v/>
      </c>
      <c r="F72" s="39"/>
      <c r="G72" s="39"/>
      <c r="H72" s="31"/>
    </row>
    <row r="73" spans="2:8" x14ac:dyDescent="0.2">
      <c r="B73" s="31" t="str" cm="1">
        <f t="array" aca="1" ref="B73" ca="1">IFERROR(_xlfn._xlws.FILTER(INDIRECT(C$6),INDIRECT(C$4)=C73,""),"")</f>
        <v/>
      </c>
      <c r="C73" s="31"/>
      <c r="D73" s="39"/>
      <c r="E73" s="40" t="str">
        <f t="shared" ca="1" si="1"/>
        <v/>
      </c>
      <c r="F73" s="39"/>
      <c r="G73" s="39"/>
      <c r="H73" s="31"/>
    </row>
    <row r="74" spans="2:8" x14ac:dyDescent="0.2">
      <c r="B74" s="31" t="str" cm="1">
        <f t="array" aca="1" ref="B74" ca="1">IFERROR(_xlfn._xlws.FILTER(INDIRECT(C$6),INDIRECT(C$4)=C74,""),"")</f>
        <v/>
      </c>
      <c r="C74" s="31"/>
      <c r="D74" s="39"/>
      <c r="E74" s="40" t="str">
        <f t="shared" ca="1" si="1"/>
        <v/>
      </c>
      <c r="F74" s="39"/>
      <c r="G74" s="39"/>
      <c r="H74" s="31"/>
    </row>
    <row r="75" spans="2:8" x14ac:dyDescent="0.2">
      <c r="B75" s="31" t="str" cm="1">
        <f t="array" aca="1" ref="B75" ca="1">IFERROR(_xlfn._xlws.FILTER(INDIRECT(C$6),INDIRECT(C$4)=C75,""),"")</f>
        <v/>
      </c>
      <c r="C75" s="31"/>
      <c r="D75" s="39"/>
      <c r="E75" s="40" t="str">
        <f t="shared" ca="1" si="1"/>
        <v/>
      </c>
      <c r="F75" s="39"/>
      <c r="G75" s="39"/>
      <c r="H75" s="31"/>
    </row>
    <row r="76" spans="2:8" x14ac:dyDescent="0.2">
      <c r="B76" s="31" t="str" cm="1">
        <f t="array" aca="1" ref="B76" ca="1">IFERROR(_xlfn._xlws.FILTER(INDIRECT(C$6),INDIRECT(C$4)=C76,""),"")</f>
        <v/>
      </c>
      <c r="C76" s="31"/>
      <c r="D76" s="39"/>
      <c r="E76" s="40" t="str">
        <f t="shared" ca="1" si="1"/>
        <v/>
      </c>
      <c r="F76" s="39"/>
      <c r="G76" s="39"/>
      <c r="H76" s="31"/>
    </row>
    <row r="77" spans="2:8" x14ac:dyDescent="0.2">
      <c r="B77" s="31" t="str" cm="1">
        <f t="array" aca="1" ref="B77" ca="1">IFERROR(_xlfn._xlws.FILTER(INDIRECT(C$6),INDIRECT(C$4)=C77,""),"")</f>
        <v/>
      </c>
      <c r="C77" s="31"/>
      <c r="D77" s="39"/>
      <c r="E77" s="40" t="str">
        <f t="shared" ca="1" si="1"/>
        <v/>
      </c>
      <c r="F77" s="39"/>
      <c r="G77" s="39"/>
      <c r="H77" s="31"/>
    </row>
    <row r="78" spans="2:8" x14ac:dyDescent="0.2">
      <c r="B78" s="31" t="str" cm="1">
        <f t="array" aca="1" ref="B78" ca="1">IFERROR(_xlfn._xlws.FILTER(INDIRECT(C$6),INDIRECT(C$4)=C78,""),"")</f>
        <v/>
      </c>
      <c r="C78" s="31"/>
      <c r="D78" s="39"/>
      <c r="E78" s="40" t="str">
        <f t="shared" ca="1" si="1"/>
        <v/>
      </c>
      <c r="F78" s="39"/>
      <c r="G78" s="39"/>
      <c r="H78" s="31"/>
    </row>
    <row r="79" spans="2:8" x14ac:dyDescent="0.2">
      <c r="B79" s="31" t="str" cm="1">
        <f t="array" aca="1" ref="B79" ca="1">IFERROR(_xlfn._xlws.FILTER(INDIRECT(C$6),INDIRECT(C$4)=C79,""),"")</f>
        <v/>
      </c>
      <c r="C79" s="31"/>
      <c r="D79" s="39"/>
      <c r="E79" s="40" t="str">
        <f t="shared" ref="E79:E110" ca="1" si="2">IFERROR(VLOOKUP(B79,Ubicaciones,4,0),"")</f>
        <v/>
      </c>
      <c r="F79" s="39"/>
      <c r="G79" s="39"/>
      <c r="H79" s="31"/>
    </row>
    <row r="80" spans="2:8" x14ac:dyDescent="0.2">
      <c r="B80" s="31" t="str" cm="1">
        <f t="array" aca="1" ref="B80" ca="1">IFERROR(_xlfn._xlws.FILTER(INDIRECT(C$6),INDIRECT(C$4)=C80,""),"")</f>
        <v/>
      </c>
      <c r="C80" s="31"/>
      <c r="D80" s="39"/>
      <c r="E80" s="40" t="str">
        <f t="shared" ca="1" si="2"/>
        <v/>
      </c>
      <c r="F80" s="39"/>
      <c r="G80" s="39"/>
      <c r="H80" s="31"/>
    </row>
    <row r="81" spans="2:8" x14ac:dyDescent="0.2">
      <c r="B81" s="31" t="str" cm="1">
        <f t="array" aca="1" ref="B81" ca="1">IFERROR(_xlfn._xlws.FILTER(INDIRECT(C$6),INDIRECT(C$4)=C81,""),"")</f>
        <v/>
      </c>
      <c r="C81" s="31"/>
      <c r="D81" s="39"/>
      <c r="E81" s="40" t="str">
        <f t="shared" ca="1" si="2"/>
        <v/>
      </c>
      <c r="F81" s="39"/>
      <c r="G81" s="39"/>
      <c r="H81" s="31"/>
    </row>
    <row r="82" spans="2:8" x14ac:dyDescent="0.2">
      <c r="B82" s="31" t="str" cm="1">
        <f t="array" aca="1" ref="B82" ca="1">IFERROR(_xlfn._xlws.FILTER(INDIRECT(C$6),INDIRECT(C$4)=C82,""),"")</f>
        <v/>
      </c>
      <c r="C82" s="31"/>
      <c r="D82" s="39"/>
      <c r="E82" s="40" t="str">
        <f t="shared" ca="1" si="2"/>
        <v/>
      </c>
      <c r="F82" s="39"/>
      <c r="G82" s="39"/>
      <c r="H82" s="31"/>
    </row>
    <row r="83" spans="2:8" x14ac:dyDescent="0.2">
      <c r="B83" s="31" t="str" cm="1">
        <f t="array" aca="1" ref="B83" ca="1">IFERROR(_xlfn._xlws.FILTER(INDIRECT(C$6),INDIRECT(C$4)=C83,""),"")</f>
        <v/>
      </c>
      <c r="C83" s="31"/>
      <c r="D83" s="39"/>
      <c r="E83" s="40" t="str">
        <f t="shared" ca="1" si="2"/>
        <v/>
      </c>
      <c r="F83" s="39"/>
      <c r="G83" s="39"/>
      <c r="H83" s="31"/>
    </row>
    <row r="84" spans="2:8" x14ac:dyDescent="0.2">
      <c r="B84" s="31" t="str" cm="1">
        <f t="array" aca="1" ref="B84" ca="1">IFERROR(_xlfn._xlws.FILTER(INDIRECT(C$6),INDIRECT(C$4)=C84,""),"")</f>
        <v/>
      </c>
      <c r="C84" s="31"/>
      <c r="D84" s="39"/>
      <c r="E84" s="40" t="str">
        <f t="shared" ca="1" si="2"/>
        <v/>
      </c>
      <c r="F84" s="39"/>
      <c r="G84" s="39"/>
      <c r="H84" s="31"/>
    </row>
    <row r="85" spans="2:8" x14ac:dyDescent="0.2">
      <c r="B85" s="31" t="str" cm="1">
        <f t="array" aca="1" ref="B85" ca="1">IFERROR(_xlfn._xlws.FILTER(INDIRECT(C$6),INDIRECT(C$4)=C85,""),"")</f>
        <v/>
      </c>
      <c r="C85" s="31"/>
      <c r="D85" s="39"/>
      <c r="E85" s="40" t="str">
        <f t="shared" ca="1" si="2"/>
        <v/>
      </c>
      <c r="F85" s="39"/>
      <c r="G85" s="39"/>
      <c r="H85" s="31"/>
    </row>
    <row r="86" spans="2:8" x14ac:dyDescent="0.2">
      <c r="B86" s="31" t="str" cm="1">
        <f t="array" aca="1" ref="B86" ca="1">IFERROR(_xlfn._xlws.FILTER(INDIRECT(C$6),INDIRECT(C$4)=C86,""),"")</f>
        <v/>
      </c>
      <c r="C86" s="31"/>
      <c r="D86" s="39"/>
      <c r="E86" s="40" t="str">
        <f t="shared" ca="1" si="2"/>
        <v/>
      </c>
      <c r="F86" s="39"/>
      <c r="G86" s="39"/>
      <c r="H86" s="31"/>
    </row>
    <row r="87" spans="2:8" x14ac:dyDescent="0.2">
      <c r="B87" s="31" t="str" cm="1">
        <f t="array" aca="1" ref="B87" ca="1">IFERROR(_xlfn._xlws.FILTER(INDIRECT(C$6),INDIRECT(C$4)=C87,""),"")</f>
        <v/>
      </c>
      <c r="C87" s="31"/>
      <c r="D87" s="39"/>
      <c r="E87" s="40" t="str">
        <f t="shared" ca="1" si="2"/>
        <v/>
      </c>
      <c r="F87" s="39"/>
      <c r="G87" s="39"/>
      <c r="H87" s="31"/>
    </row>
    <row r="88" spans="2:8" x14ac:dyDescent="0.2">
      <c r="B88" s="31" t="str" cm="1">
        <f t="array" aca="1" ref="B88" ca="1">IFERROR(_xlfn._xlws.FILTER(INDIRECT(C$6),INDIRECT(C$4)=C88,""),"")</f>
        <v/>
      </c>
      <c r="C88" s="31"/>
      <c r="D88" s="39"/>
      <c r="E88" s="40" t="str">
        <f t="shared" ca="1" si="2"/>
        <v/>
      </c>
      <c r="F88" s="39"/>
      <c r="G88" s="39"/>
      <c r="H88" s="31"/>
    </row>
    <row r="89" spans="2:8" x14ac:dyDescent="0.2">
      <c r="B89" s="31" t="str" cm="1">
        <f t="array" aca="1" ref="B89" ca="1">IFERROR(_xlfn._xlws.FILTER(INDIRECT(C$6),INDIRECT(C$4)=C89,""),"")</f>
        <v/>
      </c>
      <c r="C89" s="31"/>
      <c r="D89" s="39"/>
      <c r="E89" s="40" t="str">
        <f t="shared" ca="1" si="2"/>
        <v/>
      </c>
      <c r="F89" s="39"/>
      <c r="G89" s="39"/>
      <c r="H89" s="31"/>
    </row>
    <row r="90" spans="2:8" x14ac:dyDescent="0.2">
      <c r="B90" s="31" t="str" cm="1">
        <f t="array" aca="1" ref="B90" ca="1">IFERROR(_xlfn._xlws.FILTER(INDIRECT(C$6),INDIRECT(C$4)=C90,""),"")</f>
        <v/>
      </c>
      <c r="C90" s="31"/>
      <c r="D90" s="39"/>
      <c r="E90" s="40" t="str">
        <f t="shared" ca="1" si="2"/>
        <v/>
      </c>
      <c r="F90" s="39"/>
      <c r="G90" s="39"/>
      <c r="H90" s="31"/>
    </row>
    <row r="91" spans="2:8" x14ac:dyDescent="0.2">
      <c r="B91" s="31" t="str" cm="1">
        <f t="array" aca="1" ref="B91" ca="1">IFERROR(_xlfn._xlws.FILTER(INDIRECT(C$6),INDIRECT(C$4)=C91,""),"")</f>
        <v/>
      </c>
      <c r="C91" s="31"/>
      <c r="D91" s="39"/>
      <c r="E91" s="40" t="str">
        <f t="shared" ca="1" si="2"/>
        <v/>
      </c>
      <c r="F91" s="39"/>
      <c r="G91" s="39"/>
      <c r="H91" s="31"/>
    </row>
    <row r="92" spans="2:8" x14ac:dyDescent="0.2">
      <c r="B92" s="31" t="str" cm="1">
        <f t="array" aca="1" ref="B92" ca="1">IFERROR(_xlfn._xlws.FILTER(INDIRECT(C$6),INDIRECT(C$4)=C92,""),"")</f>
        <v/>
      </c>
      <c r="C92" s="31"/>
      <c r="D92" s="39"/>
      <c r="E92" s="40" t="str">
        <f t="shared" ca="1" si="2"/>
        <v/>
      </c>
      <c r="F92" s="39"/>
      <c r="G92" s="39"/>
      <c r="H92" s="31"/>
    </row>
    <row r="93" spans="2:8" x14ac:dyDescent="0.2">
      <c r="B93" s="31" t="str" cm="1">
        <f t="array" aca="1" ref="B93" ca="1">IFERROR(_xlfn._xlws.FILTER(INDIRECT(C$6),INDIRECT(C$4)=C93,""),"")</f>
        <v/>
      </c>
      <c r="C93" s="31"/>
      <c r="D93" s="39"/>
      <c r="E93" s="40" t="str">
        <f t="shared" ca="1" si="2"/>
        <v/>
      </c>
      <c r="F93" s="39"/>
      <c r="G93" s="39"/>
      <c r="H93" s="31"/>
    </row>
    <row r="94" spans="2:8" x14ac:dyDescent="0.2">
      <c r="B94" s="31" t="str" cm="1">
        <f t="array" aca="1" ref="B94" ca="1">IFERROR(_xlfn._xlws.FILTER(INDIRECT(C$6),INDIRECT(C$4)=C94,""),"")</f>
        <v/>
      </c>
      <c r="C94" s="31"/>
      <c r="D94" s="39"/>
      <c r="E94" s="40" t="str">
        <f t="shared" ca="1" si="2"/>
        <v/>
      </c>
      <c r="F94" s="39"/>
      <c r="G94" s="39"/>
      <c r="H94" s="31"/>
    </row>
    <row r="95" spans="2:8" x14ac:dyDescent="0.2">
      <c r="B95" s="31" t="str" cm="1">
        <f t="array" aca="1" ref="B95" ca="1">IFERROR(_xlfn._xlws.FILTER(INDIRECT(C$6),INDIRECT(C$4)=C95,""),"")</f>
        <v/>
      </c>
      <c r="C95" s="31"/>
      <c r="D95" s="39"/>
      <c r="E95" s="40" t="str">
        <f t="shared" ca="1" si="2"/>
        <v/>
      </c>
      <c r="F95" s="39"/>
      <c r="G95" s="39"/>
      <c r="H95" s="31"/>
    </row>
    <row r="96" spans="2:8" x14ac:dyDescent="0.2">
      <c r="B96" s="31" t="str" cm="1">
        <f t="array" aca="1" ref="B96" ca="1">IFERROR(_xlfn._xlws.FILTER(INDIRECT(C$6),INDIRECT(C$4)=C96,""),"")</f>
        <v/>
      </c>
      <c r="C96" s="31"/>
      <c r="D96" s="39"/>
      <c r="E96" s="40" t="str">
        <f t="shared" ca="1" si="2"/>
        <v/>
      </c>
      <c r="F96" s="39"/>
      <c r="G96" s="39"/>
      <c r="H96" s="31"/>
    </row>
    <row r="97" spans="2:8" x14ac:dyDescent="0.2">
      <c r="B97" s="31" t="str" cm="1">
        <f t="array" aca="1" ref="B97" ca="1">IFERROR(_xlfn._xlws.FILTER(INDIRECT(C$6),INDIRECT(C$4)=C97,""),"")</f>
        <v/>
      </c>
      <c r="C97" s="31"/>
      <c r="D97" s="39"/>
      <c r="E97" s="40" t="str">
        <f t="shared" ca="1" si="2"/>
        <v/>
      </c>
      <c r="F97" s="39"/>
      <c r="G97" s="39"/>
      <c r="H97" s="31"/>
    </row>
    <row r="98" spans="2:8" x14ac:dyDescent="0.2">
      <c r="B98" s="31" t="str" cm="1">
        <f t="array" aca="1" ref="B98" ca="1">IFERROR(_xlfn._xlws.FILTER(INDIRECT(C$6),INDIRECT(C$4)=C98,""),"")</f>
        <v/>
      </c>
      <c r="C98" s="31"/>
      <c r="D98" s="39"/>
      <c r="E98" s="40" t="str">
        <f t="shared" ca="1" si="2"/>
        <v/>
      </c>
      <c r="F98" s="39"/>
      <c r="G98" s="39"/>
      <c r="H98" s="31"/>
    </row>
    <row r="99" spans="2:8" x14ac:dyDescent="0.2">
      <c r="B99" s="31" t="str" cm="1">
        <f t="array" aca="1" ref="B99" ca="1">IFERROR(_xlfn._xlws.FILTER(INDIRECT(C$6),INDIRECT(C$4)=C99,""),"")</f>
        <v/>
      </c>
      <c r="C99" s="31"/>
      <c r="D99" s="39"/>
      <c r="E99" s="40" t="str">
        <f t="shared" ca="1" si="2"/>
        <v/>
      </c>
      <c r="F99" s="39"/>
      <c r="G99" s="39"/>
      <c r="H99" s="31"/>
    </row>
    <row r="100" spans="2:8" x14ac:dyDescent="0.2">
      <c r="B100" s="31" t="str" cm="1">
        <f t="array" aca="1" ref="B100" ca="1">IFERROR(_xlfn._xlws.FILTER(INDIRECT(C$6),INDIRECT(C$4)=C100,""),"")</f>
        <v/>
      </c>
      <c r="C100" s="31"/>
      <c r="D100" s="39"/>
      <c r="E100" s="40" t="str">
        <f t="shared" ca="1" si="2"/>
        <v/>
      </c>
      <c r="F100" s="39"/>
      <c r="G100" s="39"/>
      <c r="H100" s="31"/>
    </row>
    <row r="101" spans="2:8" x14ac:dyDescent="0.2">
      <c r="B101" s="31" t="str" cm="1">
        <f t="array" aca="1" ref="B101" ca="1">IFERROR(_xlfn._xlws.FILTER(INDIRECT(C$6),INDIRECT(C$4)=C101,""),"")</f>
        <v/>
      </c>
      <c r="C101" s="31"/>
      <c r="D101" s="39"/>
      <c r="E101" s="40" t="str">
        <f t="shared" ca="1" si="2"/>
        <v/>
      </c>
      <c r="F101" s="39"/>
      <c r="G101" s="39"/>
      <c r="H101" s="31"/>
    </row>
    <row r="102" spans="2:8" x14ac:dyDescent="0.2">
      <c r="B102" s="31" t="str" cm="1">
        <f t="array" aca="1" ref="B102" ca="1">IFERROR(_xlfn._xlws.FILTER(INDIRECT(C$6),INDIRECT(C$4)=C102,""),"")</f>
        <v/>
      </c>
      <c r="C102" s="31"/>
      <c r="D102" s="39"/>
      <c r="E102" s="40" t="str">
        <f t="shared" ca="1" si="2"/>
        <v/>
      </c>
      <c r="F102" s="39"/>
      <c r="G102" s="39"/>
      <c r="H102" s="31"/>
    </row>
    <row r="103" spans="2:8" x14ac:dyDescent="0.2">
      <c r="B103" s="31" t="str" cm="1">
        <f t="array" aca="1" ref="B103" ca="1">IFERROR(_xlfn._xlws.FILTER(INDIRECT(C$6),INDIRECT(C$4)=C103,""),"")</f>
        <v/>
      </c>
      <c r="C103" s="31"/>
      <c r="D103" s="39"/>
      <c r="E103" s="40" t="str">
        <f t="shared" ca="1" si="2"/>
        <v/>
      </c>
      <c r="F103" s="39"/>
      <c r="G103" s="39"/>
      <c r="H103" s="31"/>
    </row>
    <row r="104" spans="2:8" x14ac:dyDescent="0.2">
      <c r="B104" s="31" t="str" cm="1">
        <f t="array" aca="1" ref="B104" ca="1">IFERROR(_xlfn._xlws.FILTER(INDIRECT(C$6),INDIRECT(C$4)=C104,""),"")</f>
        <v/>
      </c>
      <c r="C104" s="31"/>
      <c r="D104" s="39"/>
      <c r="E104" s="40" t="str">
        <f t="shared" ca="1" si="2"/>
        <v/>
      </c>
      <c r="F104" s="39"/>
      <c r="G104" s="39"/>
      <c r="H104" s="31"/>
    </row>
    <row r="105" spans="2:8" x14ac:dyDescent="0.2">
      <c r="B105" s="31" t="str" cm="1">
        <f t="array" aca="1" ref="B105" ca="1">IFERROR(_xlfn._xlws.FILTER(INDIRECT(C$6),INDIRECT(C$4)=C105,""),"")</f>
        <v/>
      </c>
      <c r="C105" s="31"/>
      <c r="D105" s="39"/>
      <c r="E105" s="40" t="str">
        <f t="shared" ca="1" si="2"/>
        <v/>
      </c>
      <c r="F105" s="39"/>
      <c r="G105" s="39"/>
      <c r="H105" s="31"/>
    </row>
    <row r="106" spans="2:8" x14ac:dyDescent="0.2">
      <c r="B106" s="31" t="str" cm="1">
        <f t="array" aca="1" ref="B106" ca="1">IFERROR(_xlfn._xlws.FILTER(INDIRECT(C$6),INDIRECT(C$4)=C106,""),"")</f>
        <v/>
      </c>
      <c r="C106" s="31"/>
      <c r="D106" s="39"/>
      <c r="E106" s="40" t="str">
        <f t="shared" ca="1" si="2"/>
        <v/>
      </c>
      <c r="F106" s="39"/>
      <c r="G106" s="39"/>
      <c r="H106" s="31"/>
    </row>
    <row r="107" spans="2:8" x14ac:dyDescent="0.2">
      <c r="B107" s="31" t="str" cm="1">
        <f t="array" aca="1" ref="B107" ca="1">IFERROR(_xlfn._xlws.FILTER(INDIRECT(C$6),INDIRECT(C$4)=C107,""),"")</f>
        <v/>
      </c>
      <c r="C107" s="31"/>
      <c r="D107" s="39"/>
      <c r="E107" s="40" t="str">
        <f t="shared" ca="1" si="2"/>
        <v/>
      </c>
      <c r="F107" s="39"/>
      <c r="G107" s="39"/>
      <c r="H107" s="31"/>
    </row>
    <row r="108" spans="2:8" x14ac:dyDescent="0.2">
      <c r="B108" s="31" t="str" cm="1">
        <f t="array" aca="1" ref="B108" ca="1">IFERROR(_xlfn._xlws.FILTER(INDIRECT(C$6),INDIRECT(C$4)=C108,""),"")</f>
        <v/>
      </c>
      <c r="C108" s="31"/>
      <c r="D108" s="39"/>
      <c r="E108" s="40" t="str">
        <f t="shared" ca="1" si="2"/>
        <v/>
      </c>
      <c r="F108" s="39"/>
      <c r="G108" s="39"/>
      <c r="H108" s="31"/>
    </row>
    <row r="109" spans="2:8" x14ac:dyDescent="0.2">
      <c r="B109" s="31" t="str" cm="1">
        <f t="array" aca="1" ref="B109" ca="1">IFERROR(_xlfn._xlws.FILTER(INDIRECT(C$6),INDIRECT(C$4)=C109,""),"")</f>
        <v/>
      </c>
      <c r="C109" s="31"/>
      <c r="D109" s="39"/>
      <c r="E109" s="40" t="str">
        <f t="shared" ca="1" si="2"/>
        <v/>
      </c>
      <c r="F109" s="39"/>
      <c r="G109" s="39"/>
      <c r="H109" s="31"/>
    </row>
    <row r="110" spans="2:8" x14ac:dyDescent="0.2">
      <c r="B110" s="31" t="str" cm="1">
        <f t="array" aca="1" ref="B110" ca="1">IFERROR(_xlfn._xlws.FILTER(INDIRECT(C$6),INDIRECT(C$4)=C110,""),"")</f>
        <v/>
      </c>
      <c r="C110" s="31"/>
      <c r="D110" s="39"/>
      <c r="E110" s="40" t="str">
        <f t="shared" ca="1" si="2"/>
        <v/>
      </c>
      <c r="F110" s="39"/>
      <c r="G110" s="39"/>
      <c r="H110" s="31"/>
    </row>
    <row r="111" spans="2:8" x14ac:dyDescent="0.2">
      <c r="B111" s="31" t="str" cm="1">
        <f t="array" aca="1" ref="B111" ca="1">IFERROR(_xlfn._xlws.FILTER(INDIRECT(C$6),INDIRECT(C$4)=C111,""),"")</f>
        <v/>
      </c>
      <c r="C111" s="31"/>
      <c r="D111" s="39"/>
      <c r="E111" s="40" t="str">
        <f t="shared" ref="E111:E142" ca="1" si="3">IFERROR(VLOOKUP(B111,Ubicaciones,4,0),"")</f>
        <v/>
      </c>
      <c r="F111" s="39"/>
      <c r="G111" s="39"/>
      <c r="H111" s="31"/>
    </row>
    <row r="112" spans="2:8" x14ac:dyDescent="0.2">
      <c r="B112" s="31" t="str" cm="1">
        <f t="array" aca="1" ref="B112" ca="1">IFERROR(_xlfn._xlws.FILTER(INDIRECT(C$6),INDIRECT(C$4)=C112,""),"")</f>
        <v/>
      </c>
      <c r="C112" s="31"/>
      <c r="D112" s="39"/>
      <c r="E112" s="40" t="str">
        <f t="shared" ca="1" si="3"/>
        <v/>
      </c>
      <c r="F112" s="39"/>
      <c r="G112" s="39"/>
      <c r="H112" s="31"/>
    </row>
    <row r="113" spans="2:8" x14ac:dyDescent="0.2">
      <c r="B113" s="31" t="str" cm="1">
        <f t="array" aca="1" ref="B113" ca="1">IFERROR(_xlfn._xlws.FILTER(INDIRECT(C$6),INDIRECT(C$4)=C113,""),"")</f>
        <v/>
      </c>
      <c r="C113" s="31"/>
      <c r="D113" s="39"/>
      <c r="E113" s="40" t="str">
        <f t="shared" ca="1" si="3"/>
        <v/>
      </c>
      <c r="F113" s="39"/>
      <c r="G113" s="39"/>
      <c r="H113" s="31"/>
    </row>
    <row r="114" spans="2:8" x14ac:dyDescent="0.2">
      <c r="B114" s="31" t="str" cm="1">
        <f t="array" aca="1" ref="B114" ca="1">IFERROR(_xlfn._xlws.FILTER(INDIRECT(C$6),INDIRECT(C$4)=C114,""),"")</f>
        <v/>
      </c>
      <c r="C114" s="31"/>
      <c r="D114" s="39"/>
      <c r="E114" s="40" t="str">
        <f t="shared" ca="1" si="3"/>
        <v/>
      </c>
      <c r="F114" s="39"/>
      <c r="G114" s="39"/>
      <c r="H114" s="31"/>
    </row>
    <row r="115" spans="2:8" x14ac:dyDescent="0.2">
      <c r="B115" s="31" t="str" cm="1">
        <f t="array" aca="1" ref="B115" ca="1">IFERROR(_xlfn._xlws.FILTER(INDIRECT(C$6),INDIRECT(C$4)=C115,""),"")</f>
        <v/>
      </c>
      <c r="C115" s="31"/>
      <c r="D115" s="39"/>
      <c r="E115" s="40" t="str">
        <f t="shared" ca="1" si="3"/>
        <v/>
      </c>
      <c r="F115" s="39"/>
      <c r="G115" s="39"/>
      <c r="H115" s="31"/>
    </row>
    <row r="116" spans="2:8" x14ac:dyDescent="0.2">
      <c r="B116" s="31" t="str" cm="1">
        <f t="array" aca="1" ref="B116" ca="1">IFERROR(_xlfn._xlws.FILTER(INDIRECT(C$6),INDIRECT(C$4)=C116,""),"")</f>
        <v/>
      </c>
      <c r="C116" s="31"/>
      <c r="D116" s="39"/>
      <c r="E116" s="40" t="str">
        <f t="shared" ca="1" si="3"/>
        <v/>
      </c>
      <c r="F116" s="39"/>
      <c r="G116" s="39"/>
      <c r="H116" s="31"/>
    </row>
    <row r="117" spans="2:8" x14ac:dyDescent="0.2">
      <c r="B117" s="31" t="str" cm="1">
        <f t="array" aca="1" ref="B117" ca="1">IFERROR(_xlfn._xlws.FILTER(INDIRECT(C$6),INDIRECT(C$4)=C117,""),"")</f>
        <v/>
      </c>
      <c r="C117" s="31"/>
      <c r="D117" s="39"/>
      <c r="E117" s="40" t="str">
        <f t="shared" ca="1" si="3"/>
        <v/>
      </c>
      <c r="F117" s="39"/>
      <c r="G117" s="39"/>
      <c r="H117" s="31"/>
    </row>
    <row r="118" spans="2:8" x14ac:dyDescent="0.2">
      <c r="B118" s="31" t="str" cm="1">
        <f t="array" aca="1" ref="B118" ca="1">IFERROR(_xlfn._xlws.FILTER(INDIRECT(C$6),INDIRECT(C$4)=C118,""),"")</f>
        <v/>
      </c>
      <c r="C118" s="31"/>
      <c r="D118" s="39"/>
      <c r="E118" s="40" t="str">
        <f t="shared" ca="1" si="3"/>
        <v/>
      </c>
      <c r="F118" s="39"/>
      <c r="G118" s="39"/>
      <c r="H118" s="31"/>
    </row>
    <row r="119" spans="2:8" x14ac:dyDescent="0.2">
      <c r="B119" s="31" t="str" cm="1">
        <f t="array" aca="1" ref="B119" ca="1">IFERROR(_xlfn._xlws.FILTER(INDIRECT(C$6),INDIRECT(C$4)=C119,""),"")</f>
        <v/>
      </c>
      <c r="C119" s="31"/>
      <c r="D119" s="39"/>
      <c r="E119" s="40" t="str">
        <f t="shared" ca="1" si="3"/>
        <v/>
      </c>
      <c r="F119" s="39"/>
      <c r="G119" s="39"/>
      <c r="H119" s="31"/>
    </row>
    <row r="120" spans="2:8" x14ac:dyDescent="0.2">
      <c r="B120" s="31" t="str" cm="1">
        <f t="array" aca="1" ref="B120" ca="1">IFERROR(_xlfn._xlws.FILTER(INDIRECT(C$6),INDIRECT(C$4)=C120,""),"")</f>
        <v/>
      </c>
      <c r="C120" s="31"/>
      <c r="D120" s="39"/>
      <c r="E120" s="40" t="str">
        <f t="shared" ca="1" si="3"/>
        <v/>
      </c>
      <c r="F120" s="39"/>
      <c r="G120" s="39"/>
      <c r="H120" s="31"/>
    </row>
    <row r="121" spans="2:8" x14ac:dyDescent="0.2">
      <c r="B121" s="31" t="str" cm="1">
        <f t="array" aca="1" ref="B121" ca="1">IFERROR(_xlfn._xlws.FILTER(INDIRECT(C$6),INDIRECT(C$4)=C121,""),"")</f>
        <v/>
      </c>
      <c r="C121" s="31"/>
      <c r="D121" s="39"/>
      <c r="E121" s="40" t="str">
        <f t="shared" ca="1" si="3"/>
        <v/>
      </c>
      <c r="F121" s="39"/>
      <c r="G121" s="39"/>
      <c r="H121" s="31"/>
    </row>
    <row r="122" spans="2:8" x14ac:dyDescent="0.2">
      <c r="B122" s="31" t="str" cm="1">
        <f t="array" aca="1" ref="B122" ca="1">IFERROR(_xlfn._xlws.FILTER(INDIRECT(C$6),INDIRECT(C$4)=C122,""),"")</f>
        <v/>
      </c>
      <c r="C122" s="31"/>
      <c r="D122" s="39"/>
      <c r="E122" s="40" t="str">
        <f t="shared" ca="1" si="3"/>
        <v/>
      </c>
      <c r="F122" s="39"/>
      <c r="G122" s="39"/>
      <c r="H122" s="31"/>
    </row>
    <row r="123" spans="2:8" x14ac:dyDescent="0.2">
      <c r="B123" s="31" t="str" cm="1">
        <f t="array" aca="1" ref="B123" ca="1">IFERROR(_xlfn._xlws.FILTER(INDIRECT(C$6),INDIRECT(C$4)=C123,""),"")</f>
        <v/>
      </c>
      <c r="C123" s="31"/>
      <c r="D123" s="39"/>
      <c r="E123" s="40" t="str">
        <f t="shared" ca="1" si="3"/>
        <v/>
      </c>
      <c r="F123" s="39"/>
      <c r="G123" s="39"/>
      <c r="H123" s="31"/>
    </row>
    <row r="124" spans="2:8" x14ac:dyDescent="0.2">
      <c r="B124" s="31" t="str" cm="1">
        <f t="array" aca="1" ref="B124" ca="1">IFERROR(_xlfn._xlws.FILTER(INDIRECT(C$6),INDIRECT(C$4)=C124,""),"")</f>
        <v/>
      </c>
      <c r="C124" s="31"/>
      <c r="D124" s="39"/>
      <c r="E124" s="40" t="str">
        <f t="shared" ca="1" si="3"/>
        <v/>
      </c>
      <c r="F124" s="39"/>
      <c r="G124" s="39"/>
      <c r="H124" s="31"/>
    </row>
    <row r="125" spans="2:8" x14ac:dyDescent="0.2">
      <c r="B125" s="31" t="str" cm="1">
        <f t="array" aca="1" ref="B125" ca="1">IFERROR(_xlfn._xlws.FILTER(INDIRECT(C$6),INDIRECT(C$4)=C125,""),"")</f>
        <v/>
      </c>
      <c r="C125" s="31"/>
      <c r="D125" s="39"/>
      <c r="E125" s="40" t="str">
        <f t="shared" ca="1" si="3"/>
        <v/>
      </c>
      <c r="F125" s="39"/>
      <c r="G125" s="39"/>
      <c r="H125" s="31"/>
    </row>
    <row r="126" spans="2:8" x14ac:dyDescent="0.2">
      <c r="B126" s="31" t="str" cm="1">
        <f t="array" aca="1" ref="B126" ca="1">IFERROR(_xlfn._xlws.FILTER(INDIRECT(C$6),INDIRECT(C$4)=C126,""),"")</f>
        <v/>
      </c>
      <c r="C126" s="31"/>
      <c r="D126" s="39"/>
      <c r="E126" s="40" t="str">
        <f t="shared" ca="1" si="3"/>
        <v/>
      </c>
      <c r="F126" s="39"/>
      <c r="G126" s="39"/>
      <c r="H126" s="31"/>
    </row>
    <row r="127" spans="2:8" x14ac:dyDescent="0.2">
      <c r="B127" s="31" t="str" cm="1">
        <f t="array" aca="1" ref="B127" ca="1">IFERROR(_xlfn._xlws.FILTER(INDIRECT(C$6),INDIRECT(C$4)=C127,""),"")</f>
        <v/>
      </c>
      <c r="C127" s="31"/>
      <c r="D127" s="39"/>
      <c r="E127" s="40" t="str">
        <f t="shared" ca="1" si="3"/>
        <v/>
      </c>
      <c r="F127" s="39"/>
      <c r="G127" s="39"/>
      <c r="H127" s="31"/>
    </row>
    <row r="128" spans="2:8" x14ac:dyDescent="0.2">
      <c r="B128" s="31" t="str" cm="1">
        <f t="array" aca="1" ref="B128" ca="1">IFERROR(_xlfn._xlws.FILTER(INDIRECT(C$6),INDIRECT(C$4)=C128,""),"")</f>
        <v/>
      </c>
      <c r="C128" s="31"/>
      <c r="D128" s="39"/>
      <c r="E128" s="40" t="str">
        <f t="shared" ca="1" si="3"/>
        <v/>
      </c>
      <c r="F128" s="39"/>
      <c r="G128" s="39"/>
      <c r="H128" s="31"/>
    </row>
    <row r="129" spans="2:8" x14ac:dyDescent="0.2">
      <c r="B129" s="31" t="str" cm="1">
        <f t="array" aca="1" ref="B129" ca="1">IFERROR(_xlfn._xlws.FILTER(INDIRECT(C$6),INDIRECT(C$4)=C129,""),"")</f>
        <v/>
      </c>
      <c r="C129" s="31"/>
      <c r="D129" s="39"/>
      <c r="E129" s="40" t="str">
        <f t="shared" ca="1" si="3"/>
        <v/>
      </c>
      <c r="F129" s="39"/>
      <c r="G129" s="39"/>
      <c r="H129" s="31"/>
    </row>
    <row r="130" spans="2:8" x14ac:dyDescent="0.2">
      <c r="B130" s="31" t="str" cm="1">
        <f t="array" aca="1" ref="B130" ca="1">IFERROR(_xlfn._xlws.FILTER(INDIRECT(C$6),INDIRECT(C$4)=C130,""),"")</f>
        <v/>
      </c>
      <c r="C130" s="31"/>
      <c r="D130" s="39"/>
      <c r="E130" s="40" t="str">
        <f t="shared" ca="1" si="3"/>
        <v/>
      </c>
      <c r="F130" s="39"/>
      <c r="G130" s="39"/>
      <c r="H130" s="31"/>
    </row>
    <row r="131" spans="2:8" x14ac:dyDescent="0.2">
      <c r="B131" s="31" t="str" cm="1">
        <f t="array" aca="1" ref="B131" ca="1">IFERROR(_xlfn._xlws.FILTER(INDIRECT(C$6),INDIRECT(C$4)=C131,""),"")</f>
        <v/>
      </c>
      <c r="C131" s="31"/>
      <c r="D131" s="39"/>
      <c r="E131" s="40" t="str">
        <f t="shared" ca="1" si="3"/>
        <v/>
      </c>
      <c r="F131" s="39"/>
      <c r="G131" s="39"/>
      <c r="H131" s="31"/>
    </row>
    <row r="132" spans="2:8" x14ac:dyDescent="0.2">
      <c r="B132" s="31" t="str" cm="1">
        <f t="array" aca="1" ref="B132" ca="1">IFERROR(_xlfn._xlws.FILTER(INDIRECT(C$6),INDIRECT(C$4)=C132,""),"")</f>
        <v/>
      </c>
      <c r="C132" s="31"/>
      <c r="D132" s="39"/>
      <c r="E132" s="40" t="str">
        <f t="shared" ca="1" si="3"/>
        <v/>
      </c>
      <c r="F132" s="39"/>
      <c r="G132" s="39"/>
      <c r="H132" s="31"/>
    </row>
    <row r="133" spans="2:8" x14ac:dyDescent="0.2">
      <c r="B133" s="31" t="str" cm="1">
        <f t="array" aca="1" ref="B133" ca="1">IFERROR(_xlfn._xlws.FILTER(INDIRECT(C$6),INDIRECT(C$4)=C133,""),"")</f>
        <v/>
      </c>
      <c r="C133" s="31"/>
      <c r="D133" s="39"/>
      <c r="E133" s="40" t="str">
        <f t="shared" ca="1" si="3"/>
        <v/>
      </c>
      <c r="F133" s="39"/>
      <c r="G133" s="39"/>
      <c r="H133" s="31"/>
    </row>
    <row r="134" spans="2:8" x14ac:dyDescent="0.2">
      <c r="B134" s="31" t="str" cm="1">
        <f t="array" aca="1" ref="B134" ca="1">IFERROR(_xlfn._xlws.FILTER(INDIRECT(C$6),INDIRECT(C$4)=C134,""),"")</f>
        <v/>
      </c>
      <c r="C134" s="31"/>
      <c r="D134" s="39"/>
      <c r="E134" s="40" t="str">
        <f t="shared" ca="1" si="3"/>
        <v/>
      </c>
      <c r="F134" s="39"/>
      <c r="G134" s="39"/>
      <c r="H134" s="31"/>
    </row>
    <row r="135" spans="2:8" x14ac:dyDescent="0.2">
      <c r="B135" s="31" t="str" cm="1">
        <f t="array" aca="1" ref="B135" ca="1">IFERROR(_xlfn._xlws.FILTER(INDIRECT(C$6),INDIRECT(C$4)=C135,""),"")</f>
        <v/>
      </c>
      <c r="C135" s="31"/>
      <c r="D135" s="39"/>
      <c r="E135" s="40" t="str">
        <f t="shared" ca="1" si="3"/>
        <v/>
      </c>
      <c r="F135" s="39"/>
      <c r="G135" s="39"/>
      <c r="H135" s="31"/>
    </row>
    <row r="136" spans="2:8" x14ac:dyDescent="0.2">
      <c r="B136" s="31" t="str" cm="1">
        <f t="array" aca="1" ref="B136" ca="1">IFERROR(_xlfn._xlws.FILTER(INDIRECT(C$6),INDIRECT(C$4)=C136,""),"")</f>
        <v/>
      </c>
      <c r="C136" s="31"/>
      <c r="D136" s="39"/>
      <c r="E136" s="40" t="str">
        <f t="shared" ca="1" si="3"/>
        <v/>
      </c>
      <c r="F136" s="39"/>
      <c r="G136" s="39"/>
      <c r="H136" s="31"/>
    </row>
    <row r="137" spans="2:8" x14ac:dyDescent="0.2">
      <c r="B137" s="31" t="str" cm="1">
        <f t="array" aca="1" ref="B137" ca="1">IFERROR(_xlfn._xlws.FILTER(INDIRECT(C$6),INDIRECT(C$4)=C137,""),"")</f>
        <v/>
      </c>
      <c r="C137" s="31"/>
      <c r="D137" s="39"/>
      <c r="E137" s="40" t="str">
        <f t="shared" ca="1" si="3"/>
        <v/>
      </c>
      <c r="F137" s="39"/>
      <c r="G137" s="39"/>
      <c r="H137" s="31"/>
    </row>
    <row r="138" spans="2:8" x14ac:dyDescent="0.2">
      <c r="B138" s="31" t="str" cm="1">
        <f t="array" aca="1" ref="B138" ca="1">IFERROR(_xlfn._xlws.FILTER(INDIRECT(C$6),INDIRECT(C$4)=C138,""),"")</f>
        <v/>
      </c>
      <c r="C138" s="31"/>
      <c r="D138" s="39"/>
      <c r="E138" s="40" t="str">
        <f t="shared" ca="1" si="3"/>
        <v/>
      </c>
      <c r="F138" s="39"/>
      <c r="G138" s="39"/>
      <c r="H138" s="31"/>
    </row>
    <row r="139" spans="2:8" x14ac:dyDescent="0.2">
      <c r="B139" s="31" t="str" cm="1">
        <f t="array" aca="1" ref="B139" ca="1">IFERROR(_xlfn._xlws.FILTER(INDIRECT(C$6),INDIRECT(C$4)=C139,""),"")</f>
        <v/>
      </c>
      <c r="C139" s="31"/>
      <c r="D139" s="39"/>
      <c r="E139" s="40" t="str">
        <f t="shared" ca="1" si="3"/>
        <v/>
      </c>
      <c r="F139" s="39"/>
      <c r="G139" s="39"/>
      <c r="H139" s="31"/>
    </row>
    <row r="140" spans="2:8" x14ac:dyDescent="0.2">
      <c r="B140" s="31" t="str" cm="1">
        <f t="array" aca="1" ref="B140" ca="1">IFERROR(_xlfn._xlws.FILTER(INDIRECT(C$6),INDIRECT(C$4)=C140,""),"")</f>
        <v/>
      </c>
      <c r="C140" s="31"/>
      <c r="D140" s="39"/>
      <c r="E140" s="40" t="str">
        <f t="shared" ca="1" si="3"/>
        <v/>
      </c>
      <c r="F140" s="39"/>
      <c r="G140" s="39"/>
      <c r="H140" s="31"/>
    </row>
    <row r="141" spans="2:8" x14ac:dyDescent="0.2">
      <c r="B141" s="31" t="str" cm="1">
        <f t="array" aca="1" ref="B141" ca="1">IFERROR(_xlfn._xlws.FILTER(INDIRECT(C$6),INDIRECT(C$4)=C141,""),"")</f>
        <v/>
      </c>
      <c r="C141" s="31"/>
      <c r="D141" s="39"/>
      <c r="E141" s="40" t="str">
        <f t="shared" ca="1" si="3"/>
        <v/>
      </c>
      <c r="F141" s="39"/>
      <c r="G141" s="39"/>
      <c r="H141" s="31"/>
    </row>
    <row r="142" spans="2:8" x14ac:dyDescent="0.2">
      <c r="B142" s="31" t="str" cm="1">
        <f t="array" aca="1" ref="B142" ca="1">IFERROR(_xlfn._xlws.FILTER(INDIRECT(C$6),INDIRECT(C$4)=C142,""),"")</f>
        <v/>
      </c>
      <c r="C142" s="31"/>
      <c r="D142" s="39"/>
      <c r="E142" s="40" t="str">
        <f t="shared" ca="1" si="3"/>
        <v/>
      </c>
      <c r="F142" s="39"/>
      <c r="G142" s="39"/>
      <c r="H142" s="31"/>
    </row>
    <row r="143" spans="2:8" x14ac:dyDescent="0.2">
      <c r="B143" s="31" t="str" cm="1">
        <f t="array" aca="1" ref="B143" ca="1">IFERROR(_xlfn._xlws.FILTER(INDIRECT(C$6),INDIRECT(C$4)=C143,""),"")</f>
        <v/>
      </c>
      <c r="C143" s="31"/>
      <c r="D143" s="39"/>
      <c r="E143" s="40" t="str">
        <f t="shared" ref="E143:E150" ca="1" si="4">IFERROR(VLOOKUP(B143,Ubicaciones,4,0),"")</f>
        <v/>
      </c>
      <c r="F143" s="39"/>
      <c r="G143" s="39"/>
      <c r="H143" s="31"/>
    </row>
    <row r="144" spans="2:8" x14ac:dyDescent="0.2">
      <c r="B144" s="31" t="str" cm="1">
        <f t="array" aca="1" ref="B144" ca="1">IFERROR(_xlfn._xlws.FILTER(INDIRECT(C$6),INDIRECT(C$4)=C144,""),"")</f>
        <v/>
      </c>
      <c r="C144" s="31"/>
      <c r="D144" s="39"/>
      <c r="E144" s="40" t="str">
        <f t="shared" ca="1" si="4"/>
        <v/>
      </c>
      <c r="F144" s="39"/>
      <c r="G144" s="39"/>
      <c r="H144" s="31"/>
    </row>
    <row r="145" spans="2:8" x14ac:dyDescent="0.2">
      <c r="B145" s="31" t="str" cm="1">
        <f t="array" aca="1" ref="B145" ca="1">IFERROR(_xlfn._xlws.FILTER(INDIRECT(C$6),INDIRECT(C$4)=C145,""),"")</f>
        <v/>
      </c>
      <c r="C145" s="31"/>
      <c r="D145" s="39"/>
      <c r="E145" s="40" t="str">
        <f t="shared" ca="1" si="4"/>
        <v/>
      </c>
      <c r="F145" s="39"/>
      <c r="G145" s="39"/>
      <c r="H145" s="31"/>
    </row>
    <row r="146" spans="2:8" x14ac:dyDescent="0.2">
      <c r="B146" s="31" t="str" cm="1">
        <f t="array" aca="1" ref="B146" ca="1">IFERROR(_xlfn._xlws.FILTER(INDIRECT(C$6),INDIRECT(C$4)=C146,""),"")</f>
        <v/>
      </c>
      <c r="C146" s="31"/>
      <c r="D146" s="39"/>
      <c r="E146" s="40" t="str">
        <f t="shared" ca="1" si="4"/>
        <v/>
      </c>
      <c r="F146" s="39"/>
      <c r="G146" s="39"/>
      <c r="H146" s="31"/>
    </row>
    <row r="147" spans="2:8" x14ac:dyDescent="0.2">
      <c r="B147" s="31" t="str" cm="1">
        <f t="array" aca="1" ref="B147" ca="1">IFERROR(_xlfn._xlws.FILTER(INDIRECT(C$6),INDIRECT(C$4)=C147,""),"")</f>
        <v/>
      </c>
      <c r="C147" s="31"/>
      <c r="D147" s="39"/>
      <c r="E147" s="40" t="str">
        <f t="shared" ca="1" si="4"/>
        <v/>
      </c>
      <c r="F147" s="39"/>
      <c r="G147" s="39"/>
      <c r="H147" s="31"/>
    </row>
    <row r="148" spans="2:8" x14ac:dyDescent="0.2">
      <c r="B148" s="31" t="str" cm="1">
        <f t="array" aca="1" ref="B148" ca="1">IFERROR(_xlfn._xlws.FILTER(INDIRECT(C$6),INDIRECT(C$4)=C148,""),"")</f>
        <v/>
      </c>
      <c r="C148" s="31"/>
      <c r="D148" s="39"/>
      <c r="E148" s="40" t="str">
        <f t="shared" ca="1" si="4"/>
        <v/>
      </c>
      <c r="F148" s="39"/>
      <c r="G148" s="39"/>
      <c r="H148" s="31"/>
    </row>
    <row r="149" spans="2:8" x14ac:dyDescent="0.2">
      <c r="B149" s="31" t="str" cm="1">
        <f t="array" aca="1" ref="B149" ca="1">IFERROR(_xlfn._xlws.FILTER(INDIRECT(C$6),INDIRECT(C$4)=C149,""),"")</f>
        <v/>
      </c>
      <c r="C149" s="31"/>
      <c r="D149" s="39"/>
      <c r="E149" s="40" t="str">
        <f t="shared" ca="1" si="4"/>
        <v/>
      </c>
      <c r="F149" s="39"/>
      <c r="G149" s="39"/>
      <c r="H149" s="31"/>
    </row>
    <row r="150" spans="2:8" x14ac:dyDescent="0.2">
      <c r="B150" s="31" t="str" cm="1">
        <f t="array" aca="1" ref="B150" ca="1">IFERROR(_xlfn._xlws.FILTER(INDIRECT(C$6),INDIRECT(C$4)=C150,""),"")</f>
        <v/>
      </c>
      <c r="C150" s="31"/>
      <c r="D150" s="39"/>
      <c r="E150" s="40" t="str">
        <f t="shared" ca="1" si="4"/>
        <v/>
      </c>
      <c r="F150" s="39"/>
      <c r="G150" s="39"/>
      <c r="H150" s="31"/>
    </row>
    <row r="151" spans="2:8" x14ac:dyDescent="0.2">
      <c r="B151" s="31"/>
      <c r="C151" s="31"/>
      <c r="D151" s="39"/>
      <c r="E151" s="40"/>
      <c r="F151" s="39"/>
      <c r="G151" s="39"/>
      <c r="H151" s="31"/>
    </row>
    <row r="152" spans="2:8" x14ac:dyDescent="0.2">
      <c r="B152" s="31"/>
      <c r="C152" s="31"/>
      <c r="D152" s="39"/>
      <c r="E152" s="40"/>
      <c r="F152" s="39"/>
      <c r="G152" s="39"/>
      <c r="H152" s="31"/>
    </row>
    <row r="153" spans="2:8" x14ac:dyDescent="0.2">
      <c r="B153" s="31"/>
      <c r="C153" s="31"/>
      <c r="D153" s="39"/>
      <c r="E153" s="40"/>
      <c r="F153" s="39"/>
      <c r="G153" s="39"/>
      <c r="H153" s="31"/>
    </row>
    <row r="154" spans="2:8" x14ac:dyDescent="0.2">
      <c r="B154" s="31"/>
      <c r="C154" s="31"/>
      <c r="D154" s="39"/>
      <c r="E154" s="40"/>
      <c r="F154" s="39"/>
      <c r="G154" s="39"/>
      <c r="H154" s="31"/>
    </row>
    <row r="155" spans="2:8" x14ac:dyDescent="0.2">
      <c r="B155" s="31"/>
      <c r="C155" s="31"/>
      <c r="D155" s="39"/>
      <c r="E155" s="40"/>
      <c r="F155" s="39"/>
      <c r="G155" s="39"/>
      <c r="H155" s="31"/>
    </row>
    <row r="156" spans="2:8" x14ac:dyDescent="0.2">
      <c r="B156" s="31"/>
      <c r="C156" s="31"/>
      <c r="D156" s="39"/>
      <c r="E156" s="40"/>
      <c r="F156" s="39"/>
      <c r="G156" s="39"/>
      <c r="H156" s="31"/>
    </row>
    <row r="157" spans="2:8" x14ac:dyDescent="0.2">
      <c r="B157" s="31"/>
      <c r="C157" s="31"/>
      <c r="D157" s="39"/>
      <c r="E157" s="40"/>
      <c r="F157" s="39"/>
      <c r="G157" s="39"/>
      <c r="H157" s="31"/>
    </row>
    <row r="158" spans="2:8" x14ac:dyDescent="0.2">
      <c r="B158" s="31"/>
      <c r="C158" s="31"/>
      <c r="D158" s="39"/>
      <c r="E158" s="40"/>
      <c r="F158" s="39"/>
      <c r="G158" s="39"/>
      <c r="H158" s="31"/>
    </row>
    <row r="159" spans="2:8" x14ac:dyDescent="0.2">
      <c r="B159" s="31"/>
      <c r="C159" s="31"/>
      <c r="D159" s="39"/>
      <c r="E159" s="40"/>
      <c r="F159" s="39"/>
      <c r="G159" s="39"/>
      <c r="H159" s="31"/>
    </row>
    <row r="160" spans="2:8" x14ac:dyDescent="0.2">
      <c r="B160" s="31"/>
      <c r="C160" s="31"/>
      <c r="D160" s="39"/>
      <c r="E160" s="40"/>
      <c r="F160" s="39"/>
      <c r="G160" s="39"/>
      <c r="H160" s="31"/>
    </row>
    <row r="161" spans="2:8" x14ac:dyDescent="0.2">
      <c r="B161" s="31"/>
      <c r="C161" s="31"/>
      <c r="D161" s="39"/>
      <c r="E161" s="40"/>
      <c r="F161" s="39"/>
      <c r="G161" s="39"/>
      <c r="H161" s="31"/>
    </row>
    <row r="162" spans="2:8" x14ac:dyDescent="0.2">
      <c r="B162" s="31"/>
      <c r="C162" s="31"/>
      <c r="D162" s="39"/>
      <c r="E162" s="40"/>
      <c r="F162" s="39"/>
      <c r="G162" s="39"/>
      <c r="H162" s="31"/>
    </row>
    <row r="163" spans="2:8" x14ac:dyDescent="0.2">
      <c r="B163" s="31"/>
      <c r="C163" s="31"/>
      <c r="D163" s="39"/>
      <c r="E163" s="40"/>
      <c r="F163" s="39"/>
      <c r="G163" s="39"/>
      <c r="H163" s="31"/>
    </row>
    <row r="164" spans="2:8" x14ac:dyDescent="0.2">
      <c r="B164" s="31"/>
      <c r="C164" s="31"/>
      <c r="D164" s="39"/>
      <c r="E164" s="40"/>
      <c r="F164" s="39"/>
      <c r="G164" s="39"/>
      <c r="H164" s="31"/>
    </row>
    <row r="165" spans="2:8" x14ac:dyDescent="0.2">
      <c r="B165" s="31"/>
      <c r="C165" s="31"/>
      <c r="D165" s="39"/>
      <c r="E165" s="40"/>
      <c r="F165" s="39"/>
      <c r="G165" s="39"/>
      <c r="H165" s="31"/>
    </row>
    <row r="166" spans="2:8" x14ac:dyDescent="0.2">
      <c r="B166" s="31"/>
      <c r="C166" s="31"/>
      <c r="D166" s="39"/>
      <c r="E166" s="40"/>
      <c r="F166" s="39"/>
      <c r="G166" s="39"/>
      <c r="H166" s="31"/>
    </row>
    <row r="167" spans="2:8" x14ac:dyDescent="0.2">
      <c r="B167" s="31"/>
      <c r="C167" s="31"/>
      <c r="D167" s="39"/>
      <c r="E167" s="40"/>
      <c r="F167" s="39"/>
      <c r="G167" s="39"/>
      <c r="H167" s="31"/>
    </row>
    <row r="168" spans="2:8" x14ac:dyDescent="0.2">
      <c r="B168" s="31"/>
      <c r="C168" s="31"/>
      <c r="D168" s="39"/>
      <c r="E168" s="40"/>
      <c r="F168" s="39"/>
      <c r="G168" s="39"/>
      <c r="H168" s="31"/>
    </row>
    <row r="169" spans="2:8" x14ac:dyDescent="0.2">
      <c r="B169" s="31"/>
      <c r="C169" s="31"/>
      <c r="D169" s="39"/>
      <c r="E169" s="40"/>
      <c r="F169" s="39"/>
      <c r="G169" s="39"/>
      <c r="H169" s="31"/>
    </row>
    <row r="170" spans="2:8" x14ac:dyDescent="0.2">
      <c r="B170" s="31"/>
      <c r="C170" s="31"/>
      <c r="D170" s="39"/>
      <c r="E170" s="40"/>
      <c r="F170" s="39"/>
      <c r="G170" s="39"/>
      <c r="H170" s="31"/>
    </row>
    <row r="171" spans="2:8" x14ac:dyDescent="0.2">
      <c r="B171" s="31"/>
      <c r="C171" s="31"/>
      <c r="D171" s="39"/>
      <c r="E171" s="40"/>
      <c r="F171" s="39"/>
      <c r="G171" s="39"/>
      <c r="H171" s="31"/>
    </row>
    <row r="172" spans="2:8" x14ac:dyDescent="0.2">
      <c r="B172" s="31"/>
      <c r="C172" s="31"/>
      <c r="D172" s="39"/>
      <c r="E172" s="40"/>
      <c r="F172" s="39"/>
      <c r="G172" s="39"/>
      <c r="H172" s="31"/>
    </row>
    <row r="173" spans="2:8" x14ac:dyDescent="0.2">
      <c r="B173" s="31"/>
      <c r="C173" s="31"/>
      <c r="D173" s="39"/>
      <c r="E173" s="40"/>
      <c r="F173" s="39"/>
      <c r="G173" s="39"/>
      <c r="H173" s="31"/>
    </row>
    <row r="174" spans="2:8" x14ac:dyDescent="0.2">
      <c r="B174" s="31"/>
      <c r="C174" s="31"/>
      <c r="D174" s="39"/>
      <c r="E174" s="40"/>
      <c r="F174" s="39"/>
      <c r="G174" s="39"/>
      <c r="H174" s="31"/>
    </row>
    <row r="175" spans="2:8" x14ac:dyDescent="0.2">
      <c r="B175" s="31"/>
      <c r="C175" s="31"/>
      <c r="D175" s="39"/>
      <c r="E175" s="40"/>
      <c r="F175" s="39"/>
      <c r="G175" s="39"/>
      <c r="H175" s="31"/>
    </row>
    <row r="176" spans="2:8" x14ac:dyDescent="0.2">
      <c r="B176" s="31"/>
      <c r="C176" s="31"/>
      <c r="D176" s="39"/>
      <c r="E176" s="40"/>
      <c r="F176" s="39"/>
      <c r="G176" s="39"/>
      <c r="H176" s="31"/>
    </row>
    <row r="177" spans="2:8" x14ac:dyDescent="0.2">
      <c r="B177" s="31"/>
      <c r="C177" s="31"/>
      <c r="D177" s="39"/>
      <c r="E177" s="40"/>
      <c r="F177" s="39"/>
      <c r="G177" s="39"/>
      <c r="H177" s="31"/>
    </row>
    <row r="178" spans="2:8" x14ac:dyDescent="0.2">
      <c r="B178" s="31"/>
      <c r="C178" s="31"/>
      <c r="D178" s="39"/>
      <c r="E178" s="40"/>
      <c r="F178" s="39"/>
      <c r="G178" s="39"/>
      <c r="H178" s="31"/>
    </row>
    <row r="179" spans="2:8" x14ac:dyDescent="0.2">
      <c r="B179" s="31"/>
      <c r="C179" s="31"/>
      <c r="D179" s="39"/>
      <c r="E179" s="40"/>
      <c r="F179" s="39"/>
      <c r="G179" s="39"/>
      <c r="H179" s="31"/>
    </row>
    <row r="180" spans="2:8" x14ac:dyDescent="0.2">
      <c r="B180" s="31"/>
      <c r="C180" s="31"/>
      <c r="D180" s="39"/>
      <c r="E180" s="40"/>
      <c r="F180" s="39"/>
      <c r="G180" s="39"/>
      <c r="H180" s="31"/>
    </row>
    <row r="181" spans="2:8" x14ac:dyDescent="0.2">
      <c r="B181" s="31"/>
      <c r="C181" s="31"/>
      <c r="D181" s="39"/>
      <c r="E181" s="40"/>
      <c r="F181" s="39"/>
      <c r="G181" s="39"/>
      <c r="H181" s="31"/>
    </row>
    <row r="182" spans="2:8" x14ac:dyDescent="0.2">
      <c r="B182" s="31"/>
      <c r="C182" s="31"/>
      <c r="D182" s="39"/>
      <c r="E182" s="40"/>
      <c r="F182" s="39"/>
      <c r="G182" s="39"/>
      <c r="H182" s="31"/>
    </row>
    <row r="183" spans="2:8" x14ac:dyDescent="0.2">
      <c r="B183" s="31"/>
      <c r="C183" s="31"/>
      <c r="D183" s="39"/>
      <c r="E183" s="40"/>
      <c r="F183" s="39"/>
      <c r="G183" s="39"/>
      <c r="H183" s="31"/>
    </row>
    <row r="184" spans="2:8" x14ac:dyDescent="0.2">
      <c r="B184" s="31"/>
      <c r="C184" s="31"/>
      <c r="D184" s="39"/>
      <c r="E184" s="40"/>
      <c r="F184" s="39"/>
      <c r="G184" s="39"/>
      <c r="H184" s="31"/>
    </row>
    <row r="185" spans="2:8" x14ac:dyDescent="0.2">
      <c r="B185" s="31"/>
      <c r="C185" s="31"/>
      <c r="D185" s="39"/>
      <c r="E185" s="40"/>
      <c r="F185" s="39"/>
      <c r="G185" s="39"/>
      <c r="H185" s="31"/>
    </row>
    <row r="186" spans="2:8" x14ac:dyDescent="0.2">
      <c r="B186" s="31"/>
      <c r="C186" s="31"/>
      <c r="D186" s="39"/>
      <c r="E186" s="40"/>
      <c r="F186" s="39"/>
      <c r="G186" s="39"/>
      <c r="H186" s="31"/>
    </row>
    <row r="187" spans="2:8" x14ac:dyDescent="0.2">
      <c r="B187" s="31"/>
      <c r="C187" s="31"/>
      <c r="D187" s="39"/>
      <c r="E187" s="40"/>
      <c r="F187" s="39"/>
      <c r="G187" s="39"/>
      <c r="H187" s="31"/>
    </row>
    <row r="188" spans="2:8" x14ac:dyDescent="0.2">
      <c r="B188" s="31"/>
      <c r="C188" s="31"/>
      <c r="D188" s="39"/>
      <c r="E188" s="40"/>
      <c r="F188" s="39"/>
      <c r="G188" s="39"/>
      <c r="H188" s="31"/>
    </row>
    <row r="189" spans="2:8" x14ac:dyDescent="0.2">
      <c r="B189" s="31"/>
      <c r="C189" s="31"/>
      <c r="D189" s="39"/>
      <c r="E189" s="40"/>
      <c r="F189" s="39"/>
      <c r="G189" s="39"/>
      <c r="H189" s="31"/>
    </row>
    <row r="190" spans="2:8" x14ac:dyDescent="0.2">
      <c r="B190" s="31"/>
      <c r="C190" s="31"/>
      <c r="D190" s="39"/>
      <c r="E190" s="40"/>
      <c r="F190" s="39"/>
      <c r="G190" s="39"/>
      <c r="H190" s="31"/>
    </row>
    <row r="191" spans="2:8" x14ac:dyDescent="0.2">
      <c r="B191" s="31"/>
      <c r="C191" s="31"/>
      <c r="D191" s="39"/>
      <c r="E191" s="40"/>
      <c r="F191" s="39"/>
      <c r="G191" s="39"/>
      <c r="H191" s="31"/>
    </row>
    <row r="192" spans="2:8" x14ac:dyDescent="0.2">
      <c r="B192" s="31"/>
      <c r="C192" s="31"/>
      <c r="D192" s="39"/>
      <c r="E192" s="40"/>
      <c r="F192" s="39"/>
      <c r="G192" s="39"/>
      <c r="H192" s="31"/>
    </row>
    <row r="193" spans="2:8" x14ac:dyDescent="0.2">
      <c r="B193" s="31"/>
      <c r="C193" s="31"/>
      <c r="D193" s="39"/>
      <c r="E193" s="40"/>
      <c r="F193" s="39"/>
      <c r="G193" s="39"/>
      <c r="H193" s="31"/>
    </row>
    <row r="194" spans="2:8" x14ac:dyDescent="0.2">
      <c r="B194" s="31"/>
      <c r="C194" s="31"/>
      <c r="D194" s="39"/>
      <c r="E194" s="40"/>
      <c r="F194" s="39"/>
      <c r="G194" s="39"/>
      <c r="H194" s="31"/>
    </row>
    <row r="195" spans="2:8" x14ac:dyDescent="0.2">
      <c r="B195" s="31"/>
      <c r="C195" s="31"/>
      <c r="D195" s="39"/>
      <c r="E195" s="40"/>
      <c r="F195" s="39"/>
      <c r="G195" s="39"/>
      <c r="H195" s="31"/>
    </row>
    <row r="196" spans="2:8" x14ac:dyDescent="0.2">
      <c r="B196" s="31"/>
      <c r="C196" s="31"/>
      <c r="D196" s="39"/>
      <c r="E196" s="40"/>
      <c r="F196" s="39"/>
      <c r="G196" s="39"/>
      <c r="H196" s="31"/>
    </row>
    <row r="197" spans="2:8" x14ac:dyDescent="0.2">
      <c r="B197" s="31"/>
      <c r="C197" s="31"/>
      <c r="D197" s="39"/>
      <c r="E197" s="40"/>
      <c r="F197" s="39"/>
      <c r="G197" s="39"/>
      <c r="H197" s="31"/>
    </row>
    <row r="198" spans="2:8" x14ac:dyDescent="0.2">
      <c r="B198" s="31"/>
      <c r="C198" s="31"/>
      <c r="D198" s="39"/>
      <c r="E198" s="40"/>
      <c r="F198" s="39"/>
      <c r="G198" s="39"/>
      <c r="H198" s="31"/>
    </row>
    <row r="199" spans="2:8" x14ac:dyDescent="0.2">
      <c r="B199" s="31"/>
      <c r="C199" s="31"/>
      <c r="D199" s="39"/>
      <c r="E199" s="40"/>
      <c r="F199" s="39"/>
      <c r="G199" s="39"/>
      <c r="H199" s="31"/>
    </row>
    <row r="200" spans="2:8" x14ac:dyDescent="0.2">
      <c r="B200" s="31"/>
      <c r="C200" s="31"/>
      <c r="D200" s="39"/>
      <c r="E200" s="40"/>
      <c r="F200" s="39"/>
      <c r="G200" s="39"/>
      <c r="H200" s="31"/>
    </row>
    <row r="201" spans="2:8" x14ac:dyDescent="0.2">
      <c r="B201" s="31"/>
      <c r="C201" s="31"/>
      <c r="D201" s="39"/>
      <c r="E201" s="40"/>
      <c r="F201" s="39"/>
      <c r="G201" s="39"/>
      <c r="H201" s="31"/>
    </row>
    <row r="202" spans="2:8" x14ac:dyDescent="0.2">
      <c r="B202" s="31"/>
      <c r="C202" s="31"/>
      <c r="D202" s="39"/>
      <c r="E202" s="40"/>
      <c r="F202" s="39"/>
      <c r="G202" s="39"/>
      <c r="H202" s="31"/>
    </row>
    <row r="203" spans="2:8" x14ac:dyDescent="0.2">
      <c r="B203" s="31"/>
      <c r="C203" s="31"/>
      <c r="D203" s="39"/>
      <c r="E203" s="40"/>
      <c r="F203" s="39"/>
      <c r="G203" s="39"/>
      <c r="H203" s="31"/>
    </row>
    <row r="204" spans="2:8" x14ac:dyDescent="0.2">
      <c r="B204" s="31"/>
      <c r="C204" s="31"/>
      <c r="D204" s="39"/>
      <c r="E204" s="40"/>
      <c r="F204" s="39"/>
      <c r="G204" s="39"/>
      <c r="H204" s="31"/>
    </row>
    <row r="205" spans="2:8" x14ac:dyDescent="0.2">
      <c r="B205" s="31"/>
      <c r="C205" s="31"/>
      <c r="D205" s="39"/>
      <c r="E205" s="40"/>
      <c r="F205" s="39"/>
      <c r="G205" s="39"/>
      <c r="H205" s="31"/>
    </row>
    <row r="206" spans="2:8" x14ac:dyDescent="0.2">
      <c r="B206" s="31"/>
      <c r="C206" s="31"/>
      <c r="D206" s="39"/>
      <c r="E206" s="40"/>
      <c r="F206" s="39"/>
      <c r="G206" s="39"/>
      <c r="H206" s="31"/>
    </row>
    <row r="207" spans="2:8" x14ac:dyDescent="0.2">
      <c r="B207" s="31"/>
      <c r="C207" s="31"/>
      <c r="D207" s="39"/>
      <c r="E207" s="40"/>
      <c r="F207" s="39"/>
      <c r="G207" s="39"/>
      <c r="H207" s="31"/>
    </row>
    <row r="208" spans="2:8" x14ac:dyDescent="0.2">
      <c r="B208" s="31"/>
      <c r="C208" s="31"/>
      <c r="D208" s="39"/>
      <c r="E208" s="40"/>
      <c r="F208" s="39"/>
      <c r="G208" s="39"/>
      <c r="H208" s="31"/>
    </row>
    <row r="209" spans="2:8" x14ac:dyDescent="0.2">
      <c r="B209" s="31"/>
      <c r="C209" s="31"/>
      <c r="D209" s="39"/>
      <c r="E209" s="40"/>
      <c r="F209" s="39"/>
      <c r="G209" s="39"/>
      <c r="H209" s="31"/>
    </row>
    <row r="210" spans="2:8" x14ac:dyDescent="0.2">
      <c r="B210" s="31"/>
      <c r="C210" s="31"/>
      <c r="D210" s="39"/>
      <c r="E210" s="40"/>
      <c r="F210" s="39"/>
      <c r="G210" s="39"/>
      <c r="H210" s="31"/>
    </row>
    <row r="211" spans="2:8" x14ac:dyDescent="0.2">
      <c r="B211" s="31"/>
      <c r="C211" s="31"/>
      <c r="D211" s="39"/>
      <c r="E211" s="40"/>
      <c r="F211" s="39"/>
      <c r="G211" s="39"/>
      <c r="H211" s="31"/>
    </row>
    <row r="212" spans="2:8" x14ac:dyDescent="0.2">
      <c r="B212" s="31"/>
      <c r="C212" s="31"/>
      <c r="D212" s="39"/>
      <c r="E212" s="40"/>
      <c r="F212" s="39"/>
      <c r="G212" s="39"/>
      <c r="H212" s="31"/>
    </row>
    <row r="213" spans="2:8" x14ac:dyDescent="0.2">
      <c r="B213" s="31"/>
      <c r="C213" s="31"/>
      <c r="D213" s="39"/>
      <c r="E213" s="40"/>
      <c r="F213" s="39"/>
      <c r="G213" s="39"/>
      <c r="H213" s="31"/>
    </row>
    <row r="214" spans="2:8" x14ac:dyDescent="0.2">
      <c r="B214" s="31"/>
      <c r="C214" s="31"/>
      <c r="D214" s="39"/>
      <c r="E214" s="40"/>
      <c r="F214" s="39"/>
      <c r="G214" s="39"/>
      <c r="H214" s="31"/>
    </row>
    <row r="215" spans="2:8" x14ac:dyDescent="0.2">
      <c r="B215" s="31"/>
      <c r="C215" s="31"/>
      <c r="D215" s="39"/>
      <c r="E215" s="40"/>
      <c r="F215" s="39"/>
      <c r="G215" s="39"/>
      <c r="H215" s="31"/>
    </row>
    <row r="216" spans="2:8" x14ac:dyDescent="0.2">
      <c r="B216" s="31"/>
      <c r="C216" s="31"/>
      <c r="D216" s="39"/>
      <c r="E216" s="40"/>
      <c r="F216" s="39"/>
      <c r="G216" s="39"/>
      <c r="H216" s="31"/>
    </row>
    <row r="217" spans="2:8" x14ac:dyDescent="0.2">
      <c r="B217" s="31"/>
      <c r="C217" s="31"/>
      <c r="D217" s="39"/>
      <c r="E217" s="40"/>
      <c r="F217" s="39"/>
      <c r="G217" s="39"/>
      <c r="H217" s="31"/>
    </row>
    <row r="218" spans="2:8" x14ac:dyDescent="0.2">
      <c r="B218" s="31"/>
      <c r="C218" s="31"/>
      <c r="D218" s="39"/>
      <c r="E218" s="40"/>
      <c r="F218" s="39"/>
      <c r="G218" s="39"/>
      <c r="H218" s="31"/>
    </row>
    <row r="219" spans="2:8" x14ac:dyDescent="0.2">
      <c r="B219" s="31"/>
      <c r="C219" s="31"/>
      <c r="D219" s="39"/>
      <c r="E219" s="40"/>
      <c r="F219" s="39"/>
      <c r="G219" s="39"/>
      <c r="H219" s="31"/>
    </row>
    <row r="220" spans="2:8" x14ac:dyDescent="0.2">
      <c r="B220" s="31"/>
      <c r="C220" s="31"/>
      <c r="D220" s="39"/>
      <c r="E220" s="40"/>
      <c r="F220" s="39"/>
      <c r="G220" s="39"/>
      <c r="H220" s="31"/>
    </row>
    <row r="221" spans="2:8" x14ac:dyDescent="0.2">
      <c r="B221" s="31"/>
      <c r="C221" s="31"/>
      <c r="D221" s="39"/>
      <c r="E221" s="40"/>
      <c r="F221" s="39"/>
      <c r="G221" s="39"/>
      <c r="H221" s="31"/>
    </row>
    <row r="222" spans="2:8" x14ac:dyDescent="0.2">
      <c r="B222" s="31"/>
      <c r="C222" s="31"/>
      <c r="D222" s="39"/>
      <c r="E222" s="40"/>
      <c r="F222" s="39"/>
      <c r="G222" s="39"/>
      <c r="H222" s="31"/>
    </row>
    <row r="223" spans="2:8" x14ac:dyDescent="0.2">
      <c r="B223" s="31"/>
      <c r="C223" s="31"/>
      <c r="D223" s="39"/>
      <c r="E223" s="40"/>
      <c r="F223" s="39"/>
      <c r="G223" s="39"/>
      <c r="H223" s="31"/>
    </row>
    <row r="224" spans="2:8" x14ac:dyDescent="0.2">
      <c r="B224" s="31"/>
      <c r="C224" s="31"/>
      <c r="D224" s="39"/>
      <c r="E224" s="40"/>
      <c r="F224" s="39"/>
      <c r="G224" s="39"/>
      <c r="H224" s="31"/>
    </row>
    <row r="225" spans="2:8" x14ac:dyDescent="0.2">
      <c r="B225" s="31"/>
      <c r="C225" s="31"/>
      <c r="D225" s="39"/>
      <c r="E225" s="40"/>
      <c r="F225" s="39"/>
      <c r="G225" s="39"/>
      <c r="H225" s="31"/>
    </row>
    <row r="226" spans="2:8" x14ac:dyDescent="0.2">
      <c r="B226" s="31"/>
      <c r="C226" s="31"/>
      <c r="D226" s="39"/>
      <c r="E226" s="40"/>
      <c r="F226" s="39"/>
      <c r="G226" s="39"/>
      <c r="H226" s="31"/>
    </row>
    <row r="227" spans="2:8" x14ac:dyDescent="0.2">
      <c r="B227" s="31"/>
      <c r="C227" s="31"/>
      <c r="D227" s="39"/>
      <c r="E227" s="40"/>
      <c r="F227" s="39"/>
      <c r="G227" s="39"/>
      <c r="H227" s="31"/>
    </row>
    <row r="228" spans="2:8" x14ac:dyDescent="0.2">
      <c r="B228" s="31"/>
      <c r="C228" s="31"/>
      <c r="D228" s="39"/>
      <c r="E228" s="40"/>
      <c r="F228" s="39"/>
      <c r="G228" s="39"/>
      <c r="H228" s="31"/>
    </row>
    <row r="229" spans="2:8" x14ac:dyDescent="0.2">
      <c r="B229" s="31"/>
      <c r="C229" s="31"/>
      <c r="D229" s="39"/>
      <c r="E229" s="40"/>
      <c r="F229" s="39"/>
      <c r="G229" s="39"/>
      <c r="H229" s="31"/>
    </row>
    <row r="230" spans="2:8" x14ac:dyDescent="0.2">
      <c r="B230" s="31"/>
      <c r="C230" s="31"/>
      <c r="D230" s="39"/>
      <c r="E230" s="40"/>
      <c r="F230" s="39"/>
      <c r="G230" s="39"/>
      <c r="H230" s="31"/>
    </row>
    <row r="231" spans="2:8" x14ac:dyDescent="0.2">
      <c r="B231" s="31"/>
      <c r="C231" s="31"/>
      <c r="D231" s="39"/>
      <c r="E231" s="40"/>
      <c r="F231" s="39"/>
      <c r="G231" s="39"/>
      <c r="H231" s="31"/>
    </row>
    <row r="232" spans="2:8" x14ac:dyDescent="0.2">
      <c r="B232" s="31"/>
      <c r="C232" s="31"/>
      <c r="D232" s="39"/>
      <c r="E232" s="40"/>
      <c r="F232" s="39"/>
      <c r="G232" s="39"/>
      <c r="H232" s="31"/>
    </row>
    <row r="233" spans="2:8" x14ac:dyDescent="0.2">
      <c r="B233" s="31"/>
      <c r="C233" s="31"/>
      <c r="D233" s="39"/>
      <c r="E233" s="40"/>
      <c r="F233" s="39"/>
      <c r="G233" s="39"/>
      <c r="H233" s="31"/>
    </row>
    <row r="234" spans="2:8" x14ac:dyDescent="0.2">
      <c r="B234" s="31"/>
      <c r="C234" s="31"/>
      <c r="D234" s="39"/>
      <c r="E234" s="40"/>
      <c r="F234" s="39"/>
      <c r="G234" s="39"/>
      <c r="H234" s="31"/>
    </row>
    <row r="235" spans="2:8" x14ac:dyDescent="0.2">
      <c r="B235" s="31"/>
      <c r="C235" s="31"/>
      <c r="D235" s="39"/>
      <c r="E235" s="40"/>
      <c r="F235" s="39"/>
      <c r="G235" s="39"/>
      <c r="H235" s="31"/>
    </row>
    <row r="236" spans="2:8" x14ac:dyDescent="0.2">
      <c r="B236" s="31"/>
      <c r="C236" s="31"/>
      <c r="D236" s="39"/>
      <c r="E236" s="40"/>
      <c r="F236" s="39"/>
      <c r="G236" s="39"/>
      <c r="H236" s="31"/>
    </row>
    <row r="237" spans="2:8" x14ac:dyDescent="0.2">
      <c r="B237" s="31"/>
      <c r="C237" s="31"/>
      <c r="D237" s="39"/>
      <c r="E237" s="40"/>
      <c r="F237" s="39"/>
      <c r="G237" s="39"/>
      <c r="H237" s="31"/>
    </row>
    <row r="238" spans="2:8" x14ac:dyDescent="0.2">
      <c r="B238" s="31"/>
      <c r="C238" s="31"/>
      <c r="D238" s="39"/>
      <c r="E238" s="40"/>
      <c r="F238" s="39"/>
      <c r="G238" s="39"/>
      <c r="H238" s="31"/>
    </row>
    <row r="239" spans="2:8" x14ac:dyDescent="0.2">
      <c r="B239" s="31"/>
      <c r="C239" s="31"/>
      <c r="D239" s="39"/>
      <c r="E239" s="40"/>
      <c r="F239" s="39"/>
      <c r="G239" s="39"/>
      <c r="H239" s="31"/>
    </row>
    <row r="240" spans="2:8" x14ac:dyDescent="0.2">
      <c r="B240" s="31"/>
      <c r="C240" s="31"/>
      <c r="D240" s="39"/>
      <c r="E240" s="40"/>
      <c r="F240" s="39"/>
      <c r="G240" s="39"/>
      <c r="H240" s="31"/>
    </row>
    <row r="241" spans="2:8" x14ac:dyDescent="0.2">
      <c r="B241" s="31"/>
      <c r="C241" s="31"/>
      <c r="D241" s="39"/>
      <c r="E241" s="40"/>
      <c r="F241" s="39"/>
      <c r="G241" s="39"/>
      <c r="H241" s="31"/>
    </row>
    <row r="242" spans="2:8" x14ac:dyDescent="0.2">
      <c r="B242" s="31"/>
      <c r="C242" s="31"/>
      <c r="D242" s="39"/>
      <c r="E242" s="40"/>
      <c r="F242" s="39"/>
      <c r="G242" s="39"/>
      <c r="H242" s="31"/>
    </row>
    <row r="243" spans="2:8" x14ac:dyDescent="0.2">
      <c r="B243" s="31"/>
      <c r="C243" s="31"/>
      <c r="D243" s="39"/>
      <c r="E243" s="40"/>
      <c r="F243" s="39"/>
      <c r="G243" s="39"/>
      <c r="H243" s="31"/>
    </row>
    <row r="244" spans="2:8" x14ac:dyDescent="0.2">
      <c r="B244" s="31"/>
      <c r="C244" s="31"/>
      <c r="D244" s="39"/>
      <c r="E244" s="40"/>
      <c r="F244" s="39"/>
      <c r="G244" s="39"/>
      <c r="H244" s="31"/>
    </row>
    <row r="245" spans="2:8" x14ac:dyDescent="0.2">
      <c r="B245" s="31"/>
      <c r="C245" s="31"/>
      <c r="D245" s="39"/>
      <c r="E245" s="40"/>
      <c r="F245" s="39"/>
      <c r="G245" s="39"/>
      <c r="H245" s="31"/>
    </row>
    <row r="246" spans="2:8" x14ac:dyDescent="0.2">
      <c r="B246" s="31"/>
      <c r="C246" s="31"/>
      <c r="D246" s="39"/>
      <c r="E246" s="40"/>
      <c r="F246" s="39"/>
      <c r="G246" s="39"/>
      <c r="H246" s="31"/>
    </row>
    <row r="247" spans="2:8" x14ac:dyDescent="0.2">
      <c r="B247" s="31"/>
      <c r="C247" s="31"/>
      <c r="D247" s="39"/>
      <c r="E247" s="40"/>
      <c r="F247" s="39"/>
      <c r="G247" s="39"/>
      <c r="H247" s="31"/>
    </row>
    <row r="248" spans="2:8" x14ac:dyDescent="0.2">
      <c r="B248" s="31"/>
      <c r="C248" s="31"/>
      <c r="D248" s="39"/>
      <c r="E248" s="40"/>
      <c r="F248" s="39"/>
      <c r="G248" s="39"/>
      <c r="H248" s="31"/>
    </row>
    <row r="249" spans="2:8" x14ac:dyDescent="0.2">
      <c r="B249" s="31"/>
      <c r="C249" s="31"/>
      <c r="D249" s="39"/>
      <c r="E249" s="40"/>
      <c r="F249" s="39"/>
      <c r="G249" s="39"/>
      <c r="H249" s="31"/>
    </row>
    <row r="250" spans="2:8" x14ac:dyDescent="0.2">
      <c r="B250" s="31"/>
      <c r="C250" s="31"/>
      <c r="D250" s="39"/>
      <c r="E250" s="40"/>
      <c r="F250" s="39"/>
      <c r="G250" s="39"/>
      <c r="H250" s="31"/>
    </row>
    <row r="251" spans="2:8" x14ac:dyDescent="0.2">
      <c r="D251" s="41"/>
      <c r="E251" s="41"/>
      <c r="F251" s="41"/>
      <c r="G251" s="41"/>
    </row>
    <row r="252" spans="2:8" x14ac:dyDescent="0.2">
      <c r="D252" s="41"/>
      <c r="E252" s="41"/>
      <c r="F252" s="41"/>
      <c r="G252" s="41"/>
    </row>
    <row r="253" spans="2:8" x14ac:dyDescent="0.2">
      <c r="D253" s="41"/>
      <c r="E253" s="41"/>
      <c r="F253" s="41"/>
      <c r="G253" s="41"/>
    </row>
    <row r="254" spans="2:8" x14ac:dyDescent="0.2">
      <c r="D254" s="41"/>
      <c r="E254" s="41"/>
      <c r="F254" s="41"/>
      <c r="G254" s="41"/>
    </row>
    <row r="255" spans="2:8" x14ac:dyDescent="0.2">
      <c r="D255" s="41"/>
      <c r="E255" s="41"/>
      <c r="F255" s="41"/>
      <c r="G255" s="41"/>
    </row>
    <row r="256" spans="2:8" x14ac:dyDescent="0.2">
      <c r="D256" s="41"/>
      <c r="E256" s="41"/>
      <c r="F256" s="41"/>
      <c r="G256" s="41"/>
    </row>
    <row r="257" spans="4:7" x14ac:dyDescent="0.2">
      <c r="D257" s="41"/>
      <c r="E257" s="41"/>
      <c r="F257" s="41"/>
      <c r="G257" s="41"/>
    </row>
    <row r="258" spans="4:7" x14ac:dyDescent="0.2">
      <c r="D258" s="41"/>
      <c r="E258" s="41"/>
      <c r="F258" s="41"/>
      <c r="G258" s="41"/>
    </row>
    <row r="259" spans="4:7" x14ac:dyDescent="0.2">
      <c r="D259" s="41"/>
      <c r="E259" s="41"/>
      <c r="F259" s="41"/>
      <c r="G259" s="41"/>
    </row>
    <row r="260" spans="4:7" x14ac:dyDescent="0.2">
      <c r="D260" s="41"/>
      <c r="E260" s="41"/>
      <c r="F260" s="41"/>
      <c r="G260" s="41"/>
    </row>
    <row r="261" spans="4:7" x14ac:dyDescent="0.2">
      <c r="D261" s="41"/>
      <c r="E261" s="41"/>
      <c r="F261" s="41"/>
      <c r="G261" s="41"/>
    </row>
    <row r="262" spans="4:7" x14ac:dyDescent="0.2">
      <c r="D262" s="41"/>
      <c r="E262" s="41"/>
      <c r="F262" s="41"/>
      <c r="G262" s="41"/>
    </row>
    <row r="263" spans="4:7" x14ac:dyDescent="0.2">
      <c r="D263" s="41"/>
      <c r="E263" s="41"/>
      <c r="F263" s="41"/>
      <c r="G263" s="41"/>
    </row>
    <row r="264" spans="4:7" x14ac:dyDescent="0.2">
      <c r="D264" s="41"/>
      <c r="E264" s="41"/>
      <c r="F264" s="41"/>
      <c r="G264" s="41"/>
    </row>
    <row r="265" spans="4:7" x14ac:dyDescent="0.2">
      <c r="D265" s="41"/>
      <c r="E265" s="41"/>
      <c r="F265" s="41"/>
      <c r="G265" s="41"/>
    </row>
    <row r="266" spans="4:7" x14ac:dyDescent="0.2">
      <c r="D266" s="41"/>
      <c r="E266" s="41"/>
      <c r="F266" s="41"/>
      <c r="G266" s="41"/>
    </row>
    <row r="267" spans="4:7" x14ac:dyDescent="0.2">
      <c r="D267" s="41"/>
      <c r="E267" s="41"/>
      <c r="F267" s="41"/>
      <c r="G267" s="41"/>
    </row>
    <row r="268" spans="4:7" x14ac:dyDescent="0.2">
      <c r="D268" s="41"/>
      <c r="E268" s="41"/>
      <c r="F268" s="41"/>
      <c r="G268" s="41"/>
    </row>
    <row r="269" spans="4:7" x14ac:dyDescent="0.2">
      <c r="D269" s="41"/>
      <c r="E269" s="41"/>
      <c r="F269" s="41"/>
      <c r="G269" s="41"/>
    </row>
    <row r="270" spans="4:7" x14ac:dyDescent="0.2">
      <c r="D270" s="41"/>
      <c r="E270" s="41"/>
      <c r="F270" s="41"/>
      <c r="G270" s="41"/>
    </row>
    <row r="271" spans="4:7" x14ac:dyDescent="0.2">
      <c r="D271" s="41"/>
      <c r="E271" s="41"/>
      <c r="F271" s="41"/>
      <c r="G271" s="41"/>
    </row>
    <row r="272" spans="4:7" x14ac:dyDescent="0.2">
      <c r="D272" s="41"/>
      <c r="E272" s="41"/>
      <c r="F272" s="41"/>
      <c r="G272" s="41"/>
    </row>
    <row r="273" spans="4:7" x14ac:dyDescent="0.2">
      <c r="D273" s="41"/>
      <c r="E273" s="41"/>
      <c r="F273" s="41"/>
      <c r="G273" s="41"/>
    </row>
    <row r="274" spans="4:7" x14ac:dyDescent="0.2">
      <c r="D274" s="41"/>
      <c r="E274" s="41"/>
      <c r="F274" s="41"/>
      <c r="G274" s="41"/>
    </row>
    <row r="275" spans="4:7" x14ac:dyDescent="0.2">
      <c r="D275" s="41"/>
      <c r="E275" s="41"/>
      <c r="F275" s="41"/>
      <c r="G275" s="41"/>
    </row>
    <row r="276" spans="4:7" x14ac:dyDescent="0.2">
      <c r="D276" s="41"/>
      <c r="E276" s="41"/>
      <c r="F276" s="41"/>
      <c r="G276" s="41"/>
    </row>
    <row r="277" spans="4:7" x14ac:dyDescent="0.2">
      <c r="D277" s="41"/>
      <c r="E277" s="41"/>
      <c r="F277" s="41"/>
      <c r="G277" s="41"/>
    </row>
    <row r="278" spans="4:7" x14ac:dyDescent="0.2">
      <c r="D278" s="41"/>
      <c r="E278" s="41"/>
      <c r="F278" s="41"/>
      <c r="G278" s="41"/>
    </row>
    <row r="279" spans="4:7" x14ac:dyDescent="0.2">
      <c r="D279" s="41"/>
      <c r="E279" s="41"/>
      <c r="F279" s="41"/>
      <c r="G279" s="41"/>
    </row>
    <row r="280" spans="4:7" x14ac:dyDescent="0.2">
      <c r="D280" s="41"/>
      <c r="E280" s="41"/>
      <c r="F280" s="41"/>
      <c r="G280" s="41"/>
    </row>
    <row r="281" spans="4:7" x14ac:dyDescent="0.2">
      <c r="D281" s="41"/>
      <c r="E281" s="41"/>
      <c r="F281" s="41"/>
      <c r="G281" s="41"/>
    </row>
    <row r="282" spans="4:7" x14ac:dyDescent="0.2">
      <c r="D282" s="41"/>
      <c r="E282" s="41"/>
      <c r="F282" s="41"/>
      <c r="G282" s="41"/>
    </row>
    <row r="283" spans="4:7" x14ac:dyDescent="0.2">
      <c r="D283" s="41"/>
      <c r="E283" s="41"/>
      <c r="F283" s="41"/>
      <c r="G283" s="41"/>
    </row>
    <row r="284" spans="4:7" x14ac:dyDescent="0.2">
      <c r="D284" s="41"/>
      <c r="E284" s="41"/>
      <c r="F284" s="41"/>
      <c r="G284" s="41"/>
    </row>
    <row r="285" spans="4:7" x14ac:dyDescent="0.2">
      <c r="D285" s="41"/>
      <c r="E285" s="41"/>
      <c r="F285" s="41"/>
      <c r="G285" s="41"/>
    </row>
    <row r="286" spans="4:7" x14ac:dyDescent="0.2">
      <c r="D286" s="41"/>
      <c r="E286" s="41"/>
      <c r="F286" s="41"/>
      <c r="G286" s="41"/>
    </row>
    <row r="287" spans="4:7" x14ac:dyDescent="0.2">
      <c r="D287" s="41"/>
      <c r="E287" s="41"/>
      <c r="F287" s="41"/>
      <c r="G287" s="41"/>
    </row>
    <row r="288" spans="4:7" x14ac:dyDescent="0.2">
      <c r="D288" s="41"/>
      <c r="E288" s="41"/>
      <c r="F288" s="41"/>
      <c r="G288" s="41"/>
    </row>
    <row r="289" spans="4:7" x14ac:dyDescent="0.2">
      <c r="D289" s="41"/>
      <c r="E289" s="41"/>
      <c r="F289" s="41"/>
      <c r="G289" s="41"/>
    </row>
    <row r="290" spans="4:7" x14ac:dyDescent="0.2">
      <c r="D290" s="41"/>
      <c r="E290" s="41"/>
      <c r="F290" s="41"/>
      <c r="G290" s="41"/>
    </row>
    <row r="291" spans="4:7" x14ac:dyDescent="0.2">
      <c r="D291" s="41"/>
      <c r="E291" s="41"/>
      <c r="F291" s="41"/>
      <c r="G291" s="41"/>
    </row>
    <row r="292" spans="4:7" x14ac:dyDescent="0.2">
      <c r="D292" s="41"/>
      <c r="E292" s="41"/>
      <c r="F292" s="41"/>
      <c r="G292" s="41"/>
    </row>
    <row r="293" spans="4:7" x14ac:dyDescent="0.2">
      <c r="D293" s="41"/>
      <c r="E293" s="41"/>
      <c r="F293" s="41"/>
      <c r="G293" s="41"/>
    </row>
    <row r="294" spans="4:7" x14ac:dyDescent="0.2">
      <c r="D294" s="41"/>
      <c r="E294" s="41"/>
      <c r="F294" s="41"/>
      <c r="G294" s="41"/>
    </row>
    <row r="295" spans="4:7" x14ac:dyDescent="0.2">
      <c r="D295" s="41"/>
      <c r="E295" s="41"/>
      <c r="F295" s="41"/>
      <c r="G295" s="41"/>
    </row>
    <row r="296" spans="4:7" x14ac:dyDescent="0.2">
      <c r="D296" s="41"/>
      <c r="E296" s="41"/>
      <c r="F296" s="41"/>
      <c r="G296" s="41"/>
    </row>
    <row r="297" spans="4:7" x14ac:dyDescent="0.2">
      <c r="D297" s="41"/>
      <c r="E297" s="41"/>
      <c r="F297" s="41"/>
      <c r="G297" s="41"/>
    </row>
    <row r="298" spans="4:7" x14ac:dyDescent="0.2">
      <c r="D298" s="41"/>
      <c r="E298" s="41"/>
      <c r="F298" s="41"/>
      <c r="G298" s="41"/>
    </row>
    <row r="299" spans="4:7" x14ac:dyDescent="0.2">
      <c r="D299" s="41"/>
      <c r="E299" s="41"/>
      <c r="F299" s="41"/>
      <c r="G299" s="41"/>
    </row>
    <row r="300" spans="4:7" x14ac:dyDescent="0.2">
      <c r="D300" s="41"/>
      <c r="E300" s="41"/>
      <c r="F300" s="41"/>
      <c r="G300" s="41"/>
    </row>
    <row r="301" spans="4:7" x14ac:dyDescent="0.2">
      <c r="D301" s="41"/>
      <c r="E301" s="41"/>
      <c r="F301" s="41"/>
      <c r="G301" s="41"/>
    </row>
    <row r="302" spans="4:7" x14ac:dyDescent="0.2">
      <c r="D302" s="41"/>
      <c r="E302" s="41"/>
      <c r="F302" s="41"/>
      <c r="G302" s="41"/>
    </row>
    <row r="303" spans="4:7" x14ac:dyDescent="0.2">
      <c r="D303" s="41"/>
      <c r="E303" s="41"/>
      <c r="F303" s="41"/>
      <c r="G303" s="41"/>
    </row>
    <row r="304" spans="4:7" x14ac:dyDescent="0.2">
      <c r="D304" s="41"/>
      <c r="E304" s="41"/>
      <c r="F304" s="41"/>
      <c r="G304" s="41"/>
    </row>
    <row r="305" spans="4:7" x14ac:dyDescent="0.2">
      <c r="D305" s="41"/>
      <c r="E305" s="41"/>
      <c r="F305" s="41"/>
      <c r="G305" s="41"/>
    </row>
    <row r="306" spans="4:7" x14ac:dyDescent="0.2">
      <c r="D306" s="41"/>
      <c r="E306" s="41"/>
      <c r="F306" s="41"/>
      <c r="G306" s="41"/>
    </row>
    <row r="307" spans="4:7" x14ac:dyDescent="0.2">
      <c r="D307" s="41"/>
      <c r="E307" s="41"/>
      <c r="F307" s="41"/>
      <c r="G307" s="41"/>
    </row>
    <row r="308" spans="4:7" x14ac:dyDescent="0.2">
      <c r="D308" s="41"/>
      <c r="E308" s="41"/>
      <c r="F308" s="41"/>
      <c r="G308" s="41"/>
    </row>
    <row r="309" spans="4:7" x14ac:dyDescent="0.2">
      <c r="D309" s="41"/>
      <c r="E309" s="41"/>
      <c r="F309" s="41"/>
      <c r="G309" s="41"/>
    </row>
    <row r="310" spans="4:7" x14ac:dyDescent="0.2">
      <c r="D310" s="41"/>
      <c r="E310" s="41"/>
      <c r="F310" s="41"/>
      <c r="G310" s="41"/>
    </row>
    <row r="311" spans="4:7" x14ac:dyDescent="0.2">
      <c r="D311" s="41"/>
      <c r="E311" s="41"/>
      <c r="F311" s="41"/>
      <c r="G311" s="41"/>
    </row>
    <row r="312" spans="4:7" x14ac:dyDescent="0.2">
      <c r="D312" s="41"/>
      <c r="E312" s="41"/>
      <c r="F312" s="41"/>
      <c r="G312" s="41"/>
    </row>
    <row r="313" spans="4:7" x14ac:dyDescent="0.2">
      <c r="D313" s="41"/>
      <c r="E313" s="41"/>
      <c r="F313" s="41"/>
      <c r="G313" s="41"/>
    </row>
    <row r="314" spans="4:7" x14ac:dyDescent="0.2">
      <c r="D314" s="41"/>
      <c r="E314" s="41"/>
      <c r="F314" s="41"/>
      <c r="G314" s="41"/>
    </row>
    <row r="315" spans="4:7" x14ac:dyDescent="0.2">
      <c r="D315" s="41"/>
      <c r="E315" s="41"/>
      <c r="F315" s="41"/>
      <c r="G315" s="41"/>
    </row>
    <row r="316" spans="4:7" x14ac:dyDescent="0.2">
      <c r="D316" s="41"/>
      <c r="E316" s="41"/>
      <c r="F316" s="41"/>
      <c r="G316" s="41"/>
    </row>
    <row r="317" spans="4:7" x14ac:dyDescent="0.2">
      <c r="D317" s="41"/>
      <c r="E317" s="41"/>
      <c r="F317" s="41"/>
      <c r="G317" s="41"/>
    </row>
    <row r="318" spans="4:7" x14ac:dyDescent="0.2">
      <c r="D318" s="41"/>
      <c r="E318" s="41"/>
      <c r="F318" s="41"/>
      <c r="G318" s="41"/>
    </row>
    <row r="319" spans="4:7" x14ac:dyDescent="0.2">
      <c r="D319" s="41"/>
      <c r="E319" s="41"/>
      <c r="F319" s="41"/>
      <c r="G319" s="41"/>
    </row>
    <row r="320" spans="4:7" x14ac:dyDescent="0.2">
      <c r="D320" s="41"/>
      <c r="E320" s="41"/>
      <c r="F320" s="41"/>
      <c r="G320" s="41"/>
    </row>
    <row r="321" spans="4:7" x14ac:dyDescent="0.2">
      <c r="D321" s="41"/>
      <c r="E321" s="41"/>
      <c r="F321" s="41"/>
      <c r="G321" s="41"/>
    </row>
    <row r="322" spans="4:7" x14ac:dyDescent="0.2">
      <c r="D322" s="41"/>
      <c r="E322" s="41"/>
      <c r="F322" s="41"/>
      <c r="G322" s="41"/>
    </row>
    <row r="323" spans="4:7" x14ac:dyDescent="0.2">
      <c r="D323" s="41"/>
      <c r="E323" s="41"/>
      <c r="F323" s="41"/>
      <c r="G323" s="41"/>
    </row>
    <row r="324" spans="4:7" x14ac:dyDescent="0.2">
      <c r="D324" s="41"/>
      <c r="E324" s="41"/>
      <c r="F324" s="41"/>
      <c r="G324" s="41"/>
    </row>
    <row r="325" spans="4:7" x14ac:dyDescent="0.2">
      <c r="D325" s="41"/>
      <c r="E325" s="41"/>
      <c r="F325" s="41"/>
      <c r="G325" s="41"/>
    </row>
    <row r="326" spans="4:7" x14ac:dyDescent="0.2">
      <c r="D326" s="41"/>
      <c r="E326" s="41"/>
      <c r="F326" s="41"/>
      <c r="G326" s="41"/>
    </row>
    <row r="327" spans="4:7" x14ac:dyDescent="0.2">
      <c r="D327" s="41"/>
      <c r="E327" s="41"/>
      <c r="F327" s="41"/>
      <c r="G327" s="41"/>
    </row>
    <row r="328" spans="4:7" x14ac:dyDescent="0.2">
      <c r="D328" s="41"/>
      <c r="E328" s="41"/>
      <c r="F328" s="41"/>
      <c r="G328" s="41"/>
    </row>
    <row r="329" spans="4:7" x14ac:dyDescent="0.2">
      <c r="D329" s="41"/>
      <c r="E329" s="41"/>
      <c r="F329" s="41"/>
      <c r="G329" s="41"/>
    </row>
    <row r="330" spans="4:7" x14ac:dyDescent="0.2">
      <c r="D330" s="41"/>
      <c r="E330" s="41"/>
      <c r="F330" s="41"/>
      <c r="G330" s="41"/>
    </row>
    <row r="331" spans="4:7" x14ac:dyDescent="0.2">
      <c r="D331" s="41"/>
      <c r="E331" s="41"/>
      <c r="F331" s="41"/>
      <c r="G331" s="41"/>
    </row>
    <row r="332" spans="4:7" x14ac:dyDescent="0.2">
      <c r="D332" s="41"/>
      <c r="E332" s="41"/>
      <c r="F332" s="41"/>
      <c r="G332" s="41"/>
    </row>
    <row r="333" spans="4:7" x14ac:dyDescent="0.2">
      <c r="D333" s="41"/>
      <c r="E333" s="41"/>
      <c r="F333" s="41"/>
      <c r="G333" s="41"/>
    </row>
    <row r="334" spans="4:7" x14ac:dyDescent="0.2">
      <c r="D334" s="41"/>
      <c r="E334" s="41"/>
      <c r="F334" s="41"/>
      <c r="G334" s="41"/>
    </row>
    <row r="335" spans="4:7" x14ac:dyDescent="0.2">
      <c r="D335" s="41"/>
      <c r="E335" s="41"/>
      <c r="F335" s="41"/>
      <c r="G335" s="41"/>
    </row>
    <row r="336" spans="4:7" x14ac:dyDescent="0.2">
      <c r="D336" s="41"/>
      <c r="E336" s="41"/>
      <c r="F336" s="41"/>
      <c r="G336" s="41"/>
    </row>
    <row r="337" spans="4:7" x14ac:dyDescent="0.2">
      <c r="D337" s="41"/>
      <c r="E337" s="41"/>
      <c r="F337" s="41"/>
      <c r="G337" s="41"/>
    </row>
    <row r="338" spans="4:7" x14ac:dyDescent="0.2">
      <c r="D338" s="41"/>
      <c r="E338" s="41"/>
      <c r="F338" s="41"/>
      <c r="G338" s="41"/>
    </row>
    <row r="339" spans="4:7" x14ac:dyDescent="0.2">
      <c r="D339" s="41"/>
      <c r="E339" s="41"/>
      <c r="F339" s="41"/>
      <c r="G339" s="41"/>
    </row>
    <row r="340" spans="4:7" x14ac:dyDescent="0.2">
      <c r="D340" s="41"/>
      <c r="E340" s="41"/>
      <c r="F340" s="41"/>
      <c r="G340" s="41"/>
    </row>
    <row r="341" spans="4:7" x14ac:dyDescent="0.2">
      <c r="D341" s="41"/>
      <c r="E341" s="41"/>
      <c r="F341" s="41"/>
      <c r="G341" s="41"/>
    </row>
    <row r="342" spans="4:7" x14ac:dyDescent="0.2">
      <c r="D342" s="41"/>
      <c r="E342" s="41"/>
      <c r="F342" s="41"/>
      <c r="G342" s="41"/>
    </row>
    <row r="343" spans="4:7" x14ac:dyDescent="0.2">
      <c r="D343" s="41"/>
      <c r="E343" s="41"/>
      <c r="F343" s="41"/>
      <c r="G343" s="41"/>
    </row>
    <row r="344" spans="4:7" x14ac:dyDescent="0.2">
      <c r="D344" s="41"/>
      <c r="E344" s="41"/>
      <c r="F344" s="41"/>
      <c r="G344" s="41"/>
    </row>
    <row r="345" spans="4:7" x14ac:dyDescent="0.2">
      <c r="D345" s="41"/>
      <c r="E345" s="41"/>
      <c r="F345" s="41"/>
      <c r="G345" s="41"/>
    </row>
    <row r="346" spans="4:7" x14ac:dyDescent="0.2">
      <c r="D346" s="41"/>
      <c r="E346" s="41"/>
      <c r="F346" s="41"/>
      <c r="G346" s="41"/>
    </row>
    <row r="347" spans="4:7" x14ac:dyDescent="0.2">
      <c r="D347" s="41"/>
      <c r="E347" s="41"/>
      <c r="F347" s="41"/>
      <c r="G347" s="41"/>
    </row>
    <row r="348" spans="4:7" x14ac:dyDescent="0.2">
      <c r="D348" s="41"/>
      <c r="E348" s="41"/>
      <c r="F348" s="41"/>
      <c r="G348" s="41"/>
    </row>
    <row r="349" spans="4:7" x14ac:dyDescent="0.2">
      <c r="D349" s="41"/>
      <c r="E349" s="41"/>
      <c r="F349" s="41"/>
      <c r="G349" s="41"/>
    </row>
    <row r="350" spans="4:7" x14ac:dyDescent="0.2">
      <c r="D350" s="41"/>
      <c r="E350" s="41"/>
      <c r="F350" s="41"/>
      <c r="G350" s="41"/>
    </row>
    <row r="351" spans="4:7" x14ac:dyDescent="0.2">
      <c r="D351" s="41"/>
      <c r="E351" s="41"/>
      <c r="F351" s="41"/>
      <c r="G351" s="41"/>
    </row>
    <row r="352" spans="4:7" x14ac:dyDescent="0.2">
      <c r="D352" s="41"/>
      <c r="E352" s="41"/>
      <c r="F352" s="41"/>
      <c r="G352" s="41"/>
    </row>
    <row r="353" spans="4:7" x14ac:dyDescent="0.2">
      <c r="D353" s="41"/>
      <c r="E353" s="41"/>
      <c r="F353" s="41"/>
      <c r="G353" s="41"/>
    </row>
    <row r="354" spans="4:7" x14ac:dyDescent="0.2">
      <c r="D354" s="41"/>
      <c r="E354" s="41"/>
      <c r="F354" s="41"/>
      <c r="G354" s="41"/>
    </row>
    <row r="355" spans="4:7" x14ac:dyDescent="0.2">
      <c r="D355" s="41"/>
      <c r="E355" s="41"/>
      <c r="F355" s="41"/>
      <c r="G355" s="41"/>
    </row>
    <row r="356" spans="4:7" x14ac:dyDescent="0.2">
      <c r="D356" s="41"/>
      <c r="E356" s="41"/>
      <c r="F356" s="41"/>
      <c r="G356" s="41"/>
    </row>
    <row r="357" spans="4:7" x14ac:dyDescent="0.2">
      <c r="D357" s="41"/>
      <c r="E357" s="41"/>
      <c r="F357" s="41"/>
      <c r="G357" s="41"/>
    </row>
    <row r="358" spans="4:7" x14ac:dyDescent="0.2">
      <c r="D358" s="41"/>
      <c r="E358" s="41"/>
      <c r="F358" s="41"/>
      <c r="G358" s="41"/>
    </row>
    <row r="359" spans="4:7" x14ac:dyDescent="0.2">
      <c r="D359" s="41"/>
      <c r="E359" s="41"/>
      <c r="F359" s="41"/>
      <c r="G359" s="41"/>
    </row>
    <row r="360" spans="4:7" x14ac:dyDescent="0.2">
      <c r="D360" s="41"/>
      <c r="E360" s="41"/>
      <c r="F360" s="41"/>
      <c r="G360" s="41"/>
    </row>
    <row r="361" spans="4:7" x14ac:dyDescent="0.2">
      <c r="D361" s="41"/>
      <c r="E361" s="41"/>
      <c r="F361" s="41"/>
      <c r="G361" s="41"/>
    </row>
    <row r="362" spans="4:7" x14ac:dyDescent="0.2">
      <c r="D362" s="41"/>
      <c r="E362" s="41"/>
      <c r="F362" s="41"/>
      <c r="G362" s="41"/>
    </row>
    <row r="363" spans="4:7" x14ac:dyDescent="0.2">
      <c r="D363" s="41"/>
      <c r="E363" s="41"/>
      <c r="F363" s="41"/>
      <c r="G363" s="41"/>
    </row>
    <row r="364" spans="4:7" x14ac:dyDescent="0.2">
      <c r="D364" s="41"/>
      <c r="E364" s="41"/>
      <c r="F364" s="41"/>
      <c r="G364" s="41"/>
    </row>
    <row r="365" spans="4:7" x14ac:dyDescent="0.2">
      <c r="D365" s="41"/>
      <c r="E365" s="41"/>
      <c r="F365" s="41"/>
      <c r="G365" s="41"/>
    </row>
    <row r="366" spans="4:7" x14ac:dyDescent="0.2">
      <c r="D366" s="41"/>
      <c r="E366" s="41"/>
      <c r="F366" s="41"/>
      <c r="G366" s="41"/>
    </row>
    <row r="367" spans="4:7" x14ac:dyDescent="0.2">
      <c r="D367" s="41"/>
      <c r="E367" s="41"/>
      <c r="F367" s="41"/>
      <c r="G367" s="41"/>
    </row>
    <row r="368" spans="4:7" x14ac:dyDescent="0.2">
      <c r="D368" s="41"/>
      <c r="E368" s="41"/>
      <c r="F368" s="41"/>
      <c r="G368" s="41"/>
    </row>
    <row r="369" spans="4:7" x14ac:dyDescent="0.2">
      <c r="D369" s="41"/>
      <c r="E369" s="41"/>
      <c r="F369" s="41"/>
      <c r="G369" s="41"/>
    </row>
    <row r="370" spans="4:7" x14ac:dyDescent="0.2">
      <c r="D370" s="41"/>
      <c r="E370" s="41"/>
      <c r="F370" s="41"/>
      <c r="G370" s="41"/>
    </row>
    <row r="371" spans="4:7" x14ac:dyDescent="0.2">
      <c r="D371" s="41"/>
      <c r="E371" s="41"/>
      <c r="F371" s="41"/>
      <c r="G371" s="41"/>
    </row>
    <row r="372" spans="4:7" x14ac:dyDescent="0.2">
      <c r="D372" s="41"/>
      <c r="E372" s="41"/>
      <c r="F372" s="41"/>
      <c r="G372" s="41"/>
    </row>
    <row r="373" spans="4:7" x14ac:dyDescent="0.2">
      <c r="D373" s="41"/>
      <c r="E373" s="41"/>
      <c r="F373" s="41"/>
      <c r="G373" s="41"/>
    </row>
    <row r="374" spans="4:7" x14ac:dyDescent="0.2">
      <c r="D374" s="41"/>
      <c r="E374" s="41"/>
      <c r="F374" s="41"/>
      <c r="G374" s="41"/>
    </row>
    <row r="375" spans="4:7" x14ac:dyDescent="0.2">
      <c r="D375" s="41"/>
      <c r="E375" s="41"/>
      <c r="F375" s="41"/>
      <c r="G375" s="41"/>
    </row>
    <row r="376" spans="4:7" x14ac:dyDescent="0.2">
      <c r="D376" s="41"/>
      <c r="E376" s="41"/>
      <c r="F376" s="41"/>
      <c r="G376" s="41"/>
    </row>
    <row r="377" spans="4:7" x14ac:dyDescent="0.2">
      <c r="D377" s="41"/>
      <c r="E377" s="41"/>
      <c r="F377" s="41"/>
      <c r="G377" s="41"/>
    </row>
    <row r="378" spans="4:7" x14ac:dyDescent="0.2">
      <c r="D378" s="41"/>
      <c r="E378" s="41"/>
      <c r="F378" s="41"/>
      <c r="G378" s="41"/>
    </row>
    <row r="379" spans="4:7" x14ac:dyDescent="0.2">
      <c r="D379" s="41"/>
      <c r="E379" s="41"/>
      <c r="F379" s="41"/>
      <c r="G379" s="41"/>
    </row>
    <row r="380" spans="4:7" x14ac:dyDescent="0.2">
      <c r="D380" s="41"/>
      <c r="E380" s="41"/>
      <c r="F380" s="41"/>
      <c r="G380" s="41"/>
    </row>
    <row r="381" spans="4:7" x14ac:dyDescent="0.2">
      <c r="D381" s="41"/>
      <c r="E381" s="41"/>
      <c r="F381" s="41"/>
      <c r="G381" s="41"/>
    </row>
    <row r="382" spans="4:7" x14ac:dyDescent="0.2">
      <c r="D382" s="41"/>
      <c r="E382" s="41"/>
      <c r="F382" s="41"/>
      <c r="G382" s="41"/>
    </row>
    <row r="383" spans="4:7" x14ac:dyDescent="0.2">
      <c r="D383" s="41"/>
      <c r="E383" s="41"/>
      <c r="F383" s="41"/>
      <c r="G383" s="41"/>
    </row>
    <row r="384" spans="4:7" x14ac:dyDescent="0.2">
      <c r="D384" s="41"/>
      <c r="E384" s="41"/>
      <c r="F384" s="41"/>
      <c r="G384" s="41"/>
    </row>
    <row r="385" spans="4:7" x14ac:dyDescent="0.2">
      <c r="D385" s="41"/>
      <c r="E385" s="41"/>
      <c r="F385" s="41"/>
      <c r="G385" s="41"/>
    </row>
    <row r="386" spans="4:7" x14ac:dyDescent="0.2">
      <c r="D386" s="41"/>
      <c r="E386" s="41"/>
      <c r="F386" s="41"/>
      <c r="G386" s="41"/>
    </row>
    <row r="387" spans="4:7" x14ac:dyDescent="0.2">
      <c r="D387" s="41"/>
      <c r="E387" s="41"/>
      <c r="F387" s="41"/>
      <c r="G387" s="41"/>
    </row>
    <row r="388" spans="4:7" x14ac:dyDescent="0.2">
      <c r="D388" s="41"/>
      <c r="E388" s="41"/>
      <c r="F388" s="41"/>
      <c r="G388" s="41"/>
    </row>
    <row r="389" spans="4:7" x14ac:dyDescent="0.2">
      <c r="D389" s="41"/>
      <c r="E389" s="41"/>
      <c r="F389" s="41"/>
      <c r="G389" s="41"/>
    </row>
    <row r="390" spans="4:7" x14ac:dyDescent="0.2">
      <c r="D390" s="41"/>
      <c r="E390" s="41"/>
      <c r="F390" s="41"/>
      <c r="G390" s="41"/>
    </row>
    <row r="391" spans="4:7" x14ac:dyDescent="0.2">
      <c r="D391" s="41"/>
      <c r="E391" s="41"/>
      <c r="F391" s="41"/>
      <c r="G391" s="41"/>
    </row>
    <row r="392" spans="4:7" x14ac:dyDescent="0.2">
      <c r="D392" s="41"/>
      <c r="E392" s="41"/>
      <c r="F392" s="41"/>
      <c r="G392" s="41"/>
    </row>
    <row r="393" spans="4:7" x14ac:dyDescent="0.2">
      <c r="D393" s="41"/>
      <c r="E393" s="41"/>
      <c r="F393" s="41"/>
      <c r="G393" s="41"/>
    </row>
    <row r="394" spans="4:7" x14ac:dyDescent="0.2">
      <c r="D394" s="41"/>
      <c r="E394" s="41"/>
      <c r="F394" s="41"/>
      <c r="G394" s="41"/>
    </row>
    <row r="395" spans="4:7" x14ac:dyDescent="0.2">
      <c r="D395" s="41"/>
      <c r="E395" s="41"/>
      <c r="F395" s="41"/>
      <c r="G395" s="41"/>
    </row>
    <row r="396" spans="4:7" x14ac:dyDescent="0.2">
      <c r="D396" s="41"/>
      <c r="E396" s="41"/>
      <c r="F396" s="41"/>
      <c r="G396" s="41"/>
    </row>
    <row r="397" spans="4:7" x14ac:dyDescent="0.2">
      <c r="D397" s="41"/>
      <c r="E397" s="41"/>
      <c r="F397" s="41"/>
      <c r="G397" s="41"/>
    </row>
    <row r="398" spans="4:7" x14ac:dyDescent="0.2">
      <c r="D398" s="41"/>
      <c r="E398" s="41"/>
      <c r="F398" s="41"/>
      <c r="G398" s="41"/>
    </row>
    <row r="399" spans="4:7" x14ac:dyDescent="0.2">
      <c r="D399" s="41"/>
      <c r="E399" s="41"/>
      <c r="F399" s="41"/>
      <c r="G399" s="41"/>
    </row>
    <row r="400" spans="4:7" x14ac:dyDescent="0.2">
      <c r="D400" s="41"/>
      <c r="E400" s="41"/>
      <c r="F400" s="41"/>
      <c r="G400" s="41"/>
    </row>
    <row r="401" spans="4:7" x14ac:dyDescent="0.2">
      <c r="D401" s="41"/>
      <c r="E401" s="41"/>
      <c r="F401" s="41"/>
      <c r="G401" s="41"/>
    </row>
    <row r="402" spans="4:7" x14ac:dyDescent="0.2">
      <c r="D402" s="41"/>
      <c r="E402" s="41"/>
      <c r="F402" s="41"/>
      <c r="G402" s="41"/>
    </row>
    <row r="403" spans="4:7" x14ac:dyDescent="0.2">
      <c r="D403" s="41"/>
      <c r="E403" s="41"/>
      <c r="F403" s="41"/>
      <c r="G403" s="41"/>
    </row>
    <row r="404" spans="4:7" x14ac:dyDescent="0.2">
      <c r="D404" s="41"/>
      <c r="E404" s="41"/>
      <c r="F404" s="41"/>
      <c r="G404" s="41"/>
    </row>
    <row r="405" spans="4:7" x14ac:dyDescent="0.2">
      <c r="D405" s="41"/>
      <c r="E405" s="41"/>
      <c r="F405" s="41"/>
      <c r="G405" s="41"/>
    </row>
    <row r="406" spans="4:7" x14ac:dyDescent="0.2">
      <c r="D406" s="41"/>
      <c r="E406" s="41"/>
      <c r="F406" s="41"/>
      <c r="G406" s="41"/>
    </row>
    <row r="407" spans="4:7" x14ac:dyDescent="0.2">
      <c r="D407" s="41"/>
      <c r="E407" s="41"/>
      <c r="F407" s="41"/>
      <c r="G407" s="41"/>
    </row>
    <row r="408" spans="4:7" x14ac:dyDescent="0.2">
      <c r="D408" s="41"/>
      <c r="E408" s="41"/>
      <c r="F408" s="41"/>
      <c r="G408" s="41"/>
    </row>
    <row r="409" spans="4:7" x14ac:dyDescent="0.2">
      <c r="D409" s="41"/>
      <c r="E409" s="41"/>
      <c r="F409" s="41"/>
      <c r="G409" s="41"/>
    </row>
    <row r="410" spans="4:7" x14ac:dyDescent="0.2">
      <c r="D410" s="41"/>
      <c r="E410" s="41"/>
      <c r="F410" s="41"/>
      <c r="G410" s="41"/>
    </row>
    <row r="411" spans="4:7" x14ac:dyDescent="0.2">
      <c r="D411" s="41"/>
      <c r="E411" s="41"/>
      <c r="F411" s="41"/>
      <c r="G411" s="41"/>
    </row>
    <row r="412" spans="4:7" x14ac:dyDescent="0.2">
      <c r="D412" s="41"/>
      <c r="E412" s="41"/>
      <c r="F412" s="41"/>
      <c r="G412" s="41"/>
    </row>
    <row r="413" spans="4:7" x14ac:dyDescent="0.2">
      <c r="D413" s="41"/>
      <c r="E413" s="41"/>
      <c r="F413" s="41"/>
      <c r="G413" s="41"/>
    </row>
    <row r="414" spans="4:7" x14ac:dyDescent="0.2">
      <c r="D414" s="41"/>
      <c r="E414" s="41"/>
      <c r="F414" s="41"/>
      <c r="G414" s="41"/>
    </row>
    <row r="415" spans="4:7" x14ac:dyDescent="0.2">
      <c r="D415" s="41"/>
      <c r="E415" s="41"/>
      <c r="F415" s="41"/>
      <c r="G415" s="41"/>
    </row>
    <row r="416" spans="4:7" x14ac:dyDescent="0.2">
      <c r="D416" s="41"/>
      <c r="E416" s="41"/>
      <c r="F416" s="41"/>
      <c r="G416" s="41"/>
    </row>
    <row r="417" spans="4:7" x14ac:dyDescent="0.2">
      <c r="D417" s="41"/>
      <c r="E417" s="41"/>
      <c r="F417" s="41"/>
      <c r="G417" s="41"/>
    </row>
    <row r="418" spans="4:7" x14ac:dyDescent="0.2">
      <c r="D418" s="41"/>
      <c r="E418" s="41"/>
      <c r="F418" s="41"/>
      <c r="G418" s="41"/>
    </row>
    <row r="419" spans="4:7" x14ac:dyDescent="0.2">
      <c r="D419" s="41"/>
      <c r="E419" s="41"/>
      <c r="F419" s="41"/>
      <c r="G419" s="41"/>
    </row>
    <row r="420" spans="4:7" x14ac:dyDescent="0.2">
      <c r="D420" s="41"/>
      <c r="E420" s="41"/>
      <c r="F420" s="41"/>
      <c r="G420" s="41"/>
    </row>
    <row r="421" spans="4:7" x14ac:dyDescent="0.2">
      <c r="D421" s="41"/>
      <c r="E421" s="41"/>
      <c r="F421" s="41"/>
      <c r="G421" s="41"/>
    </row>
    <row r="422" spans="4:7" x14ac:dyDescent="0.2">
      <c r="D422" s="41"/>
      <c r="E422" s="41"/>
      <c r="F422" s="41"/>
      <c r="G422" s="41"/>
    </row>
    <row r="423" spans="4:7" x14ac:dyDescent="0.2">
      <c r="D423" s="41"/>
      <c r="E423" s="41"/>
      <c r="F423" s="41"/>
      <c r="G423" s="41"/>
    </row>
    <row r="424" spans="4:7" x14ac:dyDescent="0.2">
      <c r="D424" s="41"/>
      <c r="E424" s="41"/>
      <c r="F424" s="41"/>
      <c r="G424" s="41"/>
    </row>
    <row r="425" spans="4:7" x14ac:dyDescent="0.2">
      <c r="D425" s="41"/>
      <c r="E425" s="41"/>
      <c r="F425" s="41"/>
      <c r="G425" s="41"/>
    </row>
    <row r="426" spans="4:7" x14ac:dyDescent="0.2">
      <c r="D426" s="41"/>
      <c r="E426" s="41"/>
      <c r="F426" s="41"/>
      <c r="G426" s="41"/>
    </row>
    <row r="427" spans="4:7" x14ac:dyDescent="0.2">
      <c r="D427" s="41"/>
      <c r="E427" s="41"/>
      <c r="F427" s="41"/>
      <c r="G427" s="41"/>
    </row>
    <row r="428" spans="4:7" x14ac:dyDescent="0.2">
      <c r="D428" s="41"/>
      <c r="E428" s="41"/>
      <c r="F428" s="41"/>
      <c r="G428" s="41"/>
    </row>
    <row r="429" spans="4:7" x14ac:dyDescent="0.2">
      <c r="D429" s="41"/>
      <c r="E429" s="41"/>
      <c r="F429" s="41"/>
      <c r="G429" s="41"/>
    </row>
    <row r="430" spans="4:7" x14ac:dyDescent="0.2">
      <c r="D430" s="41"/>
      <c r="E430" s="41"/>
      <c r="F430" s="41"/>
      <c r="G430" s="41"/>
    </row>
    <row r="431" spans="4:7" x14ac:dyDescent="0.2">
      <c r="D431" s="41"/>
      <c r="E431" s="41"/>
      <c r="F431" s="41"/>
      <c r="G431" s="41"/>
    </row>
    <row r="432" spans="4:7" x14ac:dyDescent="0.2">
      <c r="D432" s="41"/>
      <c r="E432" s="41"/>
      <c r="F432" s="41"/>
      <c r="G432" s="41"/>
    </row>
    <row r="433" spans="4:7" x14ac:dyDescent="0.2">
      <c r="D433" s="41"/>
      <c r="E433" s="41"/>
      <c r="F433" s="41"/>
      <c r="G433" s="41"/>
    </row>
    <row r="434" spans="4:7" x14ac:dyDescent="0.2">
      <c r="D434" s="41"/>
      <c r="E434" s="41"/>
      <c r="F434" s="41"/>
      <c r="G434" s="41"/>
    </row>
    <row r="435" spans="4:7" x14ac:dyDescent="0.2">
      <c r="D435" s="41"/>
      <c r="E435" s="41"/>
      <c r="F435" s="41"/>
      <c r="G435" s="41"/>
    </row>
    <row r="436" spans="4:7" x14ac:dyDescent="0.2">
      <c r="D436" s="41"/>
      <c r="E436" s="41"/>
      <c r="F436" s="41"/>
      <c r="G436" s="41"/>
    </row>
    <row r="437" spans="4:7" x14ac:dyDescent="0.2">
      <c r="D437" s="41"/>
      <c r="E437" s="41"/>
      <c r="F437" s="41"/>
      <c r="G437" s="41"/>
    </row>
    <row r="438" spans="4:7" x14ac:dyDescent="0.2">
      <c r="D438" s="41"/>
      <c r="E438" s="41"/>
      <c r="F438" s="41"/>
      <c r="G438" s="41"/>
    </row>
    <row r="439" spans="4:7" x14ac:dyDescent="0.2">
      <c r="D439" s="41"/>
      <c r="E439" s="41"/>
      <c r="F439" s="41"/>
      <c r="G439" s="41"/>
    </row>
    <row r="440" spans="4:7" x14ac:dyDescent="0.2">
      <c r="D440" s="41"/>
      <c r="E440" s="41"/>
      <c r="F440" s="41"/>
      <c r="G440" s="41"/>
    </row>
    <row r="441" spans="4:7" x14ac:dyDescent="0.2">
      <c r="D441" s="41"/>
      <c r="E441" s="41"/>
      <c r="F441" s="41"/>
      <c r="G441" s="41"/>
    </row>
    <row r="442" spans="4:7" x14ac:dyDescent="0.2">
      <c r="D442" s="41"/>
      <c r="E442" s="41"/>
      <c r="F442" s="41"/>
      <c r="G442" s="41"/>
    </row>
    <row r="443" spans="4:7" x14ac:dyDescent="0.2">
      <c r="D443" s="41"/>
      <c r="E443" s="41"/>
      <c r="F443" s="41"/>
      <c r="G443" s="41"/>
    </row>
    <row r="444" spans="4:7" x14ac:dyDescent="0.2">
      <c r="D444" s="41"/>
      <c r="E444" s="41"/>
      <c r="F444" s="41"/>
      <c r="G444" s="41"/>
    </row>
    <row r="445" spans="4:7" x14ac:dyDescent="0.2">
      <c r="D445" s="41"/>
      <c r="E445" s="41"/>
      <c r="F445" s="41"/>
      <c r="G445" s="41"/>
    </row>
    <row r="446" spans="4:7" x14ac:dyDescent="0.2">
      <c r="D446" s="41"/>
      <c r="E446" s="41"/>
      <c r="F446" s="41"/>
      <c r="G446" s="41"/>
    </row>
    <row r="447" spans="4:7" x14ac:dyDescent="0.2">
      <c r="D447" s="41"/>
      <c r="E447" s="41"/>
      <c r="F447" s="41"/>
      <c r="G447" s="41"/>
    </row>
    <row r="448" spans="4:7" x14ac:dyDescent="0.2">
      <c r="D448" s="41"/>
      <c r="E448" s="41"/>
      <c r="F448" s="41"/>
      <c r="G448" s="41"/>
    </row>
    <row r="449" spans="4:7" x14ac:dyDescent="0.2">
      <c r="D449" s="41"/>
      <c r="E449" s="41"/>
      <c r="F449" s="41"/>
      <c r="G449" s="41"/>
    </row>
    <row r="450" spans="4:7" x14ac:dyDescent="0.2">
      <c r="D450" s="41"/>
      <c r="E450" s="41"/>
      <c r="F450" s="41"/>
      <c r="G450" s="41"/>
    </row>
    <row r="451" spans="4:7" x14ac:dyDescent="0.2">
      <c r="D451" s="41"/>
      <c r="E451" s="41"/>
      <c r="F451" s="41"/>
      <c r="G451" s="41"/>
    </row>
    <row r="452" spans="4:7" x14ac:dyDescent="0.2">
      <c r="D452" s="41"/>
      <c r="E452" s="41"/>
      <c r="F452" s="41"/>
      <c r="G452" s="41"/>
    </row>
    <row r="453" spans="4:7" x14ac:dyDescent="0.2">
      <c r="D453" s="41"/>
      <c r="E453" s="41"/>
      <c r="F453" s="41"/>
      <c r="G453" s="41"/>
    </row>
    <row r="454" spans="4:7" x14ac:dyDescent="0.2">
      <c r="D454" s="41"/>
      <c r="E454" s="41"/>
      <c r="F454" s="41"/>
      <c r="G454" s="41"/>
    </row>
    <row r="455" spans="4:7" x14ac:dyDescent="0.2">
      <c r="D455" s="41"/>
      <c r="E455" s="41"/>
      <c r="F455" s="41"/>
      <c r="G455" s="41"/>
    </row>
    <row r="456" spans="4:7" x14ac:dyDescent="0.2">
      <c r="D456" s="41"/>
      <c r="E456" s="41"/>
      <c r="F456" s="41"/>
      <c r="G456" s="41"/>
    </row>
    <row r="457" spans="4:7" x14ac:dyDescent="0.2">
      <c r="D457" s="41"/>
      <c r="E457" s="41"/>
      <c r="F457" s="41"/>
      <c r="G457" s="41"/>
    </row>
    <row r="458" spans="4:7" x14ac:dyDescent="0.2">
      <c r="D458" s="41"/>
      <c r="E458" s="41"/>
      <c r="F458" s="41"/>
      <c r="G458" s="41"/>
    </row>
    <row r="459" spans="4:7" x14ac:dyDescent="0.2">
      <c r="D459" s="41"/>
      <c r="E459" s="41"/>
      <c r="F459" s="41"/>
      <c r="G459" s="41"/>
    </row>
    <row r="460" spans="4:7" x14ac:dyDescent="0.2">
      <c r="D460" s="41"/>
      <c r="E460" s="41"/>
      <c r="F460" s="41"/>
      <c r="G460" s="41"/>
    </row>
    <row r="461" spans="4:7" x14ac:dyDescent="0.2">
      <c r="D461" s="41"/>
      <c r="E461" s="41"/>
      <c r="F461" s="41"/>
      <c r="G461" s="41"/>
    </row>
    <row r="462" spans="4:7" x14ac:dyDescent="0.2">
      <c r="D462" s="41"/>
      <c r="E462" s="41"/>
      <c r="F462" s="41"/>
      <c r="G462" s="41"/>
    </row>
    <row r="463" spans="4:7" x14ac:dyDescent="0.2">
      <c r="D463" s="41"/>
      <c r="E463" s="41"/>
      <c r="F463" s="41"/>
      <c r="G463" s="41"/>
    </row>
    <row r="464" spans="4:7" x14ac:dyDescent="0.2">
      <c r="D464" s="41"/>
      <c r="E464" s="41"/>
      <c r="F464" s="41"/>
      <c r="G464" s="41"/>
    </row>
    <row r="465" spans="4:7" x14ac:dyDescent="0.2">
      <c r="D465" s="41"/>
      <c r="E465" s="41"/>
      <c r="F465" s="41"/>
      <c r="G465" s="41"/>
    </row>
    <row r="466" spans="4:7" x14ac:dyDescent="0.2">
      <c r="D466" s="41"/>
      <c r="E466" s="41"/>
      <c r="F466" s="41"/>
      <c r="G466" s="41"/>
    </row>
    <row r="467" spans="4:7" x14ac:dyDescent="0.2">
      <c r="D467" s="41"/>
      <c r="E467" s="41"/>
      <c r="F467" s="41"/>
      <c r="G467" s="41"/>
    </row>
    <row r="468" spans="4:7" x14ac:dyDescent="0.2">
      <c r="D468" s="41"/>
      <c r="E468" s="41"/>
      <c r="F468" s="41"/>
      <c r="G468" s="41"/>
    </row>
    <row r="469" spans="4:7" x14ac:dyDescent="0.2">
      <c r="D469" s="41"/>
      <c r="E469" s="41"/>
      <c r="F469" s="41"/>
      <c r="G469" s="41"/>
    </row>
    <row r="470" spans="4:7" x14ac:dyDescent="0.2">
      <c r="D470" s="41"/>
      <c r="E470" s="41"/>
      <c r="F470" s="41"/>
      <c r="G470" s="41"/>
    </row>
    <row r="471" spans="4:7" x14ac:dyDescent="0.2">
      <c r="D471" s="41"/>
      <c r="E471" s="41"/>
      <c r="F471" s="41"/>
      <c r="G471" s="41"/>
    </row>
    <row r="472" spans="4:7" x14ac:dyDescent="0.2">
      <c r="D472" s="41"/>
      <c r="E472" s="41"/>
      <c r="F472" s="41"/>
      <c r="G472" s="41"/>
    </row>
    <row r="473" spans="4:7" x14ac:dyDescent="0.2">
      <c r="D473" s="41"/>
      <c r="E473" s="41"/>
      <c r="F473" s="41"/>
      <c r="G473" s="41"/>
    </row>
    <row r="474" spans="4:7" x14ac:dyDescent="0.2">
      <c r="D474" s="41"/>
      <c r="E474" s="41"/>
      <c r="F474" s="41"/>
      <c r="G474" s="41"/>
    </row>
    <row r="475" spans="4:7" x14ac:dyDescent="0.2">
      <c r="D475" s="41"/>
      <c r="E475" s="41"/>
      <c r="F475" s="41"/>
      <c r="G475" s="41"/>
    </row>
    <row r="476" spans="4:7" x14ac:dyDescent="0.2">
      <c r="D476" s="41"/>
      <c r="E476" s="41"/>
      <c r="F476" s="41"/>
      <c r="G476" s="41"/>
    </row>
    <row r="477" spans="4:7" x14ac:dyDescent="0.2">
      <c r="D477" s="41"/>
      <c r="E477" s="41"/>
      <c r="F477" s="41"/>
      <c r="G477" s="41"/>
    </row>
    <row r="478" spans="4:7" x14ac:dyDescent="0.2">
      <c r="D478" s="41"/>
      <c r="E478" s="41"/>
      <c r="F478" s="41"/>
      <c r="G478" s="41"/>
    </row>
    <row r="479" spans="4:7" x14ac:dyDescent="0.2">
      <c r="D479" s="41"/>
      <c r="E479" s="41"/>
      <c r="F479" s="41"/>
      <c r="G479" s="41"/>
    </row>
    <row r="480" spans="4:7" x14ac:dyDescent="0.2">
      <c r="D480" s="41"/>
      <c r="E480" s="41"/>
      <c r="F480" s="41"/>
      <c r="G480" s="41"/>
    </row>
    <row r="481" spans="4:7" x14ac:dyDescent="0.2">
      <c r="D481" s="41"/>
      <c r="E481" s="41"/>
      <c r="F481" s="41"/>
      <c r="G481" s="41"/>
    </row>
    <row r="482" spans="4:7" x14ac:dyDescent="0.2">
      <c r="D482" s="41"/>
      <c r="E482" s="41"/>
      <c r="F482" s="41"/>
      <c r="G482" s="41"/>
    </row>
    <row r="483" spans="4:7" x14ac:dyDescent="0.2">
      <c r="D483" s="41"/>
      <c r="E483" s="41"/>
      <c r="F483" s="41"/>
      <c r="G483" s="41"/>
    </row>
    <row r="484" spans="4:7" x14ac:dyDescent="0.2">
      <c r="D484" s="41"/>
      <c r="E484" s="41"/>
      <c r="F484" s="41"/>
      <c r="G484" s="41"/>
    </row>
    <row r="485" spans="4:7" x14ac:dyDescent="0.2">
      <c r="D485" s="41"/>
      <c r="E485" s="41"/>
      <c r="F485" s="41"/>
      <c r="G485" s="41"/>
    </row>
    <row r="486" spans="4:7" x14ac:dyDescent="0.2">
      <c r="D486" s="41"/>
      <c r="E486" s="41"/>
      <c r="F486" s="41"/>
      <c r="G486" s="41"/>
    </row>
    <row r="487" spans="4:7" x14ac:dyDescent="0.2">
      <c r="D487" s="41"/>
      <c r="E487" s="41"/>
      <c r="F487" s="41"/>
      <c r="G487" s="41"/>
    </row>
    <row r="488" spans="4:7" x14ac:dyDescent="0.2">
      <c r="D488" s="41"/>
      <c r="E488" s="41"/>
      <c r="F488" s="41"/>
      <c r="G488" s="41"/>
    </row>
    <row r="489" spans="4:7" x14ac:dyDescent="0.2">
      <c r="D489" s="41"/>
      <c r="E489" s="41"/>
      <c r="F489" s="41"/>
      <c r="G489" s="41"/>
    </row>
    <row r="490" spans="4:7" x14ac:dyDescent="0.2">
      <c r="D490" s="41"/>
      <c r="E490" s="41"/>
      <c r="F490" s="41"/>
      <c r="G490" s="41"/>
    </row>
    <row r="491" spans="4:7" x14ac:dyDescent="0.2">
      <c r="D491" s="41"/>
      <c r="E491" s="41"/>
      <c r="F491" s="41"/>
      <c r="G491" s="41"/>
    </row>
    <row r="492" spans="4:7" x14ac:dyDescent="0.2">
      <c r="D492" s="41"/>
      <c r="E492" s="41"/>
      <c r="F492" s="41"/>
      <c r="G492" s="41"/>
    </row>
    <row r="493" spans="4:7" x14ac:dyDescent="0.2">
      <c r="D493" s="41"/>
      <c r="E493" s="41"/>
      <c r="F493" s="41"/>
      <c r="G493" s="41"/>
    </row>
    <row r="494" spans="4:7" x14ac:dyDescent="0.2">
      <c r="D494" s="41"/>
      <c r="E494" s="41"/>
      <c r="F494" s="41"/>
      <c r="G494" s="41"/>
    </row>
    <row r="495" spans="4:7" x14ac:dyDescent="0.2">
      <c r="D495" s="41"/>
      <c r="E495" s="41"/>
      <c r="F495" s="41"/>
      <c r="G495" s="41"/>
    </row>
    <row r="496" spans="4:7" x14ac:dyDescent="0.2">
      <c r="D496" s="41"/>
      <c r="E496" s="41"/>
      <c r="F496" s="41"/>
      <c r="G496" s="41"/>
    </row>
    <row r="497" spans="4:7" x14ac:dyDescent="0.2">
      <c r="D497" s="41"/>
      <c r="E497" s="41"/>
      <c r="F497" s="41"/>
      <c r="G497" s="41"/>
    </row>
    <row r="498" spans="4:7" x14ac:dyDescent="0.2">
      <c r="D498" s="41"/>
      <c r="E498" s="41"/>
      <c r="F498" s="41"/>
      <c r="G498" s="41"/>
    </row>
    <row r="499" spans="4:7" x14ac:dyDescent="0.2">
      <c r="D499" s="41"/>
      <c r="E499" s="41"/>
      <c r="F499" s="41"/>
      <c r="G499" s="41"/>
    </row>
    <row r="500" spans="4:7" x14ac:dyDescent="0.2">
      <c r="D500" s="41"/>
      <c r="E500" s="41"/>
      <c r="F500" s="41"/>
      <c r="G500" s="41"/>
    </row>
    <row r="501" spans="4:7" x14ac:dyDescent="0.2">
      <c r="D501" s="41"/>
      <c r="E501" s="41"/>
      <c r="F501" s="41"/>
      <c r="G501" s="41"/>
    </row>
    <row r="502" spans="4:7" x14ac:dyDescent="0.2">
      <c r="D502" s="41"/>
      <c r="E502" s="41"/>
      <c r="F502" s="41"/>
      <c r="G502" s="41"/>
    </row>
    <row r="503" spans="4:7" x14ac:dyDescent="0.2">
      <c r="D503" s="41"/>
      <c r="E503" s="41"/>
      <c r="F503" s="41"/>
      <c r="G503" s="41"/>
    </row>
    <row r="504" spans="4:7" x14ac:dyDescent="0.2">
      <c r="D504" s="41"/>
      <c r="E504" s="41"/>
      <c r="F504" s="41"/>
      <c r="G504" s="41"/>
    </row>
    <row r="505" spans="4:7" x14ac:dyDescent="0.2">
      <c r="D505" s="41"/>
      <c r="E505" s="41"/>
      <c r="F505" s="41"/>
      <c r="G505" s="41"/>
    </row>
    <row r="506" spans="4:7" x14ac:dyDescent="0.2">
      <c r="D506" s="41"/>
      <c r="E506" s="41"/>
      <c r="F506" s="41"/>
      <c r="G506" s="41"/>
    </row>
    <row r="507" spans="4:7" x14ac:dyDescent="0.2">
      <c r="D507" s="41"/>
      <c r="E507" s="41"/>
      <c r="F507" s="41"/>
      <c r="G507" s="41"/>
    </row>
    <row r="508" spans="4:7" x14ac:dyDescent="0.2">
      <c r="D508" s="41"/>
      <c r="E508" s="41"/>
      <c r="F508" s="41"/>
      <c r="G508" s="41"/>
    </row>
    <row r="509" spans="4:7" x14ac:dyDescent="0.2">
      <c r="D509" s="41"/>
      <c r="E509" s="41"/>
      <c r="F509" s="41"/>
      <c r="G509" s="41"/>
    </row>
    <row r="510" spans="4:7" x14ac:dyDescent="0.2">
      <c r="D510" s="41"/>
      <c r="E510" s="41"/>
      <c r="F510" s="41"/>
      <c r="G510" s="41"/>
    </row>
    <row r="511" spans="4:7" x14ac:dyDescent="0.2">
      <c r="D511" s="41"/>
      <c r="E511" s="41"/>
      <c r="F511" s="41"/>
      <c r="G511" s="41"/>
    </row>
    <row r="512" spans="4:7" x14ac:dyDescent="0.2">
      <c r="D512" s="41"/>
      <c r="E512" s="41"/>
      <c r="F512" s="41"/>
      <c r="G512" s="41"/>
    </row>
    <row r="513" spans="4:7" x14ac:dyDescent="0.2">
      <c r="D513" s="41"/>
      <c r="E513" s="41"/>
      <c r="F513" s="41"/>
      <c r="G513" s="41"/>
    </row>
    <row r="514" spans="4:7" x14ac:dyDescent="0.2">
      <c r="D514" s="41"/>
      <c r="E514" s="41"/>
      <c r="F514" s="41"/>
      <c r="G514" s="41"/>
    </row>
    <row r="515" spans="4:7" x14ac:dyDescent="0.2">
      <c r="D515" s="41"/>
      <c r="E515" s="41"/>
      <c r="F515" s="41"/>
      <c r="G515" s="41"/>
    </row>
    <row r="516" spans="4:7" x14ac:dyDescent="0.2">
      <c r="D516" s="41"/>
      <c r="E516" s="41"/>
      <c r="F516" s="41"/>
      <c r="G516" s="41"/>
    </row>
    <row r="517" spans="4:7" x14ac:dyDescent="0.2">
      <c r="D517" s="41"/>
      <c r="E517" s="41"/>
      <c r="F517" s="41"/>
      <c r="G517" s="41"/>
    </row>
    <row r="518" spans="4:7" x14ac:dyDescent="0.2">
      <c r="D518" s="41"/>
      <c r="E518" s="41"/>
      <c r="F518" s="41"/>
      <c r="G518" s="41"/>
    </row>
    <row r="519" spans="4:7" x14ac:dyDescent="0.2">
      <c r="D519" s="41"/>
      <c r="E519" s="41"/>
      <c r="F519" s="41"/>
      <c r="G519" s="41"/>
    </row>
    <row r="520" spans="4:7" x14ac:dyDescent="0.2">
      <c r="D520" s="41"/>
      <c r="E520" s="41"/>
      <c r="F520" s="41"/>
      <c r="G520" s="41"/>
    </row>
    <row r="521" spans="4:7" x14ac:dyDescent="0.2">
      <c r="D521" s="41"/>
      <c r="E521" s="41"/>
      <c r="F521" s="41"/>
      <c r="G521" s="41"/>
    </row>
    <row r="522" spans="4:7" x14ac:dyDescent="0.2">
      <c r="D522" s="41"/>
      <c r="E522" s="41"/>
      <c r="F522" s="41"/>
      <c r="G522" s="41"/>
    </row>
    <row r="523" spans="4:7" x14ac:dyDescent="0.2">
      <c r="D523" s="41"/>
      <c r="E523" s="41"/>
      <c r="F523" s="41"/>
      <c r="G523" s="41"/>
    </row>
    <row r="524" spans="4:7" x14ac:dyDescent="0.2">
      <c r="D524" s="41"/>
      <c r="E524" s="41"/>
      <c r="F524" s="41"/>
      <c r="G524" s="41"/>
    </row>
    <row r="525" spans="4:7" x14ac:dyDescent="0.2">
      <c r="D525" s="41"/>
      <c r="E525" s="41"/>
      <c r="F525" s="41"/>
      <c r="G525" s="41"/>
    </row>
    <row r="526" spans="4:7" x14ac:dyDescent="0.2">
      <c r="D526" s="41"/>
      <c r="E526" s="41"/>
      <c r="F526" s="41"/>
      <c r="G526" s="41"/>
    </row>
    <row r="527" spans="4:7" x14ac:dyDescent="0.2">
      <c r="D527" s="41"/>
      <c r="E527" s="41"/>
      <c r="F527" s="41"/>
      <c r="G527" s="41"/>
    </row>
    <row r="528" spans="4:7" x14ac:dyDescent="0.2">
      <c r="D528" s="41"/>
      <c r="E528" s="41"/>
      <c r="F528" s="41"/>
      <c r="G528" s="41"/>
    </row>
    <row r="529" spans="4:7" x14ac:dyDescent="0.2">
      <c r="D529" s="41"/>
      <c r="E529" s="41"/>
      <c r="F529" s="41"/>
      <c r="G529" s="41"/>
    </row>
    <row r="530" spans="4:7" x14ac:dyDescent="0.2">
      <c r="D530" s="41"/>
      <c r="E530" s="41"/>
      <c r="F530" s="41"/>
      <c r="G530" s="41"/>
    </row>
    <row r="531" spans="4:7" x14ac:dyDescent="0.2">
      <c r="D531" s="41"/>
      <c r="E531" s="41"/>
      <c r="F531" s="41"/>
      <c r="G531" s="41"/>
    </row>
    <row r="532" spans="4:7" x14ac:dyDescent="0.2">
      <c r="D532" s="41"/>
      <c r="E532" s="41"/>
      <c r="F532" s="41"/>
      <c r="G532" s="41"/>
    </row>
    <row r="533" spans="4:7" x14ac:dyDescent="0.2">
      <c r="D533" s="41"/>
      <c r="E533" s="41"/>
      <c r="F533" s="41"/>
      <c r="G533" s="41"/>
    </row>
    <row r="534" spans="4:7" x14ac:dyDescent="0.2">
      <c r="D534" s="41"/>
      <c r="E534" s="41"/>
      <c r="F534" s="41"/>
      <c r="G534" s="41"/>
    </row>
    <row r="535" spans="4:7" x14ac:dyDescent="0.2">
      <c r="D535" s="41"/>
      <c r="E535" s="41"/>
      <c r="F535" s="41"/>
      <c r="G535" s="41"/>
    </row>
    <row r="536" spans="4:7" x14ac:dyDescent="0.2">
      <c r="D536" s="41"/>
      <c r="E536" s="41"/>
      <c r="F536" s="41"/>
      <c r="G536" s="41"/>
    </row>
    <row r="537" spans="4:7" x14ac:dyDescent="0.2">
      <c r="D537" s="41"/>
      <c r="E537" s="41"/>
      <c r="F537" s="41"/>
      <c r="G537" s="41"/>
    </row>
    <row r="538" spans="4:7" x14ac:dyDescent="0.2">
      <c r="D538" s="41"/>
      <c r="E538" s="41"/>
      <c r="F538" s="41"/>
      <c r="G538" s="41"/>
    </row>
    <row r="539" spans="4:7" x14ac:dyDescent="0.2">
      <c r="D539" s="41"/>
      <c r="E539" s="41"/>
      <c r="F539" s="41"/>
      <c r="G539" s="41"/>
    </row>
    <row r="540" spans="4:7" x14ac:dyDescent="0.2">
      <c r="D540" s="41"/>
      <c r="E540" s="41"/>
      <c r="F540" s="41"/>
      <c r="G540" s="41"/>
    </row>
    <row r="541" spans="4:7" x14ac:dyDescent="0.2">
      <c r="D541" s="41"/>
      <c r="E541" s="41"/>
      <c r="F541" s="41"/>
      <c r="G541" s="41"/>
    </row>
    <row r="542" spans="4:7" x14ac:dyDescent="0.2">
      <c r="D542" s="41"/>
      <c r="E542" s="41"/>
      <c r="F542" s="41"/>
      <c r="G542" s="41"/>
    </row>
    <row r="543" spans="4:7" x14ac:dyDescent="0.2">
      <c r="D543" s="41"/>
      <c r="E543" s="41"/>
      <c r="F543" s="41"/>
      <c r="G543" s="41"/>
    </row>
    <row r="544" spans="4:7" x14ac:dyDescent="0.2">
      <c r="D544" s="41"/>
      <c r="E544" s="41"/>
      <c r="F544" s="41"/>
      <c r="G544" s="41"/>
    </row>
    <row r="545" spans="4:7" x14ac:dyDescent="0.2">
      <c r="D545" s="41"/>
      <c r="E545" s="41"/>
      <c r="F545" s="41"/>
      <c r="G545" s="41"/>
    </row>
    <row r="546" spans="4:7" x14ac:dyDescent="0.2">
      <c r="D546" s="41"/>
      <c r="E546" s="41"/>
      <c r="F546" s="41"/>
      <c r="G546" s="41"/>
    </row>
    <row r="547" spans="4:7" x14ac:dyDescent="0.2">
      <c r="D547" s="41"/>
      <c r="E547" s="41"/>
      <c r="F547" s="41"/>
      <c r="G547" s="41"/>
    </row>
    <row r="548" spans="4:7" x14ac:dyDescent="0.2">
      <c r="D548" s="41"/>
      <c r="E548" s="41"/>
      <c r="F548" s="41"/>
      <c r="G548" s="41"/>
    </row>
    <row r="549" spans="4:7" x14ac:dyDescent="0.2">
      <c r="D549" s="41"/>
      <c r="E549" s="41"/>
      <c r="F549" s="41"/>
      <c r="G549" s="41"/>
    </row>
    <row r="550" spans="4:7" x14ac:dyDescent="0.2">
      <c r="D550" s="41"/>
      <c r="E550" s="41"/>
      <c r="F550" s="41"/>
      <c r="G550" s="41"/>
    </row>
    <row r="551" spans="4:7" x14ac:dyDescent="0.2">
      <c r="D551" s="41"/>
      <c r="E551" s="41"/>
      <c r="F551" s="41"/>
      <c r="G551" s="41"/>
    </row>
    <row r="552" spans="4:7" x14ac:dyDescent="0.2">
      <c r="D552" s="41"/>
      <c r="E552" s="41"/>
      <c r="F552" s="41"/>
      <c r="G552" s="41"/>
    </row>
    <row r="553" spans="4:7" x14ac:dyDescent="0.2">
      <c r="D553" s="41"/>
      <c r="E553" s="41"/>
      <c r="F553" s="41"/>
      <c r="G553" s="41"/>
    </row>
    <row r="554" spans="4:7" x14ac:dyDescent="0.2">
      <c r="D554" s="41"/>
      <c r="E554" s="41"/>
      <c r="F554" s="41"/>
      <c r="G554" s="41"/>
    </row>
    <row r="555" spans="4:7" x14ac:dyDescent="0.2">
      <c r="D555" s="41"/>
      <c r="E555" s="41"/>
      <c r="F555" s="41"/>
      <c r="G555" s="41"/>
    </row>
    <row r="556" spans="4:7" x14ac:dyDescent="0.2">
      <c r="D556" s="41"/>
      <c r="E556" s="41"/>
      <c r="F556" s="41"/>
      <c r="G556" s="41"/>
    </row>
    <row r="557" spans="4:7" x14ac:dyDescent="0.2">
      <c r="D557" s="41"/>
      <c r="E557" s="41"/>
      <c r="F557" s="41"/>
      <c r="G557" s="41"/>
    </row>
    <row r="558" spans="4:7" x14ac:dyDescent="0.2">
      <c r="D558" s="41"/>
      <c r="E558" s="41"/>
      <c r="F558" s="41"/>
      <c r="G558" s="41"/>
    </row>
    <row r="559" spans="4:7" x14ac:dyDescent="0.2">
      <c r="D559" s="41"/>
      <c r="E559" s="41"/>
      <c r="F559" s="41"/>
      <c r="G559" s="41"/>
    </row>
    <row r="560" spans="4:7" x14ac:dyDescent="0.2">
      <c r="D560" s="41"/>
      <c r="E560" s="41"/>
      <c r="F560" s="41"/>
      <c r="G560" s="41"/>
    </row>
    <row r="561" spans="4:7" x14ac:dyDescent="0.2">
      <c r="D561" s="41"/>
      <c r="E561" s="41"/>
      <c r="F561" s="41"/>
      <c r="G561" s="41"/>
    </row>
    <row r="562" spans="4:7" x14ac:dyDescent="0.2">
      <c r="D562" s="41"/>
      <c r="E562" s="41"/>
      <c r="F562" s="41"/>
      <c r="G562" s="41"/>
    </row>
    <row r="563" spans="4:7" x14ac:dyDescent="0.2">
      <c r="D563" s="41"/>
      <c r="E563" s="41"/>
      <c r="F563" s="41"/>
      <c r="G563" s="41"/>
    </row>
    <row r="564" spans="4:7" x14ac:dyDescent="0.2">
      <c r="D564" s="41"/>
      <c r="E564" s="41"/>
      <c r="F564" s="41"/>
      <c r="G564" s="41"/>
    </row>
    <row r="565" spans="4:7" x14ac:dyDescent="0.2">
      <c r="D565" s="41"/>
      <c r="E565" s="41"/>
      <c r="F565" s="41"/>
      <c r="G565" s="41"/>
    </row>
    <row r="566" spans="4:7" x14ac:dyDescent="0.2">
      <c r="D566" s="41"/>
      <c r="E566" s="41"/>
      <c r="F566" s="41"/>
      <c r="G566" s="41"/>
    </row>
    <row r="567" spans="4:7" x14ac:dyDescent="0.2">
      <c r="D567" s="41"/>
      <c r="E567" s="41"/>
      <c r="F567" s="41"/>
      <c r="G567" s="41"/>
    </row>
    <row r="568" spans="4:7" x14ac:dyDescent="0.2">
      <c r="D568" s="41"/>
      <c r="E568" s="41"/>
      <c r="F568" s="41"/>
      <c r="G568" s="41"/>
    </row>
    <row r="569" spans="4:7" x14ac:dyDescent="0.2">
      <c r="D569" s="41"/>
      <c r="E569" s="41"/>
      <c r="F569" s="41"/>
      <c r="G569" s="41"/>
    </row>
    <row r="570" spans="4:7" x14ac:dyDescent="0.2">
      <c r="D570" s="41"/>
      <c r="E570" s="41"/>
      <c r="F570" s="41"/>
      <c r="G570" s="41"/>
    </row>
    <row r="571" spans="4:7" x14ac:dyDescent="0.2">
      <c r="D571" s="41"/>
      <c r="E571" s="41"/>
      <c r="F571" s="41"/>
      <c r="G571" s="41"/>
    </row>
    <row r="572" spans="4:7" x14ac:dyDescent="0.2">
      <c r="D572" s="41"/>
      <c r="E572" s="41"/>
      <c r="F572" s="41"/>
      <c r="G572" s="41"/>
    </row>
    <row r="573" spans="4:7" x14ac:dyDescent="0.2">
      <c r="D573" s="41"/>
      <c r="E573" s="41"/>
      <c r="F573" s="41"/>
      <c r="G573" s="41"/>
    </row>
    <row r="574" spans="4:7" x14ac:dyDescent="0.2">
      <c r="D574" s="41"/>
      <c r="E574" s="41"/>
      <c r="F574" s="41"/>
      <c r="G574" s="41"/>
    </row>
    <row r="575" spans="4:7" x14ac:dyDescent="0.2">
      <c r="D575" s="41"/>
      <c r="E575" s="41"/>
      <c r="F575" s="41"/>
      <c r="G575" s="41"/>
    </row>
    <row r="576" spans="4:7" x14ac:dyDescent="0.2">
      <c r="D576" s="41"/>
      <c r="E576" s="41"/>
      <c r="F576" s="41"/>
      <c r="G576" s="41"/>
    </row>
    <row r="577" spans="4:7" x14ac:dyDescent="0.2">
      <c r="D577" s="41"/>
      <c r="E577" s="41"/>
      <c r="F577" s="41"/>
      <c r="G577" s="41"/>
    </row>
    <row r="578" spans="4:7" x14ac:dyDescent="0.2">
      <c r="D578" s="41"/>
      <c r="E578" s="41"/>
      <c r="F578" s="41"/>
      <c r="G578" s="41"/>
    </row>
    <row r="579" spans="4:7" x14ac:dyDescent="0.2">
      <c r="D579" s="41"/>
      <c r="E579" s="41"/>
      <c r="F579" s="41"/>
      <c r="G579" s="41"/>
    </row>
    <row r="580" spans="4:7" x14ac:dyDescent="0.2">
      <c r="D580" s="41"/>
      <c r="E580" s="41"/>
      <c r="F580" s="41"/>
      <c r="G580" s="41"/>
    </row>
    <row r="581" spans="4:7" x14ac:dyDescent="0.2">
      <c r="D581" s="41"/>
      <c r="E581" s="41"/>
      <c r="F581" s="41"/>
      <c r="G581" s="41"/>
    </row>
    <row r="582" spans="4:7" x14ac:dyDescent="0.2">
      <c r="D582" s="41"/>
      <c r="E582" s="41"/>
      <c r="F582" s="41"/>
      <c r="G582" s="41"/>
    </row>
    <row r="583" spans="4:7" x14ac:dyDescent="0.2">
      <c r="D583" s="41"/>
      <c r="E583" s="41"/>
      <c r="F583" s="41"/>
      <c r="G583" s="41"/>
    </row>
    <row r="584" spans="4:7" x14ac:dyDescent="0.2">
      <c r="D584" s="41"/>
      <c r="E584" s="41"/>
      <c r="F584" s="41"/>
      <c r="G584" s="41"/>
    </row>
    <row r="585" spans="4:7" x14ac:dyDescent="0.2">
      <c r="D585" s="41"/>
      <c r="E585" s="41"/>
      <c r="F585" s="41"/>
      <c r="G585" s="41"/>
    </row>
    <row r="586" spans="4:7" x14ac:dyDescent="0.2">
      <c r="D586" s="41"/>
      <c r="E586" s="41"/>
      <c r="F586" s="41"/>
      <c r="G586" s="41"/>
    </row>
    <row r="587" spans="4:7" x14ac:dyDescent="0.2">
      <c r="D587" s="41"/>
      <c r="E587" s="41"/>
      <c r="F587" s="41"/>
      <c r="G587" s="41"/>
    </row>
    <row r="588" spans="4:7" x14ac:dyDescent="0.2">
      <c r="D588" s="41"/>
      <c r="E588" s="41"/>
      <c r="F588" s="41"/>
      <c r="G588" s="41"/>
    </row>
    <row r="589" spans="4:7" x14ac:dyDescent="0.2">
      <c r="D589" s="41"/>
      <c r="E589" s="41"/>
      <c r="F589" s="41"/>
      <c r="G589" s="41"/>
    </row>
    <row r="590" spans="4:7" x14ac:dyDescent="0.2">
      <c r="D590" s="41"/>
      <c r="E590" s="41"/>
      <c r="F590" s="41"/>
      <c r="G590" s="41"/>
    </row>
    <row r="591" spans="4:7" x14ac:dyDescent="0.2">
      <c r="D591" s="41"/>
      <c r="E591" s="41"/>
      <c r="F591" s="41"/>
      <c r="G591" s="41"/>
    </row>
    <row r="592" spans="4:7" x14ac:dyDescent="0.2">
      <c r="D592" s="41"/>
      <c r="E592" s="41"/>
      <c r="F592" s="41"/>
      <c r="G592" s="41"/>
    </row>
    <row r="593" spans="4:7" x14ac:dyDescent="0.2">
      <c r="D593" s="41"/>
      <c r="E593" s="41"/>
      <c r="F593" s="41"/>
      <c r="G593" s="41"/>
    </row>
    <row r="594" spans="4:7" x14ac:dyDescent="0.2">
      <c r="D594" s="41"/>
      <c r="E594" s="41"/>
      <c r="F594" s="41"/>
      <c r="G594" s="41"/>
    </row>
    <row r="595" spans="4:7" x14ac:dyDescent="0.2">
      <c r="D595" s="41"/>
      <c r="E595" s="41"/>
      <c r="F595" s="41"/>
      <c r="G595" s="41"/>
    </row>
    <row r="596" spans="4:7" x14ac:dyDescent="0.2">
      <c r="D596" s="41"/>
      <c r="E596" s="41"/>
      <c r="F596" s="41"/>
      <c r="G596" s="41"/>
    </row>
    <row r="597" spans="4:7" x14ac:dyDescent="0.2">
      <c r="D597" s="41"/>
      <c r="E597" s="41"/>
      <c r="F597" s="41"/>
      <c r="G597" s="41"/>
    </row>
    <row r="598" spans="4:7" x14ac:dyDescent="0.2">
      <c r="D598" s="41"/>
      <c r="E598" s="41"/>
      <c r="F598" s="41"/>
      <c r="G598" s="41"/>
    </row>
    <row r="599" spans="4:7" x14ac:dyDescent="0.2">
      <c r="D599" s="41"/>
      <c r="E599" s="41"/>
      <c r="F599" s="41"/>
      <c r="G599" s="41"/>
    </row>
    <row r="600" spans="4:7" x14ac:dyDescent="0.2">
      <c r="D600" s="41"/>
      <c r="E600" s="41"/>
      <c r="F600" s="41"/>
      <c r="G600" s="41"/>
    </row>
    <row r="601" spans="4:7" x14ac:dyDescent="0.2">
      <c r="D601" s="41"/>
      <c r="E601" s="41"/>
      <c r="F601" s="41"/>
      <c r="G601" s="41"/>
    </row>
    <row r="602" spans="4:7" x14ac:dyDescent="0.2">
      <c r="D602" s="41"/>
      <c r="E602" s="41"/>
      <c r="F602" s="41"/>
      <c r="G602" s="41"/>
    </row>
    <row r="603" spans="4:7" x14ac:dyDescent="0.2">
      <c r="D603" s="41"/>
      <c r="E603" s="41"/>
      <c r="F603" s="41"/>
      <c r="G603" s="41"/>
    </row>
    <row r="604" spans="4:7" x14ac:dyDescent="0.2">
      <c r="D604" s="41"/>
      <c r="E604" s="41"/>
      <c r="F604" s="41"/>
      <c r="G604" s="41"/>
    </row>
    <row r="605" spans="4:7" x14ac:dyDescent="0.2">
      <c r="D605" s="41"/>
      <c r="E605" s="41"/>
      <c r="F605" s="41"/>
      <c r="G605" s="41"/>
    </row>
    <row r="606" spans="4:7" x14ac:dyDescent="0.2">
      <c r="D606" s="41"/>
      <c r="E606" s="41"/>
      <c r="F606" s="41"/>
      <c r="G606" s="41"/>
    </row>
    <row r="607" spans="4:7" x14ac:dyDescent="0.2">
      <c r="D607" s="41"/>
      <c r="E607" s="41"/>
      <c r="F607" s="41"/>
      <c r="G607" s="41"/>
    </row>
    <row r="608" spans="4:7" x14ac:dyDescent="0.2">
      <c r="D608" s="41"/>
      <c r="E608" s="41"/>
      <c r="F608" s="41"/>
      <c r="G608" s="41"/>
    </row>
    <row r="609" spans="4:7" x14ac:dyDescent="0.2">
      <c r="D609" s="41"/>
      <c r="E609" s="41"/>
      <c r="F609" s="41"/>
      <c r="G609" s="41"/>
    </row>
    <row r="610" spans="4:7" x14ac:dyDescent="0.2">
      <c r="D610" s="41"/>
      <c r="E610" s="41"/>
      <c r="F610" s="41"/>
      <c r="G610" s="41"/>
    </row>
    <row r="611" spans="4:7" x14ac:dyDescent="0.2">
      <c r="D611" s="41"/>
      <c r="E611" s="41"/>
      <c r="F611" s="41"/>
      <c r="G611" s="41"/>
    </row>
    <row r="612" spans="4:7" x14ac:dyDescent="0.2">
      <c r="D612" s="41"/>
      <c r="E612" s="41"/>
      <c r="F612" s="41"/>
      <c r="G612" s="41"/>
    </row>
    <row r="613" spans="4:7" x14ac:dyDescent="0.2">
      <c r="D613" s="41"/>
      <c r="E613" s="41"/>
      <c r="F613" s="41"/>
      <c r="G613" s="41"/>
    </row>
    <row r="614" spans="4:7" x14ac:dyDescent="0.2">
      <c r="D614" s="41"/>
      <c r="E614" s="41"/>
      <c r="F614" s="41"/>
      <c r="G614" s="41"/>
    </row>
    <row r="615" spans="4:7" x14ac:dyDescent="0.2">
      <c r="D615" s="41"/>
      <c r="E615" s="41"/>
      <c r="F615" s="41"/>
      <c r="G615" s="41"/>
    </row>
    <row r="616" spans="4:7" x14ac:dyDescent="0.2">
      <c r="D616" s="41"/>
      <c r="E616" s="41"/>
      <c r="F616" s="41"/>
      <c r="G616" s="41"/>
    </row>
    <row r="617" spans="4:7" x14ac:dyDescent="0.2">
      <c r="D617" s="41"/>
      <c r="E617" s="41"/>
      <c r="F617" s="41"/>
      <c r="G617" s="41"/>
    </row>
    <row r="618" spans="4:7" x14ac:dyDescent="0.2">
      <c r="D618" s="41"/>
      <c r="E618" s="41"/>
      <c r="F618" s="41"/>
      <c r="G618" s="41"/>
    </row>
    <row r="619" spans="4:7" x14ac:dyDescent="0.2">
      <c r="D619" s="41"/>
      <c r="E619" s="41"/>
      <c r="F619" s="41"/>
      <c r="G619" s="41"/>
    </row>
    <row r="620" spans="4:7" x14ac:dyDescent="0.2">
      <c r="D620" s="41"/>
      <c r="E620" s="41"/>
      <c r="F620" s="41"/>
      <c r="G620" s="41"/>
    </row>
    <row r="621" spans="4:7" x14ac:dyDescent="0.2">
      <c r="D621" s="41"/>
      <c r="E621" s="41"/>
      <c r="F621" s="41"/>
      <c r="G621" s="41"/>
    </row>
    <row r="622" spans="4:7" x14ac:dyDescent="0.2">
      <c r="D622" s="41"/>
      <c r="E622" s="41"/>
      <c r="F622" s="41"/>
      <c r="G622" s="41"/>
    </row>
    <row r="623" spans="4:7" x14ac:dyDescent="0.2">
      <c r="D623" s="41"/>
      <c r="E623" s="41"/>
      <c r="F623" s="41"/>
      <c r="G623" s="41"/>
    </row>
    <row r="624" spans="4:7" x14ac:dyDescent="0.2">
      <c r="D624" s="41"/>
      <c r="E624" s="41"/>
      <c r="F624" s="41"/>
      <c r="G624" s="41"/>
    </row>
    <row r="625" spans="4:7" x14ac:dyDescent="0.2">
      <c r="D625" s="41"/>
      <c r="E625" s="41"/>
      <c r="F625" s="41"/>
      <c r="G625" s="41"/>
    </row>
    <row r="626" spans="4:7" x14ac:dyDescent="0.2">
      <c r="D626" s="41"/>
      <c r="E626" s="41"/>
      <c r="F626" s="41"/>
      <c r="G626" s="41"/>
    </row>
    <row r="627" spans="4:7" x14ac:dyDescent="0.2">
      <c r="D627" s="41"/>
      <c r="E627" s="41"/>
      <c r="F627" s="41"/>
      <c r="G627" s="41"/>
    </row>
    <row r="628" spans="4:7" x14ac:dyDescent="0.2">
      <c r="D628" s="41"/>
      <c r="E628" s="41"/>
      <c r="F628" s="41"/>
      <c r="G628" s="41"/>
    </row>
    <row r="629" spans="4:7" x14ac:dyDescent="0.2">
      <c r="D629" s="41"/>
      <c r="E629" s="41"/>
      <c r="F629" s="41"/>
      <c r="G629" s="41"/>
    </row>
    <row r="630" spans="4:7" x14ac:dyDescent="0.2">
      <c r="D630" s="41"/>
      <c r="E630" s="41"/>
      <c r="F630" s="41"/>
      <c r="G630" s="41"/>
    </row>
    <row r="631" spans="4:7" x14ac:dyDescent="0.2">
      <c r="D631" s="41"/>
      <c r="E631" s="41"/>
      <c r="F631" s="41"/>
      <c r="G631" s="41"/>
    </row>
    <row r="632" spans="4:7" x14ac:dyDescent="0.2">
      <c r="D632" s="41"/>
      <c r="E632" s="41"/>
      <c r="F632" s="41"/>
      <c r="G632" s="41"/>
    </row>
    <row r="633" spans="4:7" x14ac:dyDescent="0.2">
      <c r="D633" s="41"/>
      <c r="E633" s="41"/>
      <c r="F633" s="41"/>
      <c r="G633" s="41"/>
    </row>
    <row r="634" spans="4:7" x14ac:dyDescent="0.2">
      <c r="D634" s="41"/>
      <c r="E634" s="41"/>
      <c r="F634" s="41"/>
      <c r="G634" s="41"/>
    </row>
    <row r="635" spans="4:7" x14ac:dyDescent="0.2">
      <c r="D635" s="41"/>
      <c r="E635" s="41"/>
      <c r="F635" s="41"/>
      <c r="G635" s="41"/>
    </row>
    <row r="636" spans="4:7" x14ac:dyDescent="0.2">
      <c r="D636" s="41"/>
      <c r="E636" s="41"/>
      <c r="F636" s="41"/>
      <c r="G636" s="41"/>
    </row>
    <row r="637" spans="4:7" x14ac:dyDescent="0.2">
      <c r="D637" s="41"/>
      <c r="E637" s="41"/>
      <c r="F637" s="41"/>
      <c r="G637" s="41"/>
    </row>
    <row r="638" spans="4:7" x14ac:dyDescent="0.2">
      <c r="D638" s="41"/>
      <c r="E638" s="41"/>
      <c r="F638" s="41"/>
      <c r="G638" s="41"/>
    </row>
    <row r="639" spans="4:7" x14ac:dyDescent="0.2">
      <c r="D639" s="22"/>
      <c r="F639" s="32"/>
      <c r="G639" s="32"/>
    </row>
    <row r="640" spans="4:7" x14ac:dyDescent="0.2">
      <c r="D640" s="22"/>
      <c r="F640" s="32"/>
      <c r="G640" s="32"/>
    </row>
    <row r="641" spans="4:7" x14ac:dyDescent="0.2">
      <c r="D641" s="22"/>
      <c r="F641" s="32"/>
      <c r="G641" s="32"/>
    </row>
    <row r="642" spans="4:7" x14ac:dyDescent="0.2">
      <c r="D642" s="22"/>
      <c r="F642" s="32"/>
      <c r="G642" s="32"/>
    </row>
    <row r="643" spans="4:7" x14ac:dyDescent="0.2">
      <c r="D643" s="22"/>
      <c r="F643" s="32"/>
      <c r="G643" s="32"/>
    </row>
    <row r="644" spans="4:7" x14ac:dyDescent="0.2">
      <c r="D644" s="22"/>
      <c r="F644" s="32"/>
      <c r="G644" s="32"/>
    </row>
    <row r="645" spans="4:7" x14ac:dyDescent="0.2">
      <c r="D645" s="22"/>
      <c r="F645" s="32"/>
      <c r="G645" s="32"/>
    </row>
    <row r="646" spans="4:7" x14ac:dyDescent="0.2">
      <c r="D646" s="22"/>
      <c r="F646" s="32"/>
      <c r="G646" s="32"/>
    </row>
    <row r="647" spans="4:7" x14ac:dyDescent="0.2">
      <c r="D647" s="22"/>
      <c r="F647" s="32"/>
      <c r="G647" s="32"/>
    </row>
    <row r="648" spans="4:7" x14ac:dyDescent="0.2">
      <c r="D648" s="22"/>
      <c r="F648" s="32"/>
      <c r="G648" s="32"/>
    </row>
    <row r="649" spans="4:7" x14ac:dyDescent="0.2">
      <c r="D649" s="22"/>
      <c r="F649" s="32"/>
      <c r="G649" s="32"/>
    </row>
    <row r="650" spans="4:7" x14ac:dyDescent="0.2">
      <c r="D650" s="22"/>
      <c r="F650" s="32"/>
      <c r="G650" s="32"/>
    </row>
    <row r="651" spans="4:7" x14ac:dyDescent="0.2">
      <c r="D651" s="22"/>
      <c r="F651" s="32"/>
      <c r="G651" s="32"/>
    </row>
    <row r="652" spans="4:7" x14ac:dyDescent="0.2">
      <c r="D652" s="22"/>
      <c r="F652" s="32"/>
      <c r="G652" s="32"/>
    </row>
    <row r="653" spans="4:7" x14ac:dyDescent="0.2">
      <c r="D653" s="22"/>
      <c r="F653" s="32"/>
      <c r="G653" s="32"/>
    </row>
    <row r="654" spans="4:7" x14ac:dyDescent="0.2">
      <c r="D654" s="22"/>
      <c r="F654" s="32"/>
      <c r="G654" s="32"/>
    </row>
    <row r="655" spans="4:7" x14ac:dyDescent="0.2">
      <c r="D655" s="22"/>
      <c r="F655" s="32"/>
      <c r="G655" s="32"/>
    </row>
    <row r="656" spans="4:7" x14ac:dyDescent="0.2">
      <c r="D656" s="22"/>
      <c r="F656" s="32"/>
      <c r="G656" s="32"/>
    </row>
    <row r="657" spans="4:7" x14ac:dyDescent="0.2">
      <c r="D657" s="22"/>
      <c r="F657" s="32"/>
      <c r="G657" s="32"/>
    </row>
    <row r="658" spans="4:7" x14ac:dyDescent="0.2">
      <c r="D658" s="22"/>
      <c r="F658" s="32"/>
      <c r="G658" s="32"/>
    </row>
    <row r="659" spans="4:7" x14ac:dyDescent="0.2">
      <c r="D659" s="22"/>
      <c r="F659" s="32"/>
      <c r="G659" s="32"/>
    </row>
    <row r="660" spans="4:7" x14ac:dyDescent="0.2">
      <c r="D660" s="22"/>
      <c r="F660" s="32"/>
      <c r="G660" s="32"/>
    </row>
    <row r="661" spans="4:7" x14ac:dyDescent="0.2">
      <c r="D661" s="22"/>
      <c r="F661" s="32"/>
      <c r="G661" s="32"/>
    </row>
    <row r="662" spans="4:7" x14ac:dyDescent="0.2">
      <c r="D662" s="22"/>
      <c r="F662" s="32"/>
      <c r="G662" s="32"/>
    </row>
    <row r="663" spans="4:7" x14ac:dyDescent="0.2">
      <c r="D663" s="22"/>
      <c r="F663" s="32"/>
      <c r="G663" s="32"/>
    </row>
    <row r="664" spans="4:7" x14ac:dyDescent="0.2">
      <c r="D664" s="22"/>
      <c r="F664" s="32"/>
      <c r="G664" s="32"/>
    </row>
    <row r="665" spans="4:7" x14ac:dyDescent="0.2">
      <c r="D665" s="22"/>
      <c r="F665" s="32"/>
      <c r="G665" s="32"/>
    </row>
    <row r="666" spans="4:7" x14ac:dyDescent="0.2">
      <c r="D666" s="22"/>
      <c r="F666" s="32"/>
      <c r="G666" s="32"/>
    </row>
    <row r="667" spans="4:7" x14ac:dyDescent="0.2">
      <c r="D667" s="22"/>
      <c r="F667" s="32"/>
      <c r="G667" s="32"/>
    </row>
    <row r="668" spans="4:7" x14ac:dyDescent="0.2">
      <c r="D668" s="22"/>
      <c r="F668" s="32"/>
      <c r="G668" s="32"/>
    </row>
    <row r="669" spans="4:7" x14ac:dyDescent="0.2">
      <c r="D669" s="22"/>
      <c r="F669" s="32"/>
      <c r="G669" s="32"/>
    </row>
    <row r="670" spans="4:7" x14ac:dyDescent="0.2">
      <c r="D670" s="22"/>
      <c r="F670" s="32"/>
      <c r="G670" s="32"/>
    </row>
    <row r="671" spans="4:7" x14ac:dyDescent="0.2">
      <c r="D671" s="22"/>
      <c r="F671" s="32"/>
      <c r="G671" s="32"/>
    </row>
    <row r="672" spans="4:7" x14ac:dyDescent="0.2">
      <c r="D672" s="22"/>
      <c r="F672" s="32"/>
      <c r="G672" s="32"/>
    </row>
    <row r="673" spans="4:7" x14ac:dyDescent="0.2">
      <c r="D673" s="22"/>
      <c r="F673" s="32"/>
      <c r="G673" s="32"/>
    </row>
    <row r="674" spans="4:7" x14ac:dyDescent="0.2">
      <c r="D674" s="22"/>
      <c r="F674" s="32"/>
      <c r="G674" s="32"/>
    </row>
    <row r="675" spans="4:7" x14ac:dyDescent="0.2">
      <c r="D675" s="22"/>
      <c r="F675" s="32"/>
      <c r="G675" s="32"/>
    </row>
    <row r="676" spans="4:7" x14ac:dyDescent="0.2">
      <c r="D676" s="22"/>
      <c r="F676" s="32"/>
      <c r="G676" s="32"/>
    </row>
    <row r="677" spans="4:7" x14ac:dyDescent="0.2">
      <c r="D677" s="22"/>
      <c r="F677" s="32"/>
      <c r="G677" s="32"/>
    </row>
    <row r="678" spans="4:7" x14ac:dyDescent="0.2">
      <c r="D678" s="22"/>
      <c r="F678" s="32"/>
      <c r="G678" s="32"/>
    </row>
    <row r="679" spans="4:7" x14ac:dyDescent="0.2">
      <c r="D679" s="22"/>
      <c r="F679" s="32"/>
      <c r="G679" s="32"/>
    </row>
    <row r="680" spans="4:7" x14ac:dyDescent="0.2">
      <c r="D680" s="22"/>
      <c r="F680" s="32"/>
      <c r="G680" s="32"/>
    </row>
    <row r="681" spans="4:7" x14ac:dyDescent="0.2">
      <c r="D681" s="22"/>
      <c r="F681" s="32"/>
      <c r="G681" s="32"/>
    </row>
    <row r="682" spans="4:7" x14ac:dyDescent="0.2">
      <c r="D682" s="22"/>
      <c r="F682" s="32"/>
      <c r="G682" s="32"/>
    </row>
    <row r="683" spans="4:7" x14ac:dyDescent="0.2">
      <c r="D683" s="22"/>
      <c r="F683" s="32"/>
      <c r="G683" s="32"/>
    </row>
    <row r="684" spans="4:7" x14ac:dyDescent="0.2">
      <c r="D684" s="22"/>
      <c r="F684" s="32"/>
      <c r="G684" s="32"/>
    </row>
    <row r="685" spans="4:7" x14ac:dyDescent="0.2">
      <c r="D685" s="22"/>
      <c r="F685" s="32"/>
      <c r="G685" s="32"/>
    </row>
    <row r="686" spans="4:7" x14ac:dyDescent="0.2">
      <c r="D686" s="22"/>
      <c r="F686" s="32"/>
      <c r="G686" s="32"/>
    </row>
    <row r="687" spans="4:7" x14ac:dyDescent="0.2">
      <c r="D687" s="22"/>
      <c r="F687" s="32"/>
      <c r="G687" s="32"/>
    </row>
    <row r="688" spans="4:7" x14ac:dyDescent="0.2">
      <c r="D688" s="22"/>
      <c r="F688" s="32"/>
      <c r="G688" s="32"/>
    </row>
    <row r="689" spans="4:7" x14ac:dyDescent="0.2">
      <c r="D689" s="22"/>
      <c r="F689" s="32"/>
      <c r="G689" s="32"/>
    </row>
    <row r="690" spans="4:7" x14ac:dyDescent="0.2">
      <c r="D690" s="22"/>
      <c r="F690" s="32"/>
      <c r="G690" s="32"/>
    </row>
    <row r="691" spans="4:7" x14ac:dyDescent="0.2">
      <c r="D691" s="22"/>
      <c r="F691" s="32"/>
      <c r="G691" s="32"/>
    </row>
    <row r="692" spans="4:7" x14ac:dyDescent="0.2">
      <c r="D692" s="22"/>
      <c r="F692" s="32"/>
      <c r="G692" s="32"/>
    </row>
    <row r="693" spans="4:7" x14ac:dyDescent="0.2">
      <c r="D693" s="22"/>
      <c r="F693" s="32"/>
      <c r="G693" s="32"/>
    </row>
    <row r="694" spans="4:7" x14ac:dyDescent="0.2">
      <c r="D694" s="22"/>
      <c r="F694" s="32"/>
      <c r="G694" s="32"/>
    </row>
    <row r="695" spans="4:7" x14ac:dyDescent="0.2">
      <c r="D695" s="22"/>
      <c r="F695" s="32"/>
      <c r="G695" s="32"/>
    </row>
    <row r="696" spans="4:7" x14ac:dyDescent="0.2">
      <c r="D696" s="22"/>
      <c r="F696" s="32"/>
      <c r="G696" s="32"/>
    </row>
    <row r="697" spans="4:7" x14ac:dyDescent="0.2">
      <c r="D697" s="22"/>
      <c r="F697" s="32"/>
      <c r="G697" s="32"/>
    </row>
    <row r="698" spans="4:7" x14ac:dyDescent="0.2">
      <c r="D698" s="22"/>
      <c r="F698" s="32"/>
      <c r="G698" s="32"/>
    </row>
    <row r="699" spans="4:7" x14ac:dyDescent="0.2">
      <c r="D699" s="22"/>
      <c r="F699" s="32"/>
      <c r="G699" s="32"/>
    </row>
    <row r="700" spans="4:7" x14ac:dyDescent="0.2">
      <c r="D700" s="22"/>
      <c r="F700" s="32"/>
      <c r="G700" s="32"/>
    </row>
    <row r="701" spans="4:7" x14ac:dyDescent="0.2">
      <c r="D701" s="22"/>
      <c r="F701" s="32"/>
      <c r="G701" s="32"/>
    </row>
    <row r="702" spans="4:7" x14ac:dyDescent="0.2">
      <c r="D702" s="22"/>
      <c r="F702" s="32"/>
      <c r="G702" s="32"/>
    </row>
    <row r="703" spans="4:7" x14ac:dyDescent="0.2">
      <c r="D703" s="22"/>
      <c r="F703" s="32"/>
      <c r="G703" s="32"/>
    </row>
    <row r="704" spans="4:7" x14ac:dyDescent="0.2">
      <c r="D704" s="22"/>
      <c r="F704" s="32"/>
      <c r="G704" s="32"/>
    </row>
    <row r="705" spans="4:7" x14ac:dyDescent="0.2">
      <c r="D705" s="22"/>
      <c r="F705" s="32"/>
      <c r="G705" s="32"/>
    </row>
    <row r="706" spans="4:7" x14ac:dyDescent="0.2">
      <c r="D706" s="22"/>
      <c r="F706" s="32"/>
      <c r="G706" s="32"/>
    </row>
    <row r="707" spans="4:7" x14ac:dyDescent="0.2">
      <c r="D707" s="22"/>
      <c r="F707" s="32"/>
      <c r="G707" s="32"/>
    </row>
    <row r="708" spans="4:7" x14ac:dyDescent="0.2">
      <c r="D708" s="22"/>
      <c r="F708" s="32"/>
      <c r="G708" s="32"/>
    </row>
    <row r="709" spans="4:7" x14ac:dyDescent="0.2">
      <c r="D709" s="22"/>
      <c r="F709" s="32"/>
      <c r="G709" s="32"/>
    </row>
    <row r="710" spans="4:7" x14ac:dyDescent="0.2">
      <c r="D710" s="22"/>
      <c r="F710" s="32"/>
      <c r="G710" s="32"/>
    </row>
    <row r="711" spans="4:7" x14ac:dyDescent="0.2">
      <c r="D711" s="22"/>
      <c r="F711" s="32"/>
      <c r="G711" s="32"/>
    </row>
    <row r="712" spans="4:7" x14ac:dyDescent="0.2">
      <c r="D712" s="22"/>
      <c r="F712" s="32"/>
      <c r="G712" s="32"/>
    </row>
    <row r="713" spans="4:7" x14ac:dyDescent="0.2">
      <c r="D713" s="22"/>
      <c r="F713" s="32"/>
      <c r="G713" s="32"/>
    </row>
    <row r="714" spans="4:7" x14ac:dyDescent="0.2">
      <c r="D714" s="22"/>
      <c r="F714" s="32"/>
      <c r="G714" s="32"/>
    </row>
    <row r="715" spans="4:7" x14ac:dyDescent="0.2">
      <c r="D715" s="22"/>
      <c r="F715" s="32"/>
      <c r="G715" s="32"/>
    </row>
    <row r="716" spans="4:7" x14ac:dyDescent="0.2">
      <c r="D716" s="22"/>
      <c r="F716" s="32"/>
      <c r="G716" s="32"/>
    </row>
    <row r="717" spans="4:7" x14ac:dyDescent="0.2">
      <c r="D717" s="22"/>
      <c r="F717" s="32"/>
      <c r="G717" s="32"/>
    </row>
    <row r="718" spans="4:7" x14ac:dyDescent="0.2">
      <c r="D718" s="22"/>
      <c r="F718" s="32"/>
      <c r="G718" s="32"/>
    </row>
    <row r="719" spans="4:7" x14ac:dyDescent="0.2">
      <c r="D719" s="22"/>
      <c r="F719" s="32"/>
      <c r="G719" s="32"/>
    </row>
    <row r="720" spans="4:7" x14ac:dyDescent="0.2">
      <c r="D720" s="22"/>
      <c r="F720" s="32"/>
      <c r="G720" s="32"/>
    </row>
    <row r="721" spans="4:7" x14ac:dyDescent="0.2">
      <c r="D721" s="22"/>
      <c r="F721" s="32"/>
      <c r="G721" s="32"/>
    </row>
    <row r="722" spans="4:7" x14ac:dyDescent="0.2">
      <c r="D722" s="22"/>
      <c r="F722" s="32"/>
      <c r="G722" s="32"/>
    </row>
    <row r="723" spans="4:7" x14ac:dyDescent="0.2">
      <c r="D723" s="22"/>
      <c r="F723" s="32"/>
      <c r="G723" s="32"/>
    </row>
    <row r="724" spans="4:7" x14ac:dyDescent="0.2">
      <c r="D724" s="22"/>
      <c r="F724" s="32"/>
      <c r="G724" s="32"/>
    </row>
    <row r="725" spans="4:7" x14ac:dyDescent="0.2">
      <c r="D725" s="22"/>
      <c r="F725" s="32"/>
      <c r="G725" s="32"/>
    </row>
    <row r="726" spans="4:7" x14ac:dyDescent="0.2">
      <c r="D726" s="22"/>
      <c r="F726" s="32"/>
      <c r="G726" s="32"/>
    </row>
    <row r="727" spans="4:7" x14ac:dyDescent="0.2">
      <c r="D727" s="22"/>
      <c r="F727" s="32"/>
      <c r="G727" s="32"/>
    </row>
    <row r="728" spans="4:7" x14ac:dyDescent="0.2">
      <c r="D728" s="22"/>
      <c r="F728" s="32"/>
      <c r="G728" s="32"/>
    </row>
    <row r="729" spans="4:7" x14ac:dyDescent="0.2">
      <c r="D729" s="22"/>
      <c r="F729" s="32"/>
      <c r="G729" s="32"/>
    </row>
    <row r="730" spans="4:7" x14ac:dyDescent="0.2">
      <c r="D730" s="22"/>
      <c r="F730" s="32"/>
      <c r="G730" s="32"/>
    </row>
    <row r="731" spans="4:7" x14ac:dyDescent="0.2">
      <c r="D731" s="22"/>
      <c r="F731" s="32"/>
      <c r="G731" s="32"/>
    </row>
    <row r="732" spans="4:7" x14ac:dyDescent="0.2">
      <c r="D732" s="22"/>
      <c r="F732" s="32"/>
      <c r="G732" s="32"/>
    </row>
    <row r="733" spans="4:7" x14ac:dyDescent="0.2">
      <c r="D733" s="22"/>
      <c r="F733" s="32"/>
      <c r="G733" s="32"/>
    </row>
    <row r="734" spans="4:7" x14ac:dyDescent="0.2">
      <c r="D734" s="22"/>
      <c r="F734" s="32"/>
      <c r="G734" s="32"/>
    </row>
    <row r="735" spans="4:7" x14ac:dyDescent="0.2">
      <c r="D735" s="22"/>
      <c r="F735" s="32"/>
      <c r="G735" s="32"/>
    </row>
    <row r="736" spans="4:7" x14ac:dyDescent="0.2">
      <c r="D736" s="22"/>
      <c r="F736" s="32"/>
      <c r="G736" s="32"/>
    </row>
    <row r="737" spans="4:7" x14ac:dyDescent="0.2">
      <c r="D737" s="22"/>
      <c r="F737" s="32"/>
      <c r="G737" s="32"/>
    </row>
    <row r="738" spans="4:7" x14ac:dyDescent="0.2">
      <c r="D738" s="22"/>
      <c r="F738" s="32"/>
      <c r="G738" s="32"/>
    </row>
    <row r="739" spans="4:7" x14ac:dyDescent="0.2">
      <c r="D739" s="22"/>
      <c r="F739" s="32"/>
      <c r="G739" s="32"/>
    </row>
    <row r="740" spans="4:7" x14ac:dyDescent="0.2">
      <c r="D740" s="22"/>
      <c r="F740" s="32"/>
      <c r="G740" s="32"/>
    </row>
    <row r="741" spans="4:7" x14ac:dyDescent="0.2">
      <c r="D741" s="22"/>
      <c r="F741" s="32"/>
      <c r="G741" s="32"/>
    </row>
    <row r="742" spans="4:7" x14ac:dyDescent="0.2">
      <c r="D742" s="22"/>
      <c r="F742" s="32"/>
      <c r="G742" s="32"/>
    </row>
    <row r="743" spans="4:7" x14ac:dyDescent="0.2">
      <c r="D743" s="22"/>
      <c r="F743" s="32"/>
      <c r="G743" s="32"/>
    </row>
    <row r="744" spans="4:7" x14ac:dyDescent="0.2">
      <c r="D744" s="22"/>
      <c r="F744" s="32"/>
      <c r="G744" s="32"/>
    </row>
    <row r="745" spans="4:7" x14ac:dyDescent="0.2">
      <c r="D745" s="22"/>
      <c r="F745" s="32"/>
      <c r="G745" s="32"/>
    </row>
    <row r="746" spans="4:7" x14ac:dyDescent="0.2">
      <c r="D746" s="22"/>
      <c r="F746" s="32"/>
      <c r="G746" s="32"/>
    </row>
    <row r="747" spans="4:7" x14ac:dyDescent="0.2">
      <c r="D747" s="22"/>
      <c r="F747" s="32"/>
      <c r="G747" s="32"/>
    </row>
    <row r="748" spans="4:7" x14ac:dyDescent="0.2">
      <c r="D748" s="22"/>
      <c r="F748" s="32"/>
      <c r="G748" s="32"/>
    </row>
    <row r="749" spans="4:7" x14ac:dyDescent="0.2">
      <c r="D749" s="22"/>
      <c r="F749" s="32"/>
      <c r="G749" s="32"/>
    </row>
    <row r="750" spans="4:7" x14ac:dyDescent="0.2">
      <c r="D750" s="22"/>
      <c r="F750" s="32"/>
      <c r="G750" s="32"/>
    </row>
    <row r="751" spans="4:7" x14ac:dyDescent="0.2">
      <c r="D751" s="22"/>
      <c r="F751" s="32"/>
      <c r="G751" s="32"/>
    </row>
    <row r="752" spans="4:7" x14ac:dyDescent="0.2">
      <c r="D752" s="22"/>
      <c r="F752" s="32"/>
      <c r="G752" s="32"/>
    </row>
    <row r="753" spans="4:7" x14ac:dyDescent="0.2">
      <c r="D753" s="22"/>
      <c r="F753" s="32"/>
      <c r="G753" s="32"/>
    </row>
    <row r="754" spans="4:7" x14ac:dyDescent="0.2">
      <c r="D754" s="22"/>
      <c r="F754" s="32"/>
      <c r="G754" s="32"/>
    </row>
    <row r="755" spans="4:7" x14ac:dyDescent="0.2">
      <c r="D755" s="22"/>
      <c r="F755" s="32"/>
      <c r="G755" s="32"/>
    </row>
    <row r="756" spans="4:7" x14ac:dyDescent="0.2">
      <c r="D756" s="22"/>
      <c r="F756" s="32"/>
      <c r="G756" s="32"/>
    </row>
    <row r="757" spans="4:7" x14ac:dyDescent="0.2">
      <c r="D757" s="22"/>
      <c r="F757" s="32"/>
      <c r="G757" s="32"/>
    </row>
    <row r="758" spans="4:7" x14ac:dyDescent="0.2">
      <c r="D758" s="22"/>
      <c r="F758" s="32"/>
      <c r="G758" s="32"/>
    </row>
    <row r="759" spans="4:7" x14ac:dyDescent="0.2">
      <c r="D759" s="22"/>
      <c r="F759" s="32"/>
      <c r="G759" s="32"/>
    </row>
    <row r="760" spans="4:7" x14ac:dyDescent="0.2">
      <c r="D760" s="22"/>
      <c r="F760" s="32"/>
      <c r="G760" s="32"/>
    </row>
    <row r="761" spans="4:7" x14ac:dyDescent="0.2">
      <c r="D761" s="22"/>
      <c r="F761" s="32"/>
      <c r="G761" s="32"/>
    </row>
    <row r="762" spans="4:7" x14ac:dyDescent="0.2">
      <c r="D762" s="22"/>
      <c r="F762" s="32"/>
      <c r="G762" s="32"/>
    </row>
    <row r="763" spans="4:7" x14ac:dyDescent="0.2">
      <c r="D763" s="22"/>
      <c r="F763" s="32"/>
      <c r="G763" s="32"/>
    </row>
    <row r="764" spans="4:7" x14ac:dyDescent="0.2">
      <c r="D764" s="22"/>
      <c r="F764" s="32"/>
      <c r="G764" s="32"/>
    </row>
    <row r="765" spans="4:7" x14ac:dyDescent="0.2">
      <c r="D765" s="22"/>
      <c r="F765" s="32"/>
      <c r="G765" s="32"/>
    </row>
    <row r="766" spans="4:7" x14ac:dyDescent="0.2">
      <c r="D766" s="22"/>
      <c r="F766" s="32"/>
      <c r="G766" s="32"/>
    </row>
    <row r="767" spans="4:7" x14ac:dyDescent="0.2">
      <c r="D767" s="22"/>
      <c r="F767" s="32"/>
      <c r="G767" s="32"/>
    </row>
    <row r="768" spans="4:7" x14ac:dyDescent="0.2">
      <c r="D768" s="22"/>
      <c r="F768" s="32"/>
      <c r="G768" s="32"/>
    </row>
    <row r="769" spans="4:7" x14ac:dyDescent="0.2">
      <c r="D769" s="22"/>
      <c r="F769" s="32"/>
      <c r="G769" s="32"/>
    </row>
    <row r="770" spans="4:7" x14ac:dyDescent="0.2">
      <c r="D770" s="22"/>
      <c r="F770" s="32"/>
      <c r="G770" s="32"/>
    </row>
    <row r="771" spans="4:7" x14ac:dyDescent="0.2">
      <c r="D771" s="22"/>
      <c r="F771" s="32"/>
      <c r="G771" s="32"/>
    </row>
    <row r="772" spans="4:7" x14ac:dyDescent="0.2">
      <c r="D772" s="22"/>
      <c r="F772" s="32"/>
      <c r="G772" s="32"/>
    </row>
    <row r="773" spans="4:7" x14ac:dyDescent="0.2">
      <c r="D773" s="22"/>
      <c r="F773" s="32"/>
      <c r="G773" s="32"/>
    </row>
    <row r="774" spans="4:7" x14ac:dyDescent="0.2">
      <c r="D774" s="22"/>
      <c r="F774" s="32"/>
      <c r="G774" s="32"/>
    </row>
    <row r="775" spans="4:7" x14ac:dyDescent="0.2">
      <c r="D775" s="22"/>
      <c r="F775" s="32"/>
      <c r="G775" s="32"/>
    </row>
    <row r="776" spans="4:7" x14ac:dyDescent="0.2">
      <c r="D776" s="22"/>
      <c r="F776" s="32"/>
      <c r="G776" s="32"/>
    </row>
    <row r="777" spans="4:7" x14ac:dyDescent="0.2">
      <c r="D777" s="22"/>
      <c r="F777" s="32"/>
      <c r="G777" s="32"/>
    </row>
    <row r="778" spans="4:7" x14ac:dyDescent="0.2">
      <c r="D778" s="22"/>
      <c r="F778" s="32"/>
      <c r="G778" s="32"/>
    </row>
    <row r="779" spans="4:7" x14ac:dyDescent="0.2">
      <c r="D779" s="22"/>
      <c r="F779" s="32"/>
      <c r="G779" s="32"/>
    </row>
    <row r="780" spans="4:7" x14ac:dyDescent="0.2">
      <c r="D780" s="22"/>
      <c r="F780" s="32"/>
      <c r="G780" s="32"/>
    </row>
    <row r="781" spans="4:7" x14ac:dyDescent="0.2">
      <c r="D781" s="22"/>
      <c r="F781" s="32"/>
      <c r="G781" s="32"/>
    </row>
    <row r="782" spans="4:7" x14ac:dyDescent="0.2">
      <c r="D782" s="22"/>
      <c r="F782" s="32"/>
      <c r="G782" s="32"/>
    </row>
    <row r="783" spans="4:7" x14ac:dyDescent="0.2">
      <c r="D783" s="22"/>
      <c r="F783" s="32"/>
      <c r="G783" s="32"/>
    </row>
    <row r="784" spans="4:7" x14ac:dyDescent="0.2">
      <c r="D784" s="22"/>
      <c r="F784" s="32"/>
      <c r="G784" s="32"/>
    </row>
    <row r="785" spans="4:7" x14ac:dyDescent="0.2">
      <c r="D785" s="22"/>
      <c r="F785" s="32"/>
      <c r="G785" s="32"/>
    </row>
    <row r="786" spans="4:7" x14ac:dyDescent="0.2">
      <c r="D786" s="22"/>
      <c r="F786" s="32"/>
      <c r="G786" s="32"/>
    </row>
    <row r="787" spans="4:7" x14ac:dyDescent="0.2">
      <c r="D787" s="22"/>
      <c r="F787" s="32"/>
      <c r="G787" s="32"/>
    </row>
    <row r="788" spans="4:7" x14ac:dyDescent="0.2">
      <c r="D788" s="22"/>
      <c r="F788" s="32"/>
      <c r="G788" s="32"/>
    </row>
    <row r="789" spans="4:7" x14ac:dyDescent="0.2">
      <c r="D789" s="22"/>
      <c r="F789" s="32"/>
      <c r="G789" s="32"/>
    </row>
    <row r="790" spans="4:7" x14ac:dyDescent="0.2">
      <c r="D790" s="22"/>
      <c r="F790" s="32"/>
      <c r="G790" s="32"/>
    </row>
    <row r="791" spans="4:7" x14ac:dyDescent="0.2">
      <c r="D791" s="22"/>
      <c r="F791" s="32"/>
      <c r="G791" s="32"/>
    </row>
    <row r="792" spans="4:7" x14ac:dyDescent="0.2">
      <c r="D792" s="22"/>
      <c r="F792" s="32"/>
      <c r="G792" s="32"/>
    </row>
    <row r="793" spans="4:7" x14ac:dyDescent="0.2">
      <c r="D793" s="22"/>
      <c r="F793" s="32"/>
      <c r="G793" s="32"/>
    </row>
    <row r="794" spans="4:7" x14ac:dyDescent="0.2">
      <c r="D794" s="22"/>
      <c r="F794" s="32"/>
      <c r="G794" s="32"/>
    </row>
    <row r="795" spans="4:7" x14ac:dyDescent="0.2">
      <c r="D795" s="22"/>
      <c r="F795" s="32"/>
      <c r="G795" s="32"/>
    </row>
    <row r="796" spans="4:7" x14ac:dyDescent="0.2">
      <c r="D796" s="22"/>
      <c r="F796" s="32"/>
      <c r="G796" s="32"/>
    </row>
    <row r="797" spans="4:7" x14ac:dyDescent="0.2">
      <c r="D797" s="22"/>
      <c r="F797" s="32"/>
      <c r="G797" s="32"/>
    </row>
    <row r="798" spans="4:7" x14ac:dyDescent="0.2">
      <c r="D798" s="22"/>
      <c r="F798" s="32"/>
      <c r="G798" s="32"/>
    </row>
    <row r="799" spans="4:7" x14ac:dyDescent="0.2">
      <c r="D799" s="22"/>
      <c r="F799" s="32"/>
      <c r="G799" s="32"/>
    </row>
    <row r="800" spans="4:7" x14ac:dyDescent="0.2">
      <c r="D800" s="22"/>
      <c r="F800" s="32"/>
      <c r="G800" s="32"/>
    </row>
    <row r="801" spans="4:7" x14ac:dyDescent="0.2">
      <c r="D801" s="22"/>
      <c r="F801" s="32"/>
      <c r="G801" s="32"/>
    </row>
    <row r="802" spans="4:7" x14ac:dyDescent="0.2">
      <c r="D802" s="22"/>
      <c r="F802" s="32"/>
      <c r="G802" s="32"/>
    </row>
    <row r="803" spans="4:7" x14ac:dyDescent="0.2">
      <c r="D803" s="22"/>
      <c r="F803" s="32"/>
      <c r="G803" s="32"/>
    </row>
    <row r="804" spans="4:7" x14ac:dyDescent="0.2">
      <c r="D804" s="22"/>
      <c r="F804" s="32"/>
      <c r="G804" s="32"/>
    </row>
    <row r="805" spans="4:7" x14ac:dyDescent="0.2">
      <c r="D805" s="22"/>
      <c r="F805" s="32"/>
      <c r="G805" s="32"/>
    </row>
    <row r="806" spans="4:7" x14ac:dyDescent="0.2">
      <c r="D806" s="22"/>
      <c r="F806" s="32"/>
      <c r="G806" s="32"/>
    </row>
    <row r="807" spans="4:7" x14ac:dyDescent="0.2">
      <c r="D807" s="22"/>
      <c r="F807" s="32"/>
      <c r="G807" s="32"/>
    </row>
    <row r="808" spans="4:7" x14ac:dyDescent="0.2">
      <c r="D808" s="22"/>
      <c r="F808" s="32"/>
      <c r="G808" s="32"/>
    </row>
    <row r="809" spans="4:7" x14ac:dyDescent="0.2">
      <c r="D809" s="22"/>
      <c r="F809" s="32"/>
      <c r="G809" s="32"/>
    </row>
    <row r="810" spans="4:7" x14ac:dyDescent="0.2">
      <c r="D810" s="22"/>
      <c r="F810" s="32"/>
      <c r="G810" s="32"/>
    </row>
    <row r="811" spans="4:7" x14ac:dyDescent="0.2">
      <c r="D811" s="22"/>
      <c r="F811" s="32"/>
      <c r="G811" s="32"/>
    </row>
    <row r="812" spans="4:7" x14ac:dyDescent="0.2">
      <c r="D812" s="22"/>
    </row>
    <row r="813" spans="4:7" x14ac:dyDescent="0.2">
      <c r="D813" s="22"/>
    </row>
    <row r="814" spans="4:7" x14ac:dyDescent="0.2">
      <c r="D814" s="22"/>
    </row>
    <row r="815" spans="4:7" x14ac:dyDescent="0.2">
      <c r="D815" s="22"/>
    </row>
    <row r="816" spans="4:7" x14ac:dyDescent="0.2">
      <c r="D816" s="22"/>
    </row>
    <row r="817" spans="4:4" x14ac:dyDescent="0.2">
      <c r="D817" s="22"/>
    </row>
    <row r="818" spans="4:4" x14ac:dyDescent="0.2">
      <c r="D818" s="22"/>
    </row>
    <row r="819" spans="4:4" x14ac:dyDescent="0.2">
      <c r="D819" s="22"/>
    </row>
    <row r="820" spans="4:4" x14ac:dyDescent="0.2">
      <c r="D820" s="22"/>
    </row>
    <row r="821" spans="4:4" x14ac:dyDescent="0.2">
      <c r="D821" s="22"/>
    </row>
  </sheetData>
  <sheetProtection algorithmName="SHA-512" hashValue="/DudatcMJhnO9IvagOGOQipKaCOGZpGChKKv7n3H7t8yuLM82Btw3gA3DXELCDzfkzfM8gdzPf3tuyULF4eWqg==" saltValue="5F0YysrQxorv0bzwwp1xZw==" spinCount="100000" sheet="1" scenarios="1"/>
  <mergeCells count="8">
    <mergeCell ref="K14:M14"/>
    <mergeCell ref="B8:F8"/>
    <mergeCell ref="B9:F12"/>
    <mergeCell ref="E2:F2"/>
    <mergeCell ref="E6:F6"/>
    <mergeCell ref="E3:F3"/>
    <mergeCell ref="E4:F4"/>
    <mergeCell ref="E5:F5"/>
  </mergeCells>
  <conditionalFormatting sqref="C15:C250">
    <cfRule type="expression" dxfId="80" priority="5">
      <formula>F15&gt;0</formula>
    </cfRule>
    <cfRule type="expression" dxfId="79" priority="8">
      <formula>D15&lt;1</formula>
    </cfRule>
  </conditionalFormatting>
  <conditionalFormatting sqref="B15:B250">
    <cfRule type="expression" dxfId="78" priority="4">
      <formula>F15&gt;0</formula>
    </cfRule>
    <cfRule type="expression" dxfId="77" priority="6">
      <formula>D15&lt;1</formula>
    </cfRule>
  </conditionalFormatting>
  <conditionalFormatting sqref="E2">
    <cfRule type="containsText" dxfId="76" priority="3" operator="containsText" text="INDIQUE EL ERROR">
      <formula>NOT(ISERROR(SEARCH("INDIQUE EL ERROR",E2)))</formula>
    </cfRule>
  </conditionalFormatting>
  <conditionalFormatting sqref="E6">
    <cfRule type="containsText" dxfId="75" priority="2" operator="containsText" text="REVISE LAS CANTIDADES">
      <formula>NOT(ISERROR(SEARCH("REVISE LAS CANTIDADES",E6)))</formula>
    </cfRule>
  </conditionalFormatting>
  <conditionalFormatting sqref="H15">
    <cfRule type="containsText" dxfId="74" priority="1" operator="containsText" text="INDIQUE EL TIPO DE MÁQUINA QUE BUSCA">
      <formula>NOT(ISERROR(SEARCH("INDIQUE EL TIPO DE MÁQUINA QUE BUSCA",H15)))</formula>
    </cfRule>
  </conditionalFormatting>
  <dataValidations count="7">
    <dataValidation type="list" allowBlank="1" showInputMessage="1" showErrorMessage="1" sqref="C3" xr:uid="{2E929652-D6D0-4F06-A70A-D24EB62A10A9}">
      <formula1>TIPO_DE_MÁQUINA</formula1>
    </dataValidation>
    <dataValidation type="list" allowBlank="1" showInputMessage="1" showErrorMessage="1" sqref="C4" xr:uid="{A7754FE8-8997-46BC-A6F7-8599557456E1}">
      <formula1>INDIRECT($C$3)</formula1>
    </dataValidation>
    <dataValidation type="list" allowBlank="1" showInputMessage="1" showErrorMessage="1" sqref="C5" xr:uid="{06AA0F09-F300-45C8-9B11-EE37586184C0}">
      <formula1>GARANTÍA</formula1>
    </dataValidation>
    <dataValidation type="list" allowBlank="1" showInputMessage="1" showErrorMessage="1" sqref="C6" xr:uid="{A391C69E-34DA-4AE2-A6F7-EDF335B2CDF5}">
      <formula1>_xlfn.ANCHORARRAY($P$15)</formula1>
    </dataValidation>
    <dataValidation type="list" allowBlank="1" showInputMessage="1" sqref="I2" xr:uid="{BA36D73D-0423-4255-881D-9E16AA2320A1}">
      <formula1>_xlfn.ANCHORARRAY($N$15)</formula1>
    </dataValidation>
    <dataValidation allowBlank="1" showInputMessage="1" showErrorMessage="1" promptTitle="Enviar a Back Office" prompt="Indique el número de error del repuesto para continuar" sqref="E2" xr:uid="{91E0652E-DFCC-4648-B4B7-411FF74BB728}"/>
    <dataValidation allowBlank="1" showInputMessage="1" showErrorMessage="1" promptTitle="Enviar a Bodega" prompt="Indique la cantidad de repustos que desea solicitar" sqref="E6" xr:uid="{9F76A37E-4FB7-4540-B8AD-8202750E87C1}"/>
  </dataValidations>
  <hyperlinks>
    <hyperlink ref="U16" r:id="rId1" xr:uid="{39C0574D-2F93-4944-BA84-F318573CD959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3E81F-B4A7-4F46-A773-35D7F43442AE}">
  <sheetPr codeName="Hoja2"/>
  <dimension ref="B2:H368"/>
  <sheetViews>
    <sheetView zoomScale="78" zoomScaleNormal="78" workbookViewId="0">
      <selection activeCell="O5" sqref="O5"/>
    </sheetView>
  </sheetViews>
  <sheetFormatPr baseColWidth="10" defaultColWidth="11.5" defaultRowHeight="16" outlineLevelCol="1" x14ac:dyDescent="0.2"/>
  <cols>
    <col min="1" max="1" width="11.5" style="5"/>
    <col min="2" max="2" width="23.5" style="5" customWidth="1"/>
    <col min="3" max="3" width="32.6640625" style="5" customWidth="1"/>
    <col min="4" max="5" width="11.5" style="5"/>
    <col min="6" max="6" width="11.5" style="5" customWidth="1"/>
    <col min="7" max="7" width="138.5" style="5" hidden="1" customWidth="1" outlineLevel="1"/>
    <col min="8" max="8" width="11.5" style="5" collapsed="1"/>
    <col min="9" max="16384" width="11.5" style="5"/>
  </cols>
  <sheetData>
    <row r="2" spans="2:7" x14ac:dyDescent="0.2">
      <c r="B2" s="4" t="s">
        <v>1499</v>
      </c>
      <c r="C2" s="20">
        <f>Boleta!C2</f>
        <v>2000</v>
      </c>
    </row>
    <row r="3" spans="2:7" x14ac:dyDescent="0.2">
      <c r="B3" s="4" t="s">
        <v>1500</v>
      </c>
      <c r="C3" s="20" t="str">
        <f>Boleta!C3</f>
        <v>ASPIRADORA</v>
      </c>
    </row>
    <row r="4" spans="2:7" x14ac:dyDescent="0.2">
      <c r="B4" s="4" t="s">
        <v>1501</v>
      </c>
      <c r="C4" s="20" t="str">
        <f>Boleta!C4</f>
        <v>A_2004</v>
      </c>
    </row>
    <row r="5" spans="2:7" x14ac:dyDescent="0.2">
      <c r="B5" s="4" t="s">
        <v>16</v>
      </c>
      <c r="C5" s="20">
        <f>Boleta!C5</f>
        <v>0</v>
      </c>
    </row>
    <row r="6" spans="2:7" x14ac:dyDescent="0.2">
      <c r="B6" s="4" t="s">
        <v>1502</v>
      </c>
      <c r="C6" s="20" t="str">
        <f>Boleta!C6</f>
        <v>CÓDIGO_1.629_104</v>
      </c>
    </row>
    <row r="8" spans="2:7" x14ac:dyDescent="0.2">
      <c r="B8" s="60" t="s">
        <v>2203</v>
      </c>
      <c r="C8" s="60"/>
      <c r="D8" s="60"/>
      <c r="E8" s="60"/>
      <c r="F8" s="60"/>
    </row>
    <row r="9" spans="2:7" x14ac:dyDescent="0.2">
      <c r="B9" s="61" t="str">
        <f ca="1">IF(Boleta!B9&gt;"",Boleta!B9&amp;CHAR(10)&amp;CHAR(10),"")&amp;IF(G15&gt;"",G15&amp;CHAR(10)&amp;CHAR(10),"")&amp;IF(G16&gt;"",G16&amp;CHAR(10)&amp;CHAR(10),"")&amp;IF(G17&gt;"",G17&amp;CHAR(10)&amp;CHAR(10),"")&amp;IF(G18&gt;"",G18&amp;CHAR(10)&amp;CHAR(10),"")&amp;IF(G19&gt;"",G19&amp;CHAR(10)&amp;CHAR(10),"")&amp;IF(G20&gt;"",G20&amp;CHAR(10)&amp;CHAR(10),"")&amp;IF(G21&gt;"",G21&amp;CHAR(10)&amp;CHAR(10),"")&amp;IF(G22&gt;"",G22&amp;CHAR(10)&amp;CHAR(10),"")&amp;IF(G23&gt;"",G23&amp;CHAR(10)&amp;CHAR(10),"")&amp;IF(G24&gt;"",G24&amp;CHAR(10)&amp;CHAR(10),"")&amp;IF(G25&gt;"",G25&amp;CHAR(10)&amp;CHAR(10),"")&amp;IF(G26&gt;"",G26&amp;CHAR(10)&amp;CHAR(10),"")&amp;IF(G27&gt;"",G27&amp;CHAR(10)&amp;CHAR(10),"")&amp;IF(G28&gt;"",G28&amp;CHAR(10)&amp;CHAR(10),"")&amp;IF(G29&gt;"",G29&amp;CHAR(10)&amp;CHAR(10),"")&amp;IF(G30&gt;"",G30&amp;CHAR(10)&amp;CHAR(10),"")&amp;IF(G31&gt;"",G31&amp;CHAR(10)&amp;CHAR(10),"")&amp;IF(G32&gt;"",G32&amp;CHAR(10)&amp;CHAR(10),"")&amp;IF(G33&gt;"",G33&amp;CHAR(10)&amp;CHAR(10),"")&amp;IF(G34&gt;"",G34&amp;CHAR(10)&amp;CHAR(10),"")&amp;IF(G35&gt;"",G35&amp;CHAR(10)&amp;CHAR(10),"")&amp;IF(G36&gt;"",G36&amp;CHAR(10)&amp;CHAR(10),"")&amp;IF(G37&gt;"",G37&amp;CHAR(10)&amp;CHAR(10),"")&amp;IF(G38&gt;"",G38&amp;CHAR(10)&amp;CHAR(10),"")&amp;IF(G39&gt;"",G39&amp;CHAR(10)&amp;CHAR(10),"")&amp;IF(G40&gt;"",G40&amp;CHAR(10)&amp;CHAR(10),"")&amp;IF(G41&gt;"",G41&amp;CHAR(10)&amp;CHAR(10),"")</f>
        <v/>
      </c>
      <c r="C9" s="61"/>
      <c r="D9" s="61"/>
      <c r="E9" s="61"/>
      <c r="F9" s="61"/>
    </row>
    <row r="10" spans="2:7" x14ac:dyDescent="0.2">
      <c r="B10" s="61"/>
      <c r="C10" s="61"/>
      <c r="D10" s="61"/>
      <c r="E10" s="61"/>
      <c r="F10" s="61"/>
    </row>
    <row r="11" spans="2:7" x14ac:dyDescent="0.2">
      <c r="B11" s="61"/>
      <c r="C11" s="61"/>
      <c r="D11" s="61"/>
      <c r="E11" s="61"/>
      <c r="F11" s="61"/>
    </row>
    <row r="12" spans="2:7" x14ac:dyDescent="0.2">
      <c r="B12" s="61"/>
      <c r="C12" s="61"/>
      <c r="D12" s="61"/>
      <c r="E12" s="61"/>
      <c r="F12" s="61"/>
    </row>
    <row r="14" spans="2:7" x14ac:dyDescent="0.2">
      <c r="B14" s="6" t="s">
        <v>1585</v>
      </c>
      <c r="C14" s="7" t="s">
        <v>1586</v>
      </c>
      <c r="D14" s="8" t="s">
        <v>1587</v>
      </c>
      <c r="E14" s="8" t="s">
        <v>1588</v>
      </c>
      <c r="F14" s="6" t="s">
        <v>1589</v>
      </c>
      <c r="G14" s="7" t="s">
        <v>2203</v>
      </c>
    </row>
    <row r="15" spans="2:7" x14ac:dyDescent="0.2">
      <c r="B15" s="15" t="str" cm="1">
        <f t="array" aca="1" ref="B15:F15" ca="1">_xlfn._xlws.FILTER(Boleta!B15:F204,(Boleta!D15:D204&gt;0)+(Boleta!F15:F204&gt;0))</f>
        <v>A6-490-185</v>
      </c>
      <c r="C15" s="5" t="str">
        <f ca="1"/>
        <v>Turbina</v>
      </c>
      <c r="D15" s="9">
        <f ca="1"/>
        <v>1</v>
      </c>
      <c r="E15" s="9" t="str">
        <f ca="1"/>
        <v>V1</v>
      </c>
      <c r="F15" s="9">
        <f ca="1"/>
        <v>1</v>
      </c>
      <c r="G15" s="10" cm="1">
        <f t="array" aca="1" ref="G15" ca="1">IF(F15&gt;0,_xlfn._xlws.FILTER(Boleta!S$15:S$230,(Boleta!Q$15:Q$230=F15)),"")</f>
        <v>0</v>
      </c>
    </row>
    <row r="16" spans="2:7" x14ac:dyDescent="0.2">
      <c r="D16" s="9"/>
      <c r="E16" s="9"/>
      <c r="F16" s="9"/>
      <c r="G16" s="10" t="str" cm="1">
        <f t="array" ref="G16">IF(F16&gt;0,_xlfn._xlws.FILTER(Boleta!S$15:S$230,(Boleta!Q$15:Q$230=F16)),"")</f>
        <v/>
      </c>
    </row>
    <row r="17" spans="4:7" x14ac:dyDescent="0.2">
      <c r="D17" s="9"/>
      <c r="E17" s="9"/>
      <c r="F17" s="9"/>
      <c r="G17" s="10" t="str" cm="1">
        <f t="array" ref="G17">IF(F17&gt;0,_xlfn._xlws.FILTER(Boleta!S$15:S$230,(Boleta!Q$15:Q$230=F17)),"")</f>
        <v/>
      </c>
    </row>
    <row r="18" spans="4:7" x14ac:dyDescent="0.2">
      <c r="D18" s="9"/>
      <c r="E18" s="9"/>
      <c r="F18" s="9"/>
      <c r="G18" s="10" t="str" cm="1">
        <f t="array" ref="G18">IF(F18&gt;0,_xlfn._xlws.FILTER(Boleta!S$15:S$230,(Boleta!Q$15:Q$230=F18)),"")</f>
        <v/>
      </c>
    </row>
    <row r="19" spans="4:7" x14ac:dyDescent="0.2">
      <c r="D19" s="9"/>
      <c r="E19" s="9"/>
      <c r="F19" s="9"/>
      <c r="G19" s="10" t="str" cm="1">
        <f t="array" ref="G19">IF(F19&gt;0,_xlfn._xlws.FILTER(Boleta!S$15:S$230,(Boleta!Q$15:Q$230=F19)),"")</f>
        <v/>
      </c>
    </row>
    <row r="20" spans="4:7" x14ac:dyDescent="0.2">
      <c r="D20" s="9"/>
      <c r="E20" s="9"/>
      <c r="F20" s="9"/>
      <c r="G20" s="10" t="str" cm="1">
        <f t="array" ref="G20">IF(F20&gt;0,_xlfn._xlws.FILTER(Boleta!S$15:S$230,(Boleta!Q$15:Q$230=F20)),"")</f>
        <v/>
      </c>
    </row>
    <row r="21" spans="4:7" x14ac:dyDescent="0.2">
      <c r="D21" s="9"/>
      <c r="E21" s="9"/>
      <c r="F21" s="9"/>
      <c r="G21" s="10" t="str" cm="1">
        <f t="array" ref="G21">IF(F21&gt;0,_xlfn._xlws.FILTER(Boleta!S$15:S$230,(Boleta!Q$15:Q$230=F21)),"")</f>
        <v/>
      </c>
    </row>
    <row r="22" spans="4:7" x14ac:dyDescent="0.2">
      <c r="D22" s="9"/>
      <c r="E22" s="9"/>
      <c r="F22" s="9"/>
      <c r="G22" s="10" t="str" cm="1">
        <f t="array" ref="G22">IF(F22&gt;0,_xlfn._xlws.FILTER(Boleta!S$15:S$230,(Boleta!Q$15:Q$230=F22)),"")</f>
        <v/>
      </c>
    </row>
    <row r="23" spans="4:7" x14ac:dyDescent="0.2">
      <c r="D23" s="9"/>
      <c r="E23" s="9"/>
      <c r="F23" s="9"/>
      <c r="G23" s="10" t="str" cm="1">
        <f t="array" ref="G23">IF(F23&gt;0,_xlfn._xlws.FILTER(Boleta!S$15:S$230,(Boleta!Q$15:Q$230=F23)),"")</f>
        <v/>
      </c>
    </row>
    <row r="24" spans="4:7" x14ac:dyDescent="0.2">
      <c r="D24" s="9"/>
      <c r="E24" s="9"/>
      <c r="F24" s="9"/>
      <c r="G24" s="10" t="str" cm="1">
        <f t="array" ref="G24">IF(F24&gt;0,_xlfn._xlws.FILTER(Boleta!S$15:S$230,(Boleta!Q$15:Q$230=F24)),"")</f>
        <v/>
      </c>
    </row>
    <row r="25" spans="4:7" x14ac:dyDescent="0.2">
      <c r="D25" s="9"/>
      <c r="E25" s="9"/>
      <c r="F25" s="9"/>
      <c r="G25" s="10" t="str" cm="1">
        <f t="array" ref="G25">IF(F25&gt;0,_xlfn._xlws.FILTER(Boleta!S$15:S$230,(Boleta!Q$15:Q$230=F25)),"")</f>
        <v/>
      </c>
    </row>
    <row r="26" spans="4:7" x14ac:dyDescent="0.2">
      <c r="D26" s="9"/>
      <c r="E26" s="9"/>
      <c r="F26" s="9"/>
      <c r="G26" s="10" t="str" cm="1">
        <f t="array" ref="G26">IF(F26&gt;0,_xlfn._xlws.FILTER(Boleta!S$15:S$230,(Boleta!Q$15:Q$230=F26)),"")</f>
        <v/>
      </c>
    </row>
    <row r="27" spans="4:7" x14ac:dyDescent="0.2">
      <c r="D27" s="9"/>
      <c r="E27" s="9"/>
      <c r="F27" s="9"/>
      <c r="G27" s="10" t="str" cm="1">
        <f t="array" ref="G27">IF(F27&gt;0,_xlfn._xlws.FILTER(Boleta!S$15:S$230,(Boleta!Q$15:Q$230=F27)),"")</f>
        <v/>
      </c>
    </row>
    <row r="28" spans="4:7" x14ac:dyDescent="0.2">
      <c r="D28" s="9"/>
      <c r="E28" s="9"/>
      <c r="F28" s="9"/>
      <c r="G28" s="10" t="str" cm="1">
        <f t="array" ref="G28">IF(F28&gt;0,_xlfn._xlws.FILTER(Boleta!S$15:S$230,(Boleta!Q$15:Q$230=F28)),"")</f>
        <v/>
      </c>
    </row>
    <row r="29" spans="4:7" x14ac:dyDescent="0.2">
      <c r="D29" s="9"/>
      <c r="E29" s="9"/>
      <c r="F29" s="9"/>
      <c r="G29" s="10" t="str" cm="1">
        <f t="array" ref="G29">IF(F29&gt;0,_xlfn._xlws.FILTER(Boleta!S$15:S$230,(Boleta!Q$15:Q$230=F29)),"")</f>
        <v/>
      </c>
    </row>
    <row r="30" spans="4:7" x14ac:dyDescent="0.2">
      <c r="D30" s="9"/>
      <c r="E30" s="9"/>
      <c r="F30" s="9"/>
      <c r="G30" s="10" t="str" cm="1">
        <f t="array" ref="G30">IF(F30&gt;0,_xlfn._xlws.FILTER(Boleta!S$15:S$230,(Boleta!Q$15:Q$230=F30)),"")</f>
        <v/>
      </c>
    </row>
    <row r="31" spans="4:7" x14ac:dyDescent="0.2">
      <c r="D31" s="9"/>
      <c r="E31" s="9"/>
      <c r="F31" s="9"/>
      <c r="G31" s="10" t="str" cm="1">
        <f t="array" ref="G31">IF(F31&gt;0,_xlfn._xlws.FILTER(Boleta!S$15:S$230,(Boleta!Q$15:Q$230=F31)),"")</f>
        <v/>
      </c>
    </row>
    <row r="32" spans="4:7" x14ac:dyDescent="0.2">
      <c r="D32" s="9"/>
      <c r="E32" s="9"/>
      <c r="F32" s="9"/>
      <c r="G32" s="10" t="str" cm="1">
        <f t="array" ref="G32">IF(F32&gt;0,_xlfn._xlws.FILTER(Boleta!S$15:S$230,(Boleta!Q$15:Q$230=F32)),"")</f>
        <v/>
      </c>
    </row>
    <row r="33" spans="4:7" x14ac:dyDescent="0.2">
      <c r="D33" s="9"/>
      <c r="E33" s="9"/>
      <c r="F33" s="9"/>
      <c r="G33" s="10" t="str" cm="1">
        <f t="array" ref="G33">IF(F33&gt;0,_xlfn._xlws.FILTER(Boleta!S$15:S$230,(Boleta!Q$15:Q$230=F33)),"")</f>
        <v/>
      </c>
    </row>
    <row r="34" spans="4:7" x14ac:dyDescent="0.2">
      <c r="D34" s="9"/>
      <c r="E34" s="9"/>
      <c r="F34" s="9"/>
      <c r="G34" s="10" t="str" cm="1">
        <f t="array" ref="G34">IF(F34&gt;0,_xlfn._xlws.FILTER(Boleta!S$15:S$230,(Boleta!Q$15:Q$230=F34)),"")</f>
        <v/>
      </c>
    </row>
    <row r="35" spans="4:7" x14ac:dyDescent="0.2">
      <c r="D35" s="9"/>
      <c r="E35" s="9"/>
      <c r="F35" s="9"/>
      <c r="G35" s="10" t="str" cm="1">
        <f t="array" ref="G35">IF(F35&gt;0,_xlfn._xlws.FILTER(Boleta!S$15:S$230,(Boleta!Q$15:Q$230=F35)),"")</f>
        <v/>
      </c>
    </row>
    <row r="36" spans="4:7" x14ac:dyDescent="0.2">
      <c r="D36" s="9"/>
      <c r="E36" s="9"/>
      <c r="F36" s="9"/>
      <c r="G36" s="10" t="str" cm="1">
        <f t="array" ref="G36">IF(F36&gt;0,_xlfn._xlws.FILTER(Boleta!S$15:S$230,(Boleta!Q$15:Q$230=F36)),"")</f>
        <v/>
      </c>
    </row>
    <row r="37" spans="4:7" x14ac:dyDescent="0.2">
      <c r="D37" s="9"/>
      <c r="E37" s="9"/>
      <c r="F37" s="9"/>
      <c r="G37" s="10" t="str" cm="1">
        <f t="array" ref="G37">IF(F37&gt;0,_xlfn._xlws.FILTER(Boleta!S$15:S$230,(Boleta!Q$15:Q$230=F37)),"")</f>
        <v/>
      </c>
    </row>
    <row r="38" spans="4:7" x14ac:dyDescent="0.2">
      <c r="D38" s="9"/>
      <c r="E38" s="9"/>
      <c r="F38" s="9"/>
      <c r="G38" s="10" t="str" cm="1">
        <f t="array" ref="G38">IF(F38&gt;0,_xlfn._xlws.FILTER(Boleta!S$15:S$230,(Boleta!Q$15:Q$230=F38)),"")</f>
        <v/>
      </c>
    </row>
    <row r="39" spans="4:7" x14ac:dyDescent="0.2">
      <c r="D39" s="9"/>
      <c r="E39" s="9"/>
      <c r="F39" s="9"/>
      <c r="G39" s="10" t="str" cm="1">
        <f t="array" ref="G39">IF(F39&gt;0,_xlfn._xlws.FILTER(Boleta!S$15:S$230,(Boleta!Q$15:Q$230=F39)),"")</f>
        <v/>
      </c>
    </row>
    <row r="40" spans="4:7" x14ac:dyDescent="0.2">
      <c r="D40" s="9"/>
      <c r="E40" s="9"/>
      <c r="F40" s="9"/>
      <c r="G40" s="10" t="str" cm="1">
        <f t="array" ref="G40">IF(F40&gt;0,_xlfn._xlws.FILTER(Boleta!S$15:S$230,(Boleta!Q$15:Q$230=F40)),"")</f>
        <v/>
      </c>
    </row>
    <row r="41" spans="4:7" x14ac:dyDescent="0.2">
      <c r="D41" s="9"/>
      <c r="E41" s="9"/>
      <c r="F41" s="9"/>
      <c r="G41" s="10" t="str" cm="1">
        <f t="array" ref="G41">IF(F41&gt;0,_xlfn._xlws.FILTER(Boleta!S$15:S$230,(Boleta!Q$15:Q$230=F41)),"")</f>
        <v/>
      </c>
    </row>
    <row r="42" spans="4:7" x14ac:dyDescent="0.2">
      <c r="D42" s="9"/>
      <c r="E42" s="9"/>
      <c r="F42" s="9"/>
      <c r="G42" s="10" t="str" cm="1">
        <f t="array" ref="G42">IF(F42&gt;0,_xlfn._xlws.FILTER(Boleta!S$15:S$230,(Boleta!Q$15:Q$230=F42)),"")</f>
        <v/>
      </c>
    </row>
    <row r="43" spans="4:7" x14ac:dyDescent="0.2">
      <c r="D43" s="9"/>
      <c r="E43" s="9"/>
      <c r="F43" s="9"/>
      <c r="G43" s="10" t="str" cm="1">
        <f t="array" ref="G43">IF(F43&gt;0,_xlfn._xlws.FILTER(Boleta!S$15:S$230,(Boleta!Q$15:Q$230=F43)),"")</f>
        <v/>
      </c>
    </row>
    <row r="44" spans="4:7" x14ac:dyDescent="0.2">
      <c r="D44" s="9"/>
      <c r="E44" s="9"/>
      <c r="F44" s="9"/>
      <c r="G44" s="10" t="str" cm="1">
        <f t="array" ref="G44">IF(F44&gt;0,_xlfn._xlws.FILTER(Boleta!S$15:S$230,(Boleta!Q$15:Q$230=F44)),"")</f>
        <v/>
      </c>
    </row>
    <row r="45" spans="4:7" x14ac:dyDescent="0.2">
      <c r="D45" s="9"/>
      <c r="E45" s="9"/>
      <c r="F45" s="9"/>
      <c r="G45" s="10" t="str" cm="1">
        <f t="array" ref="G45">IF(F45&gt;0,_xlfn._xlws.FILTER(Boleta!S$15:S$230,(Boleta!Q$15:Q$230=F45)),"")</f>
        <v/>
      </c>
    </row>
    <row r="46" spans="4:7" x14ac:dyDescent="0.2">
      <c r="D46" s="9"/>
      <c r="E46" s="9"/>
      <c r="F46" s="9"/>
      <c r="G46" s="10" t="str" cm="1">
        <f t="array" ref="G46">IF(F46&gt;0,_xlfn._xlws.FILTER(Boleta!S$15:S$230,(Boleta!Q$15:Q$230=F46)),"")</f>
        <v/>
      </c>
    </row>
    <row r="47" spans="4:7" x14ac:dyDescent="0.2">
      <c r="D47" s="9"/>
      <c r="E47" s="9"/>
      <c r="F47" s="9"/>
      <c r="G47" s="10" t="str" cm="1">
        <f t="array" ref="G47">IF(F47&gt;0,_xlfn._xlws.FILTER(Boleta!S$15:S$230,(Boleta!Q$15:Q$230=F47)),"")</f>
        <v/>
      </c>
    </row>
    <row r="48" spans="4:7" x14ac:dyDescent="0.2">
      <c r="D48" s="9"/>
      <c r="E48" s="9"/>
      <c r="F48" s="9"/>
      <c r="G48" s="10" t="str" cm="1">
        <f t="array" ref="G48">IF(F48&gt;0,_xlfn._xlws.FILTER(Boleta!S$15:S$230,(Boleta!Q$15:Q$230=F48)),"")</f>
        <v/>
      </c>
    </row>
    <row r="49" spans="4:7" x14ac:dyDescent="0.2">
      <c r="D49" s="9"/>
      <c r="E49" s="9"/>
      <c r="F49" s="9"/>
      <c r="G49" s="10" t="str" cm="1">
        <f t="array" ref="G49">IF(F49&gt;0,_xlfn._xlws.FILTER(Boleta!S$15:S$230,(Boleta!Q$15:Q$230=F49)),"")</f>
        <v/>
      </c>
    </row>
    <row r="50" spans="4:7" x14ac:dyDescent="0.2">
      <c r="D50" s="9"/>
      <c r="E50" s="9"/>
      <c r="F50" s="9"/>
      <c r="G50" s="10" t="str" cm="1">
        <f t="array" ref="G50">IF(F50&gt;0,_xlfn._xlws.FILTER(Boleta!S$15:S$230,(Boleta!Q$15:Q$230=F50)),"")</f>
        <v/>
      </c>
    </row>
    <row r="51" spans="4:7" x14ac:dyDescent="0.2">
      <c r="D51" s="9"/>
      <c r="E51" s="9"/>
      <c r="F51" s="9"/>
      <c r="G51" s="10" t="str" cm="1">
        <f t="array" ref="G51">IF(F51&gt;0,_xlfn._xlws.FILTER(Boleta!S$15:S$230,(Boleta!Q$15:Q$230=F51)),"")</f>
        <v/>
      </c>
    </row>
    <row r="52" spans="4:7" x14ac:dyDescent="0.2">
      <c r="D52" s="9"/>
      <c r="E52" s="9"/>
      <c r="F52" s="9"/>
      <c r="G52" s="10" t="str" cm="1">
        <f t="array" ref="G52">IF(F52&gt;0,_xlfn._xlws.FILTER(Boleta!S$15:S$230,(Boleta!Q$15:Q$230=F52)),"")</f>
        <v/>
      </c>
    </row>
    <row r="53" spans="4:7" x14ac:dyDescent="0.2">
      <c r="D53" s="9"/>
      <c r="E53" s="9"/>
      <c r="F53" s="9"/>
      <c r="G53" s="10" t="str" cm="1">
        <f t="array" ref="G53">IF(F53&gt;0,_xlfn._xlws.FILTER(Boleta!S$15:S$230,(Boleta!Q$15:Q$230=F53)),"")</f>
        <v/>
      </c>
    </row>
    <row r="54" spans="4:7" x14ac:dyDescent="0.2">
      <c r="D54" s="9"/>
      <c r="E54" s="9"/>
      <c r="F54" s="9"/>
      <c r="G54" s="10" t="str" cm="1">
        <f t="array" ref="G54">IF(F54&gt;0,_xlfn._xlws.FILTER(Boleta!S$15:S$230,(Boleta!Q$15:Q$230=F54)),"")</f>
        <v/>
      </c>
    </row>
    <row r="55" spans="4:7" x14ac:dyDescent="0.2">
      <c r="D55" s="9"/>
      <c r="E55" s="9"/>
      <c r="F55" s="9"/>
      <c r="G55" s="10" t="str" cm="1">
        <f t="array" ref="G55">IF(F55&gt;0,_xlfn._xlws.FILTER(Boleta!S$15:S$230,(Boleta!Q$15:Q$230=F55)),"")</f>
        <v/>
      </c>
    </row>
    <row r="56" spans="4:7" x14ac:dyDescent="0.2">
      <c r="D56" s="9"/>
      <c r="E56" s="9"/>
      <c r="F56" s="9"/>
      <c r="G56" s="10" t="str" cm="1">
        <f t="array" ref="G56">IF(F56&gt;0,_xlfn._xlws.FILTER(Boleta!S$15:S$230,(Boleta!Q$15:Q$230=F56)),"")</f>
        <v/>
      </c>
    </row>
    <row r="57" spans="4:7" x14ac:dyDescent="0.2">
      <c r="D57" s="9"/>
      <c r="E57" s="9"/>
      <c r="F57" s="9"/>
      <c r="G57" s="10" t="str" cm="1">
        <f t="array" ref="G57">IF(F57&gt;0,_xlfn._xlws.FILTER(Boleta!S$15:S$230,(Boleta!Q$15:Q$230=F57)),"")</f>
        <v/>
      </c>
    </row>
    <row r="58" spans="4:7" x14ac:dyDescent="0.2">
      <c r="D58" s="9"/>
      <c r="E58" s="9"/>
      <c r="F58" s="9"/>
      <c r="G58" s="10" t="str" cm="1">
        <f t="array" ref="G58">IF(F58&gt;0,_xlfn._xlws.FILTER(Boleta!S$15:S$230,(Boleta!Q$15:Q$230=F58)),"")</f>
        <v/>
      </c>
    </row>
    <row r="59" spans="4:7" x14ac:dyDescent="0.2">
      <c r="D59" s="9"/>
      <c r="E59" s="9"/>
      <c r="F59" s="9"/>
      <c r="G59" s="10" t="str" cm="1">
        <f t="array" ref="G59">IF(F59&gt;0,_xlfn._xlws.FILTER(Boleta!S$15:S$230,(Boleta!Q$15:Q$230=F59)),"")</f>
        <v/>
      </c>
    </row>
    <row r="60" spans="4:7" x14ac:dyDescent="0.2">
      <c r="D60" s="9"/>
      <c r="E60" s="9"/>
      <c r="F60" s="9"/>
      <c r="G60" s="10" t="str" cm="1">
        <f t="array" ref="G60">IF(F60&gt;0,_xlfn._xlws.FILTER(Boleta!S$15:S$230,(Boleta!Q$15:Q$230=F60)),"")</f>
        <v/>
      </c>
    </row>
    <row r="61" spans="4:7" x14ac:dyDescent="0.2">
      <c r="D61" s="9"/>
      <c r="E61" s="9"/>
      <c r="F61" s="9"/>
      <c r="G61" s="10" t="str" cm="1">
        <f t="array" ref="G61">IF(F61&gt;0,_xlfn._xlws.FILTER(Boleta!S$15:S$230,(Boleta!Q$15:Q$230=F61)),"")</f>
        <v/>
      </c>
    </row>
    <row r="62" spans="4:7" x14ac:dyDescent="0.2">
      <c r="D62" s="9"/>
      <c r="E62" s="9"/>
      <c r="F62" s="9"/>
      <c r="G62" s="10" t="str" cm="1">
        <f t="array" ref="G62">IF(F62&gt;0,_xlfn._xlws.FILTER(Boleta!S$15:S$230,(Boleta!Q$15:Q$230=F62)),"")</f>
        <v/>
      </c>
    </row>
    <row r="63" spans="4:7" x14ac:dyDescent="0.2">
      <c r="D63" s="9"/>
      <c r="E63" s="9"/>
      <c r="F63" s="9"/>
      <c r="G63" s="10" t="str" cm="1">
        <f t="array" ref="G63">IF(F63&gt;0,_xlfn._xlws.FILTER(Boleta!S$15:S$230,(Boleta!Q$15:Q$230=F63)),"")</f>
        <v/>
      </c>
    </row>
    <row r="64" spans="4:7" x14ac:dyDescent="0.2">
      <c r="D64" s="9"/>
      <c r="E64" s="9"/>
      <c r="F64" s="9"/>
      <c r="G64" s="10" t="str" cm="1">
        <f t="array" ref="G64">IF(F64&gt;0,_xlfn._xlws.FILTER(Boleta!S$15:S$230,(Boleta!Q$15:Q$230=F64)),"")</f>
        <v/>
      </c>
    </row>
    <row r="65" spans="4:7" x14ac:dyDescent="0.2">
      <c r="D65" s="9"/>
      <c r="E65" s="9"/>
      <c r="F65" s="9"/>
      <c r="G65" s="10" t="str" cm="1">
        <f t="array" ref="G65">IF(F65&gt;0,_xlfn._xlws.FILTER(Boleta!S$15:S$230,(Boleta!Q$15:Q$230=F65)),"")</f>
        <v/>
      </c>
    </row>
    <row r="66" spans="4:7" x14ac:dyDescent="0.2">
      <c r="D66" s="9"/>
      <c r="E66" s="9"/>
      <c r="F66" s="9"/>
      <c r="G66" s="10" t="str" cm="1">
        <f t="array" ref="G66">IF(F66&gt;0,_xlfn._xlws.FILTER(Boleta!S$15:S$230,(Boleta!Q$15:Q$230=F66)),"")</f>
        <v/>
      </c>
    </row>
    <row r="67" spans="4:7" x14ac:dyDescent="0.2">
      <c r="D67" s="9"/>
      <c r="E67" s="9"/>
      <c r="F67" s="9"/>
      <c r="G67" s="10" t="str" cm="1">
        <f t="array" ref="G67">IF(F67&gt;0,_xlfn._xlws.FILTER(Boleta!S$15:S$230,(Boleta!Q$15:Q$230=F67)),"")</f>
        <v/>
      </c>
    </row>
    <row r="68" spans="4:7" x14ac:dyDescent="0.2">
      <c r="D68" s="9"/>
      <c r="E68" s="9"/>
      <c r="F68" s="9"/>
      <c r="G68" s="10" t="str" cm="1">
        <f t="array" ref="G68">IF(F68&gt;0,_xlfn._xlws.FILTER(Boleta!S$15:S$230,(Boleta!Q$15:Q$230=F68)),"")</f>
        <v/>
      </c>
    </row>
    <row r="69" spans="4:7" x14ac:dyDescent="0.2">
      <c r="D69" s="9"/>
      <c r="E69" s="9"/>
      <c r="F69" s="9"/>
      <c r="G69" s="10" t="str" cm="1">
        <f t="array" ref="G69">IF(F69&gt;0,_xlfn._xlws.FILTER(Boleta!S$15:S$230,(Boleta!Q$15:Q$230=F69)),"")</f>
        <v/>
      </c>
    </row>
    <row r="70" spans="4:7" x14ac:dyDescent="0.2">
      <c r="D70" s="9"/>
      <c r="E70" s="9"/>
      <c r="F70" s="9"/>
      <c r="G70" s="10" t="str" cm="1">
        <f t="array" ref="G70">IF(F70&gt;0,_xlfn._xlws.FILTER(Boleta!S$15:S$230,(Boleta!Q$15:Q$230=F70)),"")</f>
        <v/>
      </c>
    </row>
    <row r="71" spans="4:7" x14ac:dyDescent="0.2">
      <c r="D71" s="9"/>
      <c r="E71" s="9"/>
      <c r="F71" s="9"/>
      <c r="G71" s="10" t="str" cm="1">
        <f t="array" ref="G71">IF(F71&gt;0,_xlfn._xlws.FILTER(Boleta!S$15:S$230,(Boleta!Q$15:Q$230=F71)),"")</f>
        <v/>
      </c>
    </row>
    <row r="72" spans="4:7" x14ac:dyDescent="0.2">
      <c r="D72" s="9"/>
      <c r="E72" s="9"/>
      <c r="F72" s="9"/>
      <c r="G72" s="10" t="str" cm="1">
        <f t="array" ref="G72">IF(F72&gt;0,_xlfn._xlws.FILTER(Boleta!S$15:S$230,(Boleta!Q$15:Q$230=F72)),"")</f>
        <v/>
      </c>
    </row>
    <row r="73" spans="4:7" x14ac:dyDescent="0.2">
      <c r="D73" s="9"/>
      <c r="E73" s="9"/>
      <c r="F73" s="9"/>
      <c r="G73" s="10" t="str" cm="1">
        <f t="array" ref="G73">IF(F73&gt;0,_xlfn._xlws.FILTER(Boleta!S$15:S$230,(Boleta!Q$15:Q$230=F73)),"")</f>
        <v/>
      </c>
    </row>
    <row r="74" spans="4:7" x14ac:dyDescent="0.2">
      <c r="D74" s="9"/>
      <c r="E74" s="9"/>
      <c r="F74" s="9"/>
      <c r="G74" s="10" t="str" cm="1">
        <f t="array" ref="G74">IF(F74&gt;0,_xlfn._xlws.FILTER(Boleta!S$15:S$230,(Boleta!Q$15:Q$230=F74)),"")</f>
        <v/>
      </c>
    </row>
    <row r="75" spans="4:7" x14ac:dyDescent="0.2">
      <c r="D75" s="9"/>
      <c r="E75" s="9"/>
      <c r="F75" s="9"/>
      <c r="G75" s="10" t="str" cm="1">
        <f t="array" ref="G75">IF(F75&gt;0,_xlfn._xlws.FILTER(Boleta!S$15:S$230,(Boleta!Q$15:Q$230=F75)),"")</f>
        <v/>
      </c>
    </row>
    <row r="76" spans="4:7" x14ac:dyDescent="0.2">
      <c r="D76" s="9"/>
      <c r="E76" s="9"/>
      <c r="F76" s="9"/>
      <c r="G76" s="10" t="str" cm="1">
        <f t="array" ref="G76">IF(F76&gt;0,_xlfn._xlws.FILTER(Boleta!S$15:S$230,(Boleta!Q$15:Q$230=F76)),"")</f>
        <v/>
      </c>
    </row>
    <row r="77" spans="4:7" x14ac:dyDescent="0.2">
      <c r="D77" s="9"/>
      <c r="E77" s="9"/>
      <c r="F77" s="9"/>
      <c r="G77" s="10" t="str" cm="1">
        <f t="array" ref="G77">IF(F77&gt;0,_xlfn._xlws.FILTER(Boleta!S$15:S$230,(Boleta!Q$15:Q$230=F77)),"")</f>
        <v/>
      </c>
    </row>
    <row r="78" spans="4:7" x14ac:dyDescent="0.2">
      <c r="D78" s="9"/>
      <c r="E78" s="9"/>
      <c r="F78" s="9"/>
      <c r="G78" s="10" t="str" cm="1">
        <f t="array" ref="G78">IF(F78&gt;0,_xlfn._xlws.FILTER(Boleta!S$15:S$230,(Boleta!Q$15:Q$230=F78)),"")</f>
        <v/>
      </c>
    </row>
    <row r="79" spans="4:7" x14ac:dyDescent="0.2">
      <c r="D79" s="9"/>
      <c r="E79" s="9"/>
      <c r="F79" s="9"/>
      <c r="G79" s="10" t="str" cm="1">
        <f t="array" ref="G79">IF(F79&gt;0,_xlfn._xlws.FILTER(Boleta!S$15:S$230,(Boleta!Q$15:Q$230=F79)),"")</f>
        <v/>
      </c>
    </row>
    <row r="80" spans="4:7" x14ac:dyDescent="0.2">
      <c r="D80" s="9"/>
      <c r="E80" s="9"/>
      <c r="F80" s="9"/>
      <c r="G80" s="10" t="str" cm="1">
        <f t="array" ref="G80">IF(F80&gt;0,_xlfn._xlws.FILTER(Boleta!S$15:S$230,(Boleta!Q$15:Q$230=F80)),"")</f>
        <v/>
      </c>
    </row>
    <row r="81" spans="4:7" x14ac:dyDescent="0.2">
      <c r="D81" s="9"/>
      <c r="E81" s="9"/>
      <c r="F81" s="9"/>
      <c r="G81" s="10" t="str" cm="1">
        <f t="array" ref="G81">IF(F81&gt;0,_xlfn._xlws.FILTER(Boleta!S$15:S$230,(Boleta!Q$15:Q$230=F81)),"")</f>
        <v/>
      </c>
    </row>
    <row r="82" spans="4:7" x14ac:dyDescent="0.2">
      <c r="D82" s="9"/>
      <c r="E82" s="9"/>
      <c r="F82" s="9"/>
      <c r="G82" s="10" t="str" cm="1">
        <f t="array" ref="G82">IF(F82&gt;0,_xlfn._xlws.FILTER(Boleta!S$15:S$230,(Boleta!Q$15:Q$230=F82)),"")</f>
        <v/>
      </c>
    </row>
    <row r="83" spans="4:7" x14ac:dyDescent="0.2">
      <c r="D83" s="9"/>
      <c r="E83" s="9"/>
      <c r="F83" s="9"/>
      <c r="G83" s="10" t="str" cm="1">
        <f t="array" ref="G83">IF(F83&gt;0,_xlfn._xlws.FILTER(Boleta!S$15:S$230,(Boleta!Q$15:Q$230=F83)),"")</f>
        <v/>
      </c>
    </row>
    <row r="84" spans="4:7" x14ac:dyDescent="0.2">
      <c r="D84" s="9"/>
      <c r="E84" s="9"/>
      <c r="F84" s="9"/>
      <c r="G84" s="10" t="str" cm="1">
        <f t="array" ref="G84">IF(F84&gt;0,_xlfn._xlws.FILTER(Boleta!S$15:S$230,(Boleta!Q$15:Q$230=F84)),"")</f>
        <v/>
      </c>
    </row>
    <row r="85" spans="4:7" x14ac:dyDescent="0.2">
      <c r="D85" s="9"/>
      <c r="E85" s="9"/>
      <c r="F85" s="9"/>
      <c r="G85" s="10" t="str" cm="1">
        <f t="array" ref="G85">IF(F85&gt;0,_xlfn._xlws.FILTER(Boleta!S$15:S$230,(Boleta!Q$15:Q$230=F85)),"")</f>
        <v/>
      </c>
    </row>
    <row r="86" spans="4:7" x14ac:dyDescent="0.2">
      <c r="D86" s="9"/>
      <c r="E86" s="9"/>
      <c r="F86" s="9"/>
      <c r="G86" s="10" t="str" cm="1">
        <f t="array" ref="G86">IF(F86&gt;0,_xlfn._xlws.FILTER(Boleta!S$15:S$230,(Boleta!Q$15:Q$230=F86)),"")</f>
        <v/>
      </c>
    </row>
    <row r="87" spans="4:7" x14ac:dyDescent="0.2">
      <c r="D87" s="9"/>
      <c r="E87" s="9"/>
      <c r="F87" s="9"/>
      <c r="G87" s="10" t="str" cm="1">
        <f t="array" ref="G87">IF(F87&gt;0,_xlfn._xlws.FILTER(Boleta!S$15:S$230,(Boleta!Q$15:Q$230=F87)),"")</f>
        <v/>
      </c>
    </row>
    <row r="88" spans="4:7" x14ac:dyDescent="0.2">
      <c r="D88" s="9"/>
      <c r="E88" s="9"/>
      <c r="F88" s="9"/>
      <c r="G88" s="10" t="str" cm="1">
        <f t="array" ref="G88">IF(F88&gt;0,_xlfn._xlws.FILTER(Boleta!S$15:S$230,(Boleta!Q$15:Q$230=F88)),"")</f>
        <v/>
      </c>
    </row>
    <row r="89" spans="4:7" x14ac:dyDescent="0.2">
      <c r="D89" s="9"/>
      <c r="E89" s="9"/>
      <c r="F89" s="9"/>
      <c r="G89" s="10" t="str" cm="1">
        <f t="array" ref="G89">IF(F89&gt;0,_xlfn._xlws.FILTER(Boleta!S$15:S$230,(Boleta!Q$15:Q$230=F89)),"")</f>
        <v/>
      </c>
    </row>
    <row r="90" spans="4:7" x14ac:dyDescent="0.2">
      <c r="D90" s="9"/>
      <c r="E90" s="9"/>
      <c r="F90" s="9"/>
      <c r="G90" s="10" t="str" cm="1">
        <f t="array" ref="G90">IF(F90&gt;0,_xlfn._xlws.FILTER(Boleta!S$15:S$230,(Boleta!Q$15:Q$230=F90)),"")</f>
        <v/>
      </c>
    </row>
    <row r="91" spans="4:7" x14ac:dyDescent="0.2">
      <c r="D91" s="9"/>
      <c r="E91" s="9"/>
      <c r="F91" s="9"/>
      <c r="G91" s="10" t="str" cm="1">
        <f t="array" ref="G91">IF(F91&gt;0,_xlfn._xlws.FILTER(Boleta!S$15:S$230,(Boleta!Q$15:Q$230=F91)),"")</f>
        <v/>
      </c>
    </row>
    <row r="92" spans="4:7" x14ac:dyDescent="0.2">
      <c r="D92" s="9"/>
      <c r="E92" s="9"/>
      <c r="F92" s="9"/>
      <c r="G92" s="10" t="str" cm="1">
        <f t="array" ref="G92">IF(F92&gt;0,_xlfn._xlws.FILTER(Boleta!S$15:S$230,(Boleta!Q$15:Q$230=F92)),"")</f>
        <v/>
      </c>
    </row>
    <row r="93" spans="4:7" x14ac:dyDescent="0.2">
      <c r="D93" s="9"/>
      <c r="E93" s="9"/>
      <c r="F93" s="9"/>
      <c r="G93" s="10" t="str" cm="1">
        <f t="array" ref="G93">IF(F93&gt;0,_xlfn._xlws.FILTER(Boleta!S$15:S$230,(Boleta!Q$15:Q$230=F93)),"")</f>
        <v/>
      </c>
    </row>
    <row r="94" spans="4:7" x14ac:dyDescent="0.2">
      <c r="D94" s="9"/>
      <c r="E94" s="9"/>
      <c r="F94" s="9"/>
      <c r="G94" s="10" t="str" cm="1">
        <f t="array" ref="G94">IF(F94&gt;0,_xlfn._xlws.FILTER(Boleta!S$15:S$230,(Boleta!Q$15:Q$230=F94)),"")</f>
        <v/>
      </c>
    </row>
    <row r="95" spans="4:7" x14ac:dyDescent="0.2">
      <c r="D95" s="9"/>
      <c r="E95" s="9"/>
      <c r="F95" s="9"/>
      <c r="G95" s="10" t="str" cm="1">
        <f t="array" ref="G95">IF(F95&gt;0,_xlfn._xlws.FILTER(Boleta!S$15:S$230,(Boleta!Q$15:Q$230=F95)),"")</f>
        <v/>
      </c>
    </row>
    <row r="96" spans="4:7" x14ac:dyDescent="0.2">
      <c r="D96" s="9"/>
      <c r="E96" s="9"/>
      <c r="F96" s="9"/>
      <c r="G96" s="10" t="str" cm="1">
        <f t="array" ref="G96">IF(F96&gt;0,_xlfn._xlws.FILTER(Boleta!S$15:S$230,(Boleta!Q$15:Q$230=F96)),"")</f>
        <v/>
      </c>
    </row>
    <row r="97" spans="4:7" x14ac:dyDescent="0.2">
      <c r="D97" s="9"/>
      <c r="E97" s="9"/>
      <c r="F97" s="9"/>
      <c r="G97" s="10" t="str" cm="1">
        <f t="array" ref="G97">IF(F97&gt;0,_xlfn._xlws.FILTER(Boleta!S$15:S$230,(Boleta!Q$15:Q$230=F97)),"")</f>
        <v/>
      </c>
    </row>
    <row r="98" spans="4:7" x14ac:dyDescent="0.2">
      <c r="D98" s="9"/>
      <c r="E98" s="9"/>
      <c r="F98" s="9"/>
      <c r="G98" s="10" t="str" cm="1">
        <f t="array" ref="G98">IF(F98&gt;0,_xlfn._xlws.FILTER(Boleta!S$15:S$230,(Boleta!Q$15:Q$230=F98)),"")</f>
        <v/>
      </c>
    </row>
    <row r="99" spans="4:7" x14ac:dyDescent="0.2">
      <c r="D99" s="9"/>
      <c r="E99" s="9"/>
      <c r="F99" s="9"/>
      <c r="G99" s="10" t="str" cm="1">
        <f t="array" ref="G99">IF(F99&gt;0,_xlfn._xlws.FILTER(Boleta!S$15:S$230,(Boleta!Q$15:Q$230=F99)),"")</f>
        <v/>
      </c>
    </row>
    <row r="100" spans="4:7" x14ac:dyDescent="0.2">
      <c r="D100" s="9"/>
      <c r="E100" s="9"/>
      <c r="F100" s="9"/>
      <c r="G100" s="10" t="str" cm="1">
        <f t="array" ref="G100">IF(F100&gt;0,_xlfn._xlws.FILTER(Boleta!S$15:S$230,(Boleta!Q$15:Q$230=F100)),"")</f>
        <v/>
      </c>
    </row>
    <row r="101" spans="4:7" x14ac:dyDescent="0.2">
      <c r="D101" s="9"/>
      <c r="E101" s="9"/>
      <c r="F101" s="9"/>
      <c r="G101" s="10" t="str" cm="1">
        <f t="array" ref="G101">IF(F101&gt;0,_xlfn._xlws.FILTER(Boleta!S$15:S$230,(Boleta!Q$15:Q$230=F101)),"")</f>
        <v/>
      </c>
    </row>
    <row r="102" spans="4:7" x14ac:dyDescent="0.2">
      <c r="D102" s="9"/>
      <c r="E102" s="9"/>
      <c r="F102" s="9"/>
      <c r="G102" s="10" t="str" cm="1">
        <f t="array" ref="G102">IF(F102&gt;0,_xlfn._xlws.FILTER(Boleta!S$15:S$230,(Boleta!Q$15:Q$230=F102)),"")</f>
        <v/>
      </c>
    </row>
    <row r="103" spans="4:7" x14ac:dyDescent="0.2">
      <c r="D103" s="9"/>
      <c r="E103" s="9"/>
      <c r="F103" s="9"/>
      <c r="G103" s="10" t="str" cm="1">
        <f t="array" ref="G103">IF(F103&gt;0,_xlfn._xlws.FILTER(Boleta!S$15:S$230,(Boleta!Q$15:Q$230=F103)),"")</f>
        <v/>
      </c>
    </row>
    <row r="104" spans="4:7" x14ac:dyDescent="0.2">
      <c r="D104" s="9"/>
      <c r="E104" s="9"/>
      <c r="F104" s="9"/>
      <c r="G104" s="10" t="str" cm="1">
        <f t="array" ref="G104">IF(F104&gt;0,_xlfn._xlws.FILTER(Boleta!S$15:S$230,(Boleta!Q$15:Q$230=F104)),"")</f>
        <v/>
      </c>
    </row>
    <row r="105" spans="4:7" x14ac:dyDescent="0.2">
      <c r="D105" s="9"/>
      <c r="E105" s="9"/>
      <c r="F105" s="9"/>
      <c r="G105" s="10" t="str" cm="1">
        <f t="array" ref="G105">IF(F105&gt;0,_xlfn._xlws.FILTER(Boleta!S$15:S$230,(Boleta!Q$15:Q$230=F105)),"")</f>
        <v/>
      </c>
    </row>
    <row r="106" spans="4:7" x14ac:dyDescent="0.2">
      <c r="D106" s="9"/>
      <c r="E106" s="9"/>
      <c r="F106" s="9"/>
      <c r="G106" s="10" t="str" cm="1">
        <f t="array" ref="G106">IF(F106&gt;0,_xlfn._xlws.FILTER(Boleta!S$15:S$230,(Boleta!Q$15:Q$230=F106)),"")</f>
        <v/>
      </c>
    </row>
    <row r="107" spans="4:7" x14ac:dyDescent="0.2">
      <c r="D107" s="9"/>
      <c r="E107" s="9"/>
      <c r="F107" s="9"/>
      <c r="G107" s="10" t="str" cm="1">
        <f t="array" ref="G107">IF(F107&gt;0,_xlfn._xlws.FILTER(Boleta!S$15:S$230,(Boleta!Q$15:Q$230=F107)),"")</f>
        <v/>
      </c>
    </row>
    <row r="108" spans="4:7" x14ac:dyDescent="0.2">
      <c r="D108" s="9"/>
      <c r="E108" s="9"/>
      <c r="F108" s="9"/>
      <c r="G108" s="10" t="str" cm="1">
        <f t="array" ref="G108">IF(F108&gt;0,_xlfn._xlws.FILTER(Boleta!S$15:S$230,(Boleta!Q$15:Q$230=F108)),"")</f>
        <v/>
      </c>
    </row>
    <row r="109" spans="4:7" x14ac:dyDescent="0.2">
      <c r="D109" s="9"/>
      <c r="E109" s="9"/>
      <c r="F109" s="9"/>
      <c r="G109" s="10" t="str" cm="1">
        <f t="array" ref="G109">IF(F109&gt;0,_xlfn._xlws.FILTER(Boleta!S$15:S$230,(Boleta!Q$15:Q$230=F109)),"")</f>
        <v/>
      </c>
    </row>
    <row r="110" spans="4:7" x14ac:dyDescent="0.2">
      <c r="D110" s="9"/>
      <c r="E110" s="9"/>
      <c r="F110" s="9"/>
      <c r="G110" s="10" t="str" cm="1">
        <f t="array" ref="G110">IF(F110&gt;0,_xlfn._xlws.FILTER(Boleta!S$15:S$230,(Boleta!Q$15:Q$230=F110)),"")</f>
        <v/>
      </c>
    </row>
    <row r="111" spans="4:7" x14ac:dyDescent="0.2">
      <c r="D111" s="9"/>
      <c r="E111" s="9"/>
      <c r="F111" s="9"/>
      <c r="G111" s="10" t="str" cm="1">
        <f t="array" ref="G111">IF(F111&gt;0,_xlfn._xlws.FILTER(Boleta!S$15:S$230,(Boleta!Q$15:Q$230=F111)),"")</f>
        <v/>
      </c>
    </row>
    <row r="112" spans="4:7" x14ac:dyDescent="0.2">
      <c r="D112" s="9"/>
      <c r="E112" s="9"/>
      <c r="F112" s="9"/>
      <c r="G112" s="10" t="str" cm="1">
        <f t="array" ref="G112">IF(F112&gt;0,_xlfn._xlws.FILTER(Boleta!S$15:S$230,(Boleta!Q$15:Q$230=F112)),"")</f>
        <v/>
      </c>
    </row>
    <row r="113" spans="4:7" x14ac:dyDescent="0.2">
      <c r="D113" s="9"/>
      <c r="E113" s="9"/>
      <c r="F113" s="9"/>
      <c r="G113" s="10" t="str" cm="1">
        <f t="array" ref="G113">IF(F113&gt;0,_xlfn._xlws.FILTER(Boleta!S$15:S$230,(Boleta!Q$15:Q$230=F113)),"")</f>
        <v/>
      </c>
    </row>
    <row r="114" spans="4:7" x14ac:dyDescent="0.2">
      <c r="D114" s="9"/>
      <c r="E114" s="9"/>
      <c r="F114" s="9"/>
      <c r="G114" s="10" t="str" cm="1">
        <f t="array" ref="G114">IF(F114&gt;0,_xlfn._xlws.FILTER(Boleta!S$15:S$230,(Boleta!Q$15:Q$230=F114)),"")</f>
        <v/>
      </c>
    </row>
    <row r="115" spans="4:7" x14ac:dyDescent="0.2">
      <c r="D115" s="9"/>
      <c r="E115" s="9"/>
      <c r="F115" s="9"/>
      <c r="G115" s="10" t="str" cm="1">
        <f t="array" ref="G115">IF(F115&gt;0,_xlfn._xlws.FILTER(Boleta!S$15:S$230,(Boleta!Q$15:Q$230=F115)),"")</f>
        <v/>
      </c>
    </row>
    <row r="116" spans="4:7" x14ac:dyDescent="0.2">
      <c r="D116" s="9"/>
      <c r="E116" s="9"/>
      <c r="F116" s="9"/>
      <c r="G116" s="10" t="str" cm="1">
        <f t="array" ref="G116">IF(F116&gt;0,_xlfn._xlws.FILTER(Boleta!S$15:S$230,(Boleta!Q$15:Q$230=F116)),"")</f>
        <v/>
      </c>
    </row>
    <row r="117" spans="4:7" x14ac:dyDescent="0.2">
      <c r="D117" s="9"/>
      <c r="E117" s="9"/>
      <c r="F117" s="9"/>
      <c r="G117" s="10" t="str" cm="1">
        <f t="array" ref="G117">IF(F117&gt;0,_xlfn._xlws.FILTER(Boleta!S$15:S$230,(Boleta!Q$15:Q$230=F117)),"")</f>
        <v/>
      </c>
    </row>
    <row r="118" spans="4:7" x14ac:dyDescent="0.2">
      <c r="D118" s="9"/>
      <c r="E118" s="9"/>
      <c r="F118" s="9"/>
      <c r="G118" s="10" t="str" cm="1">
        <f t="array" ref="G118">IF(F118&gt;0,_xlfn._xlws.FILTER(Boleta!S$15:S$230,(Boleta!Q$15:Q$230=F118)),"")</f>
        <v/>
      </c>
    </row>
    <row r="119" spans="4:7" x14ac:dyDescent="0.2">
      <c r="D119" s="9"/>
      <c r="E119" s="9"/>
      <c r="F119" s="9"/>
      <c r="G119" s="10" t="str" cm="1">
        <f t="array" ref="G119">IF(F119&gt;0,_xlfn._xlws.FILTER(Boleta!S$15:S$230,(Boleta!Q$15:Q$230=F119)),"")</f>
        <v/>
      </c>
    </row>
    <row r="120" spans="4:7" x14ac:dyDescent="0.2">
      <c r="D120" s="9"/>
      <c r="E120" s="9"/>
      <c r="F120" s="9"/>
      <c r="G120" s="10" t="str" cm="1">
        <f t="array" ref="G120">IF(F120&gt;0,_xlfn._xlws.FILTER(Boleta!S$15:S$230,(Boleta!Q$15:Q$230=F120)),"")</f>
        <v/>
      </c>
    </row>
    <row r="121" spans="4:7" x14ac:dyDescent="0.2">
      <c r="D121" s="9"/>
      <c r="E121" s="9"/>
      <c r="F121" s="9"/>
      <c r="G121" s="10" t="str" cm="1">
        <f t="array" ref="G121">IF(F121&gt;0,_xlfn._xlws.FILTER(Boleta!S$15:S$230,(Boleta!Q$15:Q$230=F121)),"")</f>
        <v/>
      </c>
    </row>
    <row r="122" spans="4:7" x14ac:dyDescent="0.2">
      <c r="D122" s="9"/>
      <c r="E122" s="9"/>
      <c r="F122" s="9"/>
      <c r="G122" s="10" t="str" cm="1">
        <f t="array" ref="G122">IF(F122&gt;0,_xlfn._xlws.FILTER(Boleta!S$15:S$230,(Boleta!Q$15:Q$230=F122)),"")</f>
        <v/>
      </c>
    </row>
    <row r="123" spans="4:7" x14ac:dyDescent="0.2">
      <c r="D123" s="9"/>
      <c r="E123" s="9"/>
      <c r="F123" s="9"/>
      <c r="G123" s="10" t="str" cm="1">
        <f t="array" ref="G123">IF(F123&gt;0,_xlfn._xlws.FILTER(Boleta!S$15:S$230,(Boleta!Q$15:Q$230=F123)),"")</f>
        <v/>
      </c>
    </row>
    <row r="124" spans="4:7" x14ac:dyDescent="0.2">
      <c r="D124" s="9"/>
      <c r="E124" s="9"/>
      <c r="F124" s="9"/>
      <c r="G124" s="10" t="str" cm="1">
        <f t="array" ref="G124">IF(F124&gt;0,_xlfn._xlws.FILTER(Boleta!S$15:S$230,(Boleta!Q$15:Q$230=F124)),"")</f>
        <v/>
      </c>
    </row>
    <row r="125" spans="4:7" x14ac:dyDescent="0.2">
      <c r="D125" s="9"/>
      <c r="E125" s="9"/>
      <c r="F125" s="9"/>
      <c r="G125" s="10" t="str" cm="1">
        <f t="array" ref="G125">IF(F125&gt;0,_xlfn._xlws.FILTER(Boleta!S$15:S$230,(Boleta!Q$15:Q$230=F125)),"")</f>
        <v/>
      </c>
    </row>
    <row r="126" spans="4:7" x14ac:dyDescent="0.2">
      <c r="D126" s="9"/>
      <c r="E126" s="9"/>
      <c r="F126" s="9"/>
      <c r="G126" s="10" t="str" cm="1">
        <f t="array" ref="G126">IF(F126&gt;0,_xlfn._xlws.FILTER(Boleta!S$15:S$230,(Boleta!Q$15:Q$230=F126)),"")</f>
        <v/>
      </c>
    </row>
    <row r="127" spans="4:7" x14ac:dyDescent="0.2">
      <c r="D127" s="9"/>
      <c r="E127" s="9"/>
      <c r="F127" s="9"/>
      <c r="G127" s="10" t="str" cm="1">
        <f t="array" ref="G127">IF(F127&gt;0,_xlfn._xlws.FILTER(Boleta!S$15:S$230,(Boleta!Q$15:Q$230=F127)),"")</f>
        <v/>
      </c>
    </row>
    <row r="128" spans="4:7" x14ac:dyDescent="0.2">
      <c r="D128" s="9"/>
      <c r="E128" s="9"/>
      <c r="F128" s="9"/>
      <c r="G128" s="10" t="str" cm="1">
        <f t="array" ref="G128">IF(F128&gt;0,_xlfn._xlws.FILTER(Boleta!S$15:S$230,(Boleta!Q$15:Q$230=F128)),"")</f>
        <v/>
      </c>
    </row>
    <row r="129" spans="4:7" x14ac:dyDescent="0.2">
      <c r="D129" s="9"/>
      <c r="E129" s="9"/>
      <c r="F129" s="9"/>
      <c r="G129" s="10" t="str" cm="1">
        <f t="array" ref="G129">IF(F129&gt;0,_xlfn._xlws.FILTER(Boleta!S$15:S$230,(Boleta!Q$15:Q$230=F129)),"")</f>
        <v/>
      </c>
    </row>
    <row r="130" spans="4:7" x14ac:dyDescent="0.2">
      <c r="D130" s="9"/>
      <c r="E130" s="9"/>
      <c r="F130" s="9"/>
      <c r="G130" s="10" t="str" cm="1">
        <f t="array" ref="G130">IF(F130&gt;0,_xlfn._xlws.FILTER(Boleta!S$15:S$230,(Boleta!Q$15:Q$230=F130)),"")</f>
        <v/>
      </c>
    </row>
    <row r="131" spans="4:7" x14ac:dyDescent="0.2">
      <c r="D131" s="9"/>
      <c r="E131" s="9"/>
      <c r="F131" s="9"/>
      <c r="G131" s="10" t="str" cm="1">
        <f t="array" ref="G131">IF(F131&gt;0,_xlfn._xlws.FILTER(Boleta!S$15:S$230,(Boleta!Q$15:Q$230=F131)),"")</f>
        <v/>
      </c>
    </row>
    <row r="132" spans="4:7" x14ac:dyDescent="0.2">
      <c r="D132" s="9"/>
      <c r="E132" s="9"/>
      <c r="F132" s="9"/>
      <c r="G132" s="10" t="str" cm="1">
        <f t="array" ref="G132">IF(F132&gt;0,_xlfn._xlws.FILTER(Boleta!S$15:S$230,(Boleta!Q$15:Q$230=F132)),"")</f>
        <v/>
      </c>
    </row>
    <row r="133" spans="4:7" x14ac:dyDescent="0.2">
      <c r="D133" s="9"/>
      <c r="E133" s="9"/>
      <c r="F133" s="9"/>
      <c r="G133" s="10" t="str" cm="1">
        <f t="array" ref="G133">IF(F133&gt;0,_xlfn._xlws.FILTER(Boleta!S$15:S$230,(Boleta!Q$15:Q$230=F133)),"")</f>
        <v/>
      </c>
    </row>
    <row r="134" spans="4:7" x14ac:dyDescent="0.2">
      <c r="D134" s="9"/>
      <c r="E134" s="9"/>
      <c r="F134" s="9"/>
      <c r="G134" s="10" t="str" cm="1">
        <f t="array" ref="G134">IF(F134&gt;0,_xlfn._xlws.FILTER(Boleta!S$15:S$230,(Boleta!Q$15:Q$230=F134)),"")</f>
        <v/>
      </c>
    </row>
    <row r="135" spans="4:7" x14ac:dyDescent="0.2">
      <c r="D135" s="9"/>
      <c r="E135" s="9"/>
      <c r="F135" s="9"/>
      <c r="G135" s="10" t="str" cm="1">
        <f t="array" ref="G135">IF(F135&gt;0,_xlfn._xlws.FILTER(Boleta!S$15:S$230,(Boleta!Q$15:Q$230=F135)),"")</f>
        <v/>
      </c>
    </row>
    <row r="136" spans="4:7" x14ac:dyDescent="0.2">
      <c r="D136" s="9"/>
      <c r="E136" s="9"/>
      <c r="F136" s="9"/>
      <c r="G136" s="10" t="str" cm="1">
        <f t="array" ref="G136">IF(F136&gt;0,_xlfn._xlws.FILTER(Boleta!S$15:S$230,(Boleta!Q$15:Q$230=F136)),"")</f>
        <v/>
      </c>
    </row>
    <row r="137" spans="4:7" x14ac:dyDescent="0.2">
      <c r="D137" s="9"/>
      <c r="E137" s="9"/>
      <c r="F137" s="9"/>
      <c r="G137" s="10" t="str" cm="1">
        <f t="array" ref="G137">IF(F137&gt;0,_xlfn._xlws.FILTER(Boleta!S$15:S$230,(Boleta!Q$15:Q$230=F137)),"")</f>
        <v/>
      </c>
    </row>
    <row r="138" spans="4:7" x14ac:dyDescent="0.2">
      <c r="D138" s="9"/>
      <c r="E138" s="9"/>
      <c r="F138" s="9"/>
      <c r="G138" s="10" t="str" cm="1">
        <f t="array" ref="G138">IF(F138&gt;0,_xlfn._xlws.FILTER(Boleta!S$15:S$230,(Boleta!Q$15:Q$230=F138)),"")</f>
        <v/>
      </c>
    </row>
    <row r="139" spans="4:7" x14ac:dyDescent="0.2">
      <c r="D139" s="9"/>
      <c r="E139" s="9"/>
      <c r="F139" s="9"/>
      <c r="G139" s="10" t="str" cm="1">
        <f t="array" ref="G139">IF(F139&gt;0,_xlfn._xlws.FILTER(Boleta!S$15:S$230,(Boleta!Q$15:Q$230=F139)),"")</f>
        <v/>
      </c>
    </row>
    <row r="140" spans="4:7" x14ac:dyDescent="0.2">
      <c r="D140" s="9"/>
      <c r="E140" s="9"/>
      <c r="F140" s="9"/>
      <c r="G140" s="10" t="str" cm="1">
        <f t="array" ref="G140">IF(F140&gt;0,_xlfn._xlws.FILTER(Boleta!S$15:S$230,(Boleta!Q$15:Q$230=F140)),"")</f>
        <v/>
      </c>
    </row>
    <row r="141" spans="4:7" x14ac:dyDescent="0.2">
      <c r="D141" s="9"/>
      <c r="E141" s="9"/>
      <c r="F141" s="9"/>
      <c r="G141" s="10" t="str" cm="1">
        <f t="array" ref="G141">IF(F141&gt;0,_xlfn._xlws.FILTER(Boleta!S$15:S$230,(Boleta!Q$15:Q$230=F141)),"")</f>
        <v/>
      </c>
    </row>
    <row r="142" spans="4:7" x14ac:dyDescent="0.2">
      <c r="D142" s="9"/>
      <c r="E142" s="9"/>
      <c r="F142" s="9"/>
      <c r="G142" s="10" t="str" cm="1">
        <f t="array" ref="G142">IF(F142&gt;0,_xlfn._xlws.FILTER(Boleta!S$15:S$230,(Boleta!Q$15:Q$230=F142)),"")</f>
        <v/>
      </c>
    </row>
    <row r="143" spans="4:7" x14ac:dyDescent="0.2">
      <c r="D143" s="9"/>
      <c r="E143" s="9"/>
      <c r="F143" s="9"/>
      <c r="G143" s="10" t="str" cm="1">
        <f t="array" ref="G143">IF(F143&gt;0,_xlfn._xlws.FILTER(Boleta!S$15:S$230,(Boleta!Q$15:Q$230=F143)),"")</f>
        <v/>
      </c>
    </row>
    <row r="144" spans="4:7" x14ac:dyDescent="0.2">
      <c r="D144" s="9"/>
      <c r="E144" s="9"/>
      <c r="F144" s="9"/>
      <c r="G144" s="10" t="str" cm="1">
        <f t="array" ref="G144">IF(F144&gt;0,_xlfn._xlws.FILTER(Boleta!S$15:S$230,(Boleta!Q$15:Q$230=F144)),"")</f>
        <v/>
      </c>
    </row>
    <row r="145" spans="4:7" x14ac:dyDescent="0.2">
      <c r="D145" s="9"/>
      <c r="E145" s="9"/>
      <c r="F145" s="9"/>
      <c r="G145" s="10" t="str" cm="1">
        <f t="array" ref="G145">IF(F145&gt;0,_xlfn._xlws.FILTER(Boleta!S$15:S$230,(Boleta!Q$15:Q$230=F145)),"")</f>
        <v/>
      </c>
    </row>
    <row r="146" spans="4:7" x14ac:dyDescent="0.2">
      <c r="D146" s="9"/>
      <c r="E146" s="9"/>
      <c r="F146" s="9"/>
      <c r="G146" s="10" t="str" cm="1">
        <f t="array" ref="G146">IF(F146&gt;0,_xlfn._xlws.FILTER(Boleta!S$15:S$230,(Boleta!Q$15:Q$230=F146)),"")</f>
        <v/>
      </c>
    </row>
    <row r="147" spans="4:7" x14ac:dyDescent="0.2">
      <c r="D147" s="9"/>
      <c r="E147" s="9"/>
      <c r="F147" s="9"/>
      <c r="G147" s="10" t="str" cm="1">
        <f t="array" ref="G147">IF(F147&gt;0,_xlfn._xlws.FILTER(Boleta!S$15:S$230,(Boleta!Q$15:Q$230=F147)),"")</f>
        <v/>
      </c>
    </row>
    <row r="148" spans="4:7" x14ac:dyDescent="0.2">
      <c r="D148" s="9"/>
      <c r="E148" s="9"/>
      <c r="F148" s="9"/>
      <c r="G148" s="10" t="str" cm="1">
        <f t="array" ref="G148">IF(F148&gt;0,_xlfn._xlws.FILTER(Boleta!S$15:S$230,(Boleta!Q$15:Q$230=F148)),"")</f>
        <v/>
      </c>
    </row>
    <row r="149" spans="4:7" x14ac:dyDescent="0.2">
      <c r="D149" s="9"/>
      <c r="E149" s="9"/>
      <c r="F149" s="9"/>
      <c r="G149" s="10" t="str" cm="1">
        <f t="array" ref="G149">IF(F149&gt;0,_xlfn._xlws.FILTER(Boleta!S$15:S$230,(Boleta!Q$15:Q$230=F149)),"")</f>
        <v/>
      </c>
    </row>
    <row r="150" spans="4:7" x14ac:dyDescent="0.2">
      <c r="D150" s="9"/>
      <c r="E150" s="9"/>
      <c r="F150" s="9"/>
      <c r="G150" s="10" t="str" cm="1">
        <f t="array" ref="G150">IF(F150&gt;0,_xlfn._xlws.FILTER(Boleta!S$15:S$230,(Boleta!Q$15:Q$230=F150)),"")</f>
        <v/>
      </c>
    </row>
    <row r="151" spans="4:7" x14ac:dyDescent="0.2">
      <c r="D151" s="9"/>
      <c r="E151" s="9"/>
      <c r="F151" s="9"/>
      <c r="G151" s="10" t="str" cm="1">
        <f t="array" ref="G151">IF(F151&gt;0,_xlfn._xlws.FILTER(Boleta!S$15:S$230,(Boleta!Q$15:Q$230=F151)),"")</f>
        <v/>
      </c>
    </row>
    <row r="152" spans="4:7" x14ac:dyDescent="0.2">
      <c r="D152" s="9"/>
      <c r="E152" s="9"/>
      <c r="F152" s="9"/>
      <c r="G152" s="10" t="str" cm="1">
        <f t="array" ref="G152">IF(F152&gt;0,_xlfn._xlws.FILTER(Boleta!S$15:S$230,(Boleta!Q$15:Q$230=F152)),"")</f>
        <v/>
      </c>
    </row>
    <row r="153" spans="4:7" x14ac:dyDescent="0.2">
      <c r="D153" s="9"/>
      <c r="E153" s="9"/>
      <c r="F153" s="9"/>
      <c r="G153" s="10" t="str" cm="1">
        <f t="array" ref="G153">IF(F153&gt;0,_xlfn._xlws.FILTER(Boleta!S$15:S$230,(Boleta!Q$15:Q$230=F153)),"")</f>
        <v/>
      </c>
    </row>
    <row r="154" spans="4:7" x14ac:dyDescent="0.2">
      <c r="D154" s="9"/>
      <c r="E154" s="9"/>
      <c r="F154" s="9"/>
      <c r="G154" s="10" t="str" cm="1">
        <f t="array" ref="G154">IF(F154&gt;0,_xlfn._xlws.FILTER(Boleta!S$15:S$230,(Boleta!Q$15:Q$230=F154)),"")</f>
        <v/>
      </c>
    </row>
    <row r="155" spans="4:7" x14ac:dyDescent="0.2">
      <c r="D155" s="9"/>
      <c r="E155" s="9"/>
      <c r="F155" s="9"/>
      <c r="G155" s="10" t="str" cm="1">
        <f t="array" ref="G155">IF(F155&gt;0,_xlfn._xlws.FILTER(Boleta!S$15:S$230,(Boleta!Q$15:Q$230=F155)),"")</f>
        <v/>
      </c>
    </row>
    <row r="156" spans="4:7" x14ac:dyDescent="0.2">
      <c r="D156" s="9"/>
      <c r="E156" s="9"/>
      <c r="F156" s="9"/>
      <c r="G156" s="10" t="str" cm="1">
        <f t="array" ref="G156">IF(F156&gt;0,_xlfn._xlws.FILTER(Boleta!S$15:S$230,(Boleta!Q$15:Q$230=F156)),"")</f>
        <v/>
      </c>
    </row>
    <row r="157" spans="4:7" x14ac:dyDescent="0.2">
      <c r="D157" s="9"/>
      <c r="E157" s="9"/>
      <c r="F157" s="9"/>
      <c r="G157" s="10" t="str" cm="1">
        <f t="array" ref="G157">IF(F157&gt;0,_xlfn._xlws.FILTER(Boleta!S$15:S$230,(Boleta!Q$15:Q$230=F157)),"")</f>
        <v/>
      </c>
    </row>
    <row r="158" spans="4:7" x14ac:dyDescent="0.2">
      <c r="D158" s="9"/>
      <c r="E158" s="9"/>
      <c r="F158" s="9"/>
      <c r="G158" s="10" t="str" cm="1">
        <f t="array" ref="G158">IF(F158&gt;0,_xlfn._xlws.FILTER(Boleta!S$15:S$230,(Boleta!Q$15:Q$230=F158)),"")</f>
        <v/>
      </c>
    </row>
    <row r="159" spans="4:7" x14ac:dyDescent="0.2">
      <c r="D159" s="9"/>
      <c r="E159" s="9"/>
      <c r="F159" s="9"/>
      <c r="G159" s="10" t="str" cm="1">
        <f t="array" ref="G159">IF(F159&gt;0,_xlfn._xlws.FILTER(Boleta!S$15:S$230,(Boleta!Q$15:Q$230=F159)),"")</f>
        <v/>
      </c>
    </row>
    <row r="160" spans="4:7" x14ac:dyDescent="0.2">
      <c r="D160" s="9"/>
      <c r="E160" s="9"/>
      <c r="F160" s="9"/>
      <c r="G160" s="10" t="str" cm="1">
        <f t="array" ref="G160">IF(F160&gt;0,_xlfn._xlws.FILTER(Boleta!S$15:S$230,(Boleta!Q$15:Q$230=F160)),"")</f>
        <v/>
      </c>
    </row>
    <row r="161" spans="4:7" x14ac:dyDescent="0.2">
      <c r="D161" s="9"/>
      <c r="E161" s="9"/>
      <c r="F161" s="9"/>
      <c r="G161" s="10" t="str" cm="1">
        <f t="array" ref="G161">IF(F161&gt;0,_xlfn._xlws.FILTER(Boleta!S$15:S$230,(Boleta!Q$15:Q$230=F161)),"")</f>
        <v/>
      </c>
    </row>
    <row r="162" spans="4:7" x14ac:dyDescent="0.2">
      <c r="D162" s="9"/>
      <c r="E162" s="9"/>
      <c r="F162" s="9"/>
      <c r="G162" s="10" t="str" cm="1">
        <f t="array" ref="G162">IF(F162&gt;0,_xlfn._xlws.FILTER(Boleta!S$15:S$230,(Boleta!Q$15:Q$230=F162)),"")</f>
        <v/>
      </c>
    </row>
    <row r="163" spans="4:7" x14ac:dyDescent="0.2">
      <c r="D163" s="9"/>
      <c r="E163" s="9"/>
      <c r="F163" s="9"/>
      <c r="G163" s="10" t="str" cm="1">
        <f t="array" ref="G163">IF(F163&gt;0,_xlfn._xlws.FILTER(Boleta!S$15:S$230,(Boleta!Q$15:Q$230=F163)),"")</f>
        <v/>
      </c>
    </row>
    <row r="164" spans="4:7" x14ac:dyDescent="0.2">
      <c r="D164" s="9"/>
      <c r="E164" s="9"/>
      <c r="F164" s="9"/>
      <c r="G164" s="10" t="str" cm="1">
        <f t="array" ref="G164">IF(F164&gt;0,_xlfn._xlws.FILTER(Boleta!S$15:S$230,(Boleta!Q$15:Q$230=F164)),"")</f>
        <v/>
      </c>
    </row>
    <row r="165" spans="4:7" x14ac:dyDescent="0.2">
      <c r="D165" s="9"/>
      <c r="E165" s="9"/>
      <c r="F165" s="9"/>
      <c r="G165" s="10" t="str" cm="1">
        <f t="array" ref="G165">IF(F165&gt;0,_xlfn._xlws.FILTER(Boleta!S$15:S$230,(Boleta!Q$15:Q$230=F165)),"")</f>
        <v/>
      </c>
    </row>
    <row r="166" spans="4:7" x14ac:dyDescent="0.2">
      <c r="D166" s="9"/>
      <c r="E166" s="9"/>
      <c r="F166" s="9"/>
      <c r="G166" s="10" t="str" cm="1">
        <f t="array" ref="G166">IF(F166&gt;0,_xlfn._xlws.FILTER(Boleta!S$15:S$230,(Boleta!Q$15:Q$230=F166)),"")</f>
        <v/>
      </c>
    </row>
    <row r="167" spans="4:7" x14ac:dyDescent="0.2">
      <c r="D167" s="9"/>
      <c r="E167" s="9"/>
      <c r="F167" s="9"/>
      <c r="G167" s="10" t="str" cm="1">
        <f t="array" ref="G167">IF(F167&gt;0,_xlfn._xlws.FILTER(Boleta!S$15:S$230,(Boleta!Q$15:Q$230=F167)),"")</f>
        <v/>
      </c>
    </row>
    <row r="168" spans="4:7" x14ac:dyDescent="0.2">
      <c r="D168" s="9"/>
      <c r="E168" s="9"/>
      <c r="F168" s="9"/>
      <c r="G168" s="10" t="str" cm="1">
        <f t="array" ref="G168">IF(F168&gt;0,_xlfn._xlws.FILTER(Boleta!S$15:S$230,(Boleta!Q$15:Q$230=F168)),"")</f>
        <v/>
      </c>
    </row>
    <row r="169" spans="4:7" x14ac:dyDescent="0.2">
      <c r="D169" s="9"/>
      <c r="E169" s="9"/>
      <c r="F169" s="9"/>
      <c r="G169" s="10" t="str" cm="1">
        <f t="array" ref="G169">IF(F169&gt;0,_xlfn._xlws.FILTER(Boleta!S$15:S$230,(Boleta!Q$15:Q$230=F169)),"")</f>
        <v/>
      </c>
    </row>
    <row r="170" spans="4:7" x14ac:dyDescent="0.2">
      <c r="D170" s="9"/>
      <c r="E170" s="9"/>
      <c r="F170" s="9"/>
      <c r="G170" s="10" t="str" cm="1">
        <f t="array" ref="G170">IF(F170&gt;0,_xlfn._xlws.FILTER(Boleta!S$15:S$230,(Boleta!Q$15:Q$230=F170)),"")</f>
        <v/>
      </c>
    </row>
    <row r="171" spans="4:7" x14ac:dyDescent="0.2">
      <c r="D171" s="9"/>
      <c r="E171" s="9"/>
      <c r="F171" s="9"/>
      <c r="G171" s="10" t="str" cm="1">
        <f t="array" ref="G171">IF(F171&gt;0,_xlfn._xlws.FILTER(Boleta!S$15:S$230,(Boleta!Q$15:Q$230=F171)),"")</f>
        <v/>
      </c>
    </row>
    <row r="172" spans="4:7" x14ac:dyDescent="0.2">
      <c r="D172" s="9"/>
      <c r="E172" s="9"/>
      <c r="F172" s="9"/>
      <c r="G172" s="10" t="str" cm="1">
        <f t="array" ref="G172">IF(F172&gt;0,_xlfn._xlws.FILTER(Boleta!S$15:S$230,(Boleta!Q$15:Q$230=F172)),"")</f>
        <v/>
      </c>
    </row>
    <row r="173" spans="4:7" x14ac:dyDescent="0.2">
      <c r="D173" s="9"/>
      <c r="E173" s="9"/>
      <c r="F173" s="9"/>
      <c r="G173" s="10" t="str" cm="1">
        <f t="array" ref="G173">IF(F173&gt;0,_xlfn._xlws.FILTER(Boleta!S$15:S$230,(Boleta!Q$15:Q$230=F173)),"")</f>
        <v/>
      </c>
    </row>
    <row r="174" spans="4:7" x14ac:dyDescent="0.2">
      <c r="D174" s="9"/>
      <c r="E174" s="9"/>
      <c r="F174" s="9"/>
      <c r="G174" s="10" t="str" cm="1">
        <f t="array" ref="G174">IF(F174&gt;0,_xlfn._xlws.FILTER(Boleta!S$15:S$230,(Boleta!Q$15:Q$230=F174)),"")</f>
        <v/>
      </c>
    </row>
    <row r="175" spans="4:7" x14ac:dyDescent="0.2">
      <c r="D175" s="9"/>
      <c r="E175" s="9"/>
      <c r="F175" s="9"/>
      <c r="G175" s="10" t="str" cm="1">
        <f t="array" ref="G175">IF(F175&gt;0,_xlfn._xlws.FILTER(Boleta!S$15:S$230,(Boleta!Q$15:Q$230=F175)),"")</f>
        <v/>
      </c>
    </row>
    <row r="176" spans="4:7" x14ac:dyDescent="0.2">
      <c r="D176" s="9"/>
      <c r="E176" s="9"/>
      <c r="F176" s="9"/>
      <c r="G176" s="10" t="str" cm="1">
        <f t="array" ref="G176">IF(F176&gt;0,_xlfn._xlws.FILTER(Boleta!S$15:S$230,(Boleta!Q$15:Q$230=F176)),"")</f>
        <v/>
      </c>
    </row>
    <row r="177" spans="4:7" x14ac:dyDescent="0.2">
      <c r="D177" s="9"/>
      <c r="E177" s="9"/>
      <c r="F177" s="9"/>
      <c r="G177" s="10" t="str" cm="1">
        <f t="array" ref="G177">IF(F177&gt;0,_xlfn._xlws.FILTER(Boleta!S$15:S$230,(Boleta!Q$15:Q$230=F177)),"")</f>
        <v/>
      </c>
    </row>
    <row r="178" spans="4:7" x14ac:dyDescent="0.2">
      <c r="D178" s="9"/>
      <c r="E178" s="9"/>
      <c r="F178" s="9"/>
      <c r="G178" s="10" t="str" cm="1">
        <f t="array" ref="G178">IF(F178&gt;0,_xlfn._xlws.FILTER(Boleta!S$15:S$230,(Boleta!Q$15:Q$230=F178)),"")</f>
        <v/>
      </c>
    </row>
    <row r="179" spans="4:7" x14ac:dyDescent="0.2">
      <c r="D179" s="9"/>
      <c r="E179" s="9"/>
      <c r="F179" s="9"/>
      <c r="G179" s="10" t="str" cm="1">
        <f t="array" ref="G179">IF(F179&gt;0,_xlfn._xlws.FILTER(Boleta!S$15:S$230,(Boleta!Q$15:Q$230=F179)),"")</f>
        <v/>
      </c>
    </row>
    <row r="180" spans="4:7" x14ac:dyDescent="0.2">
      <c r="D180" s="9"/>
      <c r="E180" s="9"/>
      <c r="F180" s="9"/>
      <c r="G180" s="10" t="str" cm="1">
        <f t="array" ref="G180">IF(F180&gt;0,_xlfn._xlws.FILTER(Boleta!S$15:S$230,(Boleta!Q$15:Q$230=F180)),"")</f>
        <v/>
      </c>
    </row>
    <row r="181" spans="4:7" x14ac:dyDescent="0.2">
      <c r="D181" s="9"/>
      <c r="E181" s="9"/>
      <c r="F181" s="9"/>
      <c r="G181" s="10" t="str" cm="1">
        <f t="array" ref="G181">IF(F181&gt;0,_xlfn._xlws.FILTER(Boleta!S$15:S$230,(Boleta!Q$15:Q$230=F181)),"")</f>
        <v/>
      </c>
    </row>
    <row r="182" spans="4:7" x14ac:dyDescent="0.2">
      <c r="D182" s="9"/>
      <c r="E182" s="9"/>
      <c r="F182" s="9"/>
      <c r="G182" s="10" t="str" cm="1">
        <f t="array" ref="G182">IF(F182&gt;0,_xlfn._xlws.FILTER(Boleta!S$15:S$230,(Boleta!Q$15:Q$230=F182)),"")</f>
        <v/>
      </c>
    </row>
    <row r="183" spans="4:7" x14ac:dyDescent="0.2">
      <c r="D183" s="9"/>
      <c r="E183" s="9"/>
      <c r="F183" s="9"/>
      <c r="G183" s="10" t="str" cm="1">
        <f t="array" ref="G183">IF(F183&gt;0,_xlfn._xlws.FILTER(Boleta!S$15:S$230,(Boleta!Q$15:Q$230=F183)),"")</f>
        <v/>
      </c>
    </row>
    <row r="184" spans="4:7" x14ac:dyDescent="0.2">
      <c r="D184" s="9"/>
      <c r="E184" s="9"/>
      <c r="F184" s="9"/>
      <c r="G184" s="10" t="str" cm="1">
        <f t="array" ref="G184">IF(F184&gt;0,_xlfn._xlws.FILTER(Boleta!S$15:S$230,(Boleta!Q$15:Q$230=F184)),"")</f>
        <v/>
      </c>
    </row>
    <row r="185" spans="4:7" x14ac:dyDescent="0.2">
      <c r="D185" s="9"/>
      <c r="E185" s="9"/>
      <c r="F185" s="9"/>
      <c r="G185" s="10" t="str" cm="1">
        <f t="array" ref="G185">IF(F185&gt;0,_xlfn._xlws.FILTER(Boleta!S$15:S$230,(Boleta!Q$15:Q$230=F185)),"")</f>
        <v/>
      </c>
    </row>
    <row r="186" spans="4:7" x14ac:dyDescent="0.2">
      <c r="D186" s="9"/>
      <c r="E186" s="9"/>
      <c r="F186" s="9"/>
      <c r="G186" s="10" t="str" cm="1">
        <f t="array" ref="G186">IF(F186&gt;0,_xlfn._xlws.FILTER(Boleta!S$15:S$230,(Boleta!Q$15:Q$230=F186)),"")</f>
        <v/>
      </c>
    </row>
    <row r="187" spans="4:7" x14ac:dyDescent="0.2">
      <c r="D187" s="9"/>
      <c r="E187" s="9"/>
      <c r="F187" s="9"/>
      <c r="G187" s="10" t="str" cm="1">
        <f t="array" ref="G187">IF(F187&gt;0,_xlfn._xlws.FILTER(Boleta!S$15:S$230,(Boleta!Q$15:Q$230=F187)),"")</f>
        <v/>
      </c>
    </row>
    <row r="188" spans="4:7" x14ac:dyDescent="0.2">
      <c r="D188" s="9"/>
      <c r="E188" s="9"/>
      <c r="F188" s="9"/>
      <c r="G188" s="10" t="str" cm="1">
        <f t="array" ref="G188">IF(F188&gt;0,_xlfn._xlws.FILTER(Boleta!S$15:S$230,(Boleta!Q$15:Q$230=F188)),"")</f>
        <v/>
      </c>
    </row>
    <row r="189" spans="4:7" x14ac:dyDescent="0.2">
      <c r="D189" s="9"/>
      <c r="E189" s="9"/>
      <c r="F189" s="9"/>
      <c r="G189" s="10" t="str" cm="1">
        <f t="array" ref="G189">IF(F189&gt;0,_xlfn._xlws.FILTER(Boleta!S$15:S$230,(Boleta!Q$15:Q$230=F189)),"")</f>
        <v/>
      </c>
    </row>
    <row r="190" spans="4:7" x14ac:dyDescent="0.2">
      <c r="D190" s="9"/>
      <c r="E190" s="9"/>
      <c r="F190" s="9"/>
      <c r="G190" s="10" t="str" cm="1">
        <f t="array" ref="G190">IF(F190&gt;0,_xlfn._xlws.FILTER(Boleta!S$15:S$230,(Boleta!Q$15:Q$230=F190)),"")</f>
        <v/>
      </c>
    </row>
    <row r="191" spans="4:7" x14ac:dyDescent="0.2">
      <c r="D191" s="9"/>
      <c r="E191" s="9"/>
      <c r="F191" s="9"/>
      <c r="G191" s="10" t="str" cm="1">
        <f t="array" ref="G191">IF(F191&gt;0,_xlfn._xlws.FILTER(Boleta!S$15:S$230,(Boleta!Q$15:Q$230=F191)),"")</f>
        <v/>
      </c>
    </row>
    <row r="192" spans="4:7" x14ac:dyDescent="0.2">
      <c r="D192" s="9"/>
      <c r="E192" s="9"/>
      <c r="F192" s="9"/>
      <c r="G192" s="10" t="str" cm="1">
        <f t="array" ref="G192">IF(F192&gt;0,_xlfn._xlws.FILTER(Boleta!S$15:S$230,(Boleta!Q$15:Q$230=F192)),"")</f>
        <v/>
      </c>
    </row>
    <row r="193" spans="4:7" x14ac:dyDescent="0.2">
      <c r="D193" s="9"/>
      <c r="E193" s="9"/>
      <c r="F193" s="9"/>
      <c r="G193" s="10" t="str" cm="1">
        <f t="array" ref="G193">IF(F193&gt;0,_xlfn._xlws.FILTER(Boleta!S$15:S$230,(Boleta!Q$15:Q$230=F193)),"")</f>
        <v/>
      </c>
    </row>
    <row r="194" spans="4:7" x14ac:dyDescent="0.2">
      <c r="D194" s="9"/>
      <c r="E194" s="9"/>
      <c r="F194" s="9"/>
      <c r="G194" s="10" t="str" cm="1">
        <f t="array" ref="G194">IF(F194&gt;0,_xlfn._xlws.FILTER(Boleta!S$15:S$230,(Boleta!Q$15:Q$230=F194)),"")</f>
        <v/>
      </c>
    </row>
    <row r="195" spans="4:7" x14ac:dyDescent="0.2">
      <c r="D195" s="9"/>
      <c r="E195" s="9"/>
      <c r="F195" s="9"/>
      <c r="G195" s="10" t="str" cm="1">
        <f t="array" ref="G195">IF(F195&gt;0,_xlfn._xlws.FILTER(Boleta!S$15:S$230,(Boleta!Q$15:Q$230=F195)),"")</f>
        <v/>
      </c>
    </row>
    <row r="196" spans="4:7" x14ac:dyDescent="0.2">
      <c r="D196" s="9"/>
      <c r="E196" s="9"/>
      <c r="F196" s="9"/>
      <c r="G196" s="10" t="str" cm="1">
        <f t="array" ref="G196">IF(F196&gt;0,_xlfn._xlws.FILTER(Boleta!S$15:S$230,(Boleta!Q$15:Q$230=F196)),"")</f>
        <v/>
      </c>
    </row>
    <row r="197" spans="4:7" x14ac:dyDescent="0.2">
      <c r="D197" s="9"/>
      <c r="E197" s="9"/>
      <c r="F197" s="9"/>
      <c r="G197" s="10" t="str" cm="1">
        <f t="array" ref="G197">IF(F197&gt;0,_xlfn._xlws.FILTER(Boleta!S$15:S$230,(Boleta!Q$15:Q$230=F197)),"")</f>
        <v/>
      </c>
    </row>
    <row r="198" spans="4:7" x14ac:dyDescent="0.2">
      <c r="D198" s="9"/>
      <c r="E198" s="9"/>
      <c r="F198" s="9"/>
      <c r="G198" s="10" t="str" cm="1">
        <f t="array" ref="G198">IF(F198&gt;0,_xlfn._xlws.FILTER(Boleta!S$15:S$230,(Boleta!Q$15:Q$230=F198)),"")</f>
        <v/>
      </c>
    </row>
    <row r="199" spans="4:7" x14ac:dyDescent="0.2">
      <c r="D199" s="9"/>
      <c r="E199" s="9"/>
      <c r="F199" s="9"/>
      <c r="G199" s="10" t="str" cm="1">
        <f t="array" ref="G199">IF(F199&gt;0,_xlfn._xlws.FILTER(Boleta!S$15:S$230,(Boleta!Q$15:Q$230=F199)),"")</f>
        <v/>
      </c>
    </row>
    <row r="200" spans="4:7" x14ac:dyDescent="0.2">
      <c r="D200" s="9"/>
      <c r="E200" s="9"/>
      <c r="F200" s="9"/>
      <c r="G200" s="10" t="str" cm="1">
        <f t="array" ref="G200">IF(F200&gt;0,_xlfn._xlws.FILTER(Boleta!S$15:S$230,(Boleta!Q$15:Q$230=F200)),"")</f>
        <v/>
      </c>
    </row>
    <row r="201" spans="4:7" x14ac:dyDescent="0.2">
      <c r="D201" s="9"/>
      <c r="E201" s="9"/>
      <c r="F201" s="9"/>
      <c r="G201" s="10" t="str" cm="1">
        <f t="array" ref="G201">IF(F201&gt;0,_xlfn._xlws.FILTER(Boleta!S$15:S$230,(Boleta!Q$15:Q$230=F201)),"")</f>
        <v/>
      </c>
    </row>
    <row r="202" spans="4:7" x14ac:dyDescent="0.2">
      <c r="D202" s="9"/>
      <c r="E202" s="9"/>
      <c r="F202" s="9"/>
      <c r="G202" s="10" t="str" cm="1">
        <f t="array" ref="G202">IF(F202&gt;0,_xlfn._xlws.FILTER(Boleta!S$15:S$230,(Boleta!Q$15:Q$230=F202)),"")</f>
        <v/>
      </c>
    </row>
    <row r="203" spans="4:7" x14ac:dyDescent="0.2">
      <c r="D203" s="9"/>
      <c r="E203" s="9"/>
      <c r="F203" s="9"/>
      <c r="G203" s="10" t="str" cm="1">
        <f t="array" ref="G203">IF(F203&gt;0,_xlfn._xlws.FILTER(Boleta!S$15:S$230,(Boleta!Q$15:Q$230=F203)),"")</f>
        <v/>
      </c>
    </row>
    <row r="204" spans="4:7" x14ac:dyDescent="0.2">
      <c r="D204" s="9"/>
      <c r="E204" s="9"/>
      <c r="F204" s="9"/>
      <c r="G204" s="10" t="str" cm="1">
        <f t="array" ref="G204">IF(F204&gt;0,_xlfn._xlws.FILTER(Boleta!S$15:S$230,(Boleta!Q$15:Q$230=F204)),"")</f>
        <v/>
      </c>
    </row>
    <row r="205" spans="4:7" x14ac:dyDescent="0.2">
      <c r="D205" s="9"/>
      <c r="E205" s="9"/>
      <c r="F205" s="9"/>
      <c r="G205" s="10" t="str" cm="1">
        <f t="array" ref="G205">IF(F205&gt;0,_xlfn._xlws.FILTER(Boleta!S$15:S$230,(Boleta!Q$15:Q$230=F205)),"")</f>
        <v/>
      </c>
    </row>
    <row r="206" spans="4:7" x14ac:dyDescent="0.2">
      <c r="D206" s="9"/>
      <c r="E206" s="9"/>
      <c r="F206" s="9"/>
      <c r="G206" s="10" t="str" cm="1">
        <f t="array" ref="G206">IF(F206&gt;0,_xlfn._xlws.FILTER(Boleta!S$15:S$230,(Boleta!Q$15:Q$230=F206)),"")</f>
        <v/>
      </c>
    </row>
    <row r="207" spans="4:7" x14ac:dyDescent="0.2">
      <c r="D207" s="9"/>
      <c r="E207" s="9"/>
      <c r="F207" s="9"/>
      <c r="G207" s="10" t="str" cm="1">
        <f t="array" ref="G207">IF(F207&gt;0,_xlfn._xlws.FILTER(Boleta!S$15:S$230,(Boleta!Q$15:Q$230=F207)),"")</f>
        <v/>
      </c>
    </row>
    <row r="208" spans="4:7" x14ac:dyDescent="0.2">
      <c r="D208" s="9"/>
      <c r="E208" s="9"/>
      <c r="F208" s="9"/>
      <c r="G208" s="10" t="str" cm="1">
        <f t="array" ref="G208">IF(F208&gt;0,_xlfn._xlws.FILTER(Boleta!S$15:S$230,(Boleta!Q$15:Q$230=F208)),"")</f>
        <v/>
      </c>
    </row>
    <row r="209" spans="4:7" x14ac:dyDescent="0.2">
      <c r="D209" s="9"/>
      <c r="E209" s="9"/>
      <c r="F209" s="9"/>
      <c r="G209" s="10" t="str" cm="1">
        <f t="array" ref="G209">IF(F209&gt;0,_xlfn._xlws.FILTER(Boleta!S$15:S$230,(Boleta!Q$15:Q$230=F209)),"")</f>
        <v/>
      </c>
    </row>
    <row r="210" spans="4:7" x14ac:dyDescent="0.2">
      <c r="D210" s="9"/>
      <c r="E210" s="9"/>
      <c r="F210" s="9"/>
      <c r="G210" s="10" t="str" cm="1">
        <f t="array" ref="G210">IF(F210&gt;0,_xlfn._xlws.FILTER(Boleta!S$15:S$230,(Boleta!Q$15:Q$230=F210)),"")</f>
        <v/>
      </c>
    </row>
    <row r="211" spans="4:7" x14ac:dyDescent="0.2">
      <c r="D211" s="9"/>
      <c r="E211" s="9"/>
      <c r="F211" s="9"/>
      <c r="G211" s="10" t="str" cm="1">
        <f t="array" ref="G211">IF(F211&gt;0,_xlfn._xlws.FILTER(Boleta!S$15:S$230,(Boleta!Q$15:Q$230=F211)),"")</f>
        <v/>
      </c>
    </row>
    <row r="212" spans="4:7" x14ac:dyDescent="0.2">
      <c r="D212" s="9"/>
      <c r="E212" s="9"/>
      <c r="F212" s="9"/>
      <c r="G212" s="10" t="str" cm="1">
        <f t="array" ref="G212">IF(F212&gt;0,_xlfn._xlws.FILTER(Boleta!S$15:S$230,(Boleta!Q$15:Q$230=F212)),"")</f>
        <v/>
      </c>
    </row>
    <row r="213" spans="4:7" x14ac:dyDescent="0.2">
      <c r="D213" s="9"/>
      <c r="E213" s="9"/>
      <c r="F213" s="9"/>
      <c r="G213" s="10" t="str" cm="1">
        <f t="array" ref="G213">IF(F213&gt;0,_xlfn._xlws.FILTER(Boleta!S$15:S$230,(Boleta!Q$15:Q$230=F213)),"")</f>
        <v/>
      </c>
    </row>
    <row r="214" spans="4:7" x14ac:dyDescent="0.2">
      <c r="D214" s="9"/>
      <c r="E214" s="9"/>
      <c r="F214" s="9"/>
      <c r="G214" s="10" t="str" cm="1">
        <f t="array" ref="G214">IF(F214&gt;0,_xlfn._xlws.FILTER(Boleta!S$15:S$230,(Boleta!Q$15:Q$230=F214)),"")</f>
        <v/>
      </c>
    </row>
    <row r="215" spans="4:7" x14ac:dyDescent="0.2">
      <c r="D215" s="9"/>
      <c r="E215" s="9"/>
      <c r="F215" s="9"/>
      <c r="G215" s="10" t="str" cm="1">
        <f t="array" ref="G215">IF(F215&gt;0,_xlfn._xlws.FILTER(Boleta!S$15:S$230,(Boleta!Q$15:Q$230=F215)),"")</f>
        <v/>
      </c>
    </row>
    <row r="216" spans="4:7" x14ac:dyDescent="0.2">
      <c r="D216" s="9"/>
      <c r="E216" s="9"/>
      <c r="F216" s="9"/>
      <c r="G216" s="10" t="str" cm="1">
        <f t="array" ref="G216">IF(F216&gt;0,_xlfn._xlws.FILTER(Boleta!S$15:S$230,(Boleta!Q$15:Q$230=F216)),"")</f>
        <v/>
      </c>
    </row>
    <row r="217" spans="4:7" x14ac:dyDescent="0.2">
      <c r="D217" s="9"/>
      <c r="E217" s="9"/>
      <c r="F217" s="9"/>
      <c r="G217" s="10" t="str" cm="1">
        <f t="array" ref="G217">IF(F217&gt;0,_xlfn._xlws.FILTER(Boleta!S$15:S$230,(Boleta!Q$15:Q$230=F217)),"")</f>
        <v/>
      </c>
    </row>
    <row r="218" spans="4:7" x14ac:dyDescent="0.2">
      <c r="D218" s="9"/>
      <c r="E218" s="9"/>
      <c r="F218" s="9"/>
      <c r="G218" s="10" t="str" cm="1">
        <f t="array" ref="G218">IF(F218&gt;0,_xlfn._xlws.FILTER(Boleta!S$15:S$230,(Boleta!Q$15:Q$230=F218)),"")</f>
        <v/>
      </c>
    </row>
    <row r="219" spans="4:7" x14ac:dyDescent="0.2">
      <c r="D219" s="9"/>
      <c r="E219" s="9"/>
      <c r="F219" s="9"/>
      <c r="G219" s="10" t="str" cm="1">
        <f t="array" ref="G219">IF(F219&gt;0,_xlfn._xlws.FILTER(Boleta!S$15:S$230,(Boleta!Q$15:Q$230=F219)),"")</f>
        <v/>
      </c>
    </row>
    <row r="220" spans="4:7" x14ac:dyDescent="0.2">
      <c r="D220" s="9"/>
      <c r="E220" s="9"/>
      <c r="F220" s="9"/>
      <c r="G220" s="10" t="str" cm="1">
        <f t="array" ref="G220">IF(F220&gt;0,_xlfn._xlws.FILTER(Boleta!S$15:S$230,(Boleta!Q$15:Q$230=F220)),"")</f>
        <v/>
      </c>
    </row>
    <row r="221" spans="4:7" x14ac:dyDescent="0.2">
      <c r="D221" s="9"/>
      <c r="E221" s="9"/>
      <c r="F221" s="9"/>
      <c r="G221" s="10" t="str" cm="1">
        <f t="array" ref="G221">IF(F221&gt;0,_xlfn._xlws.FILTER(Boleta!S$15:S$230,(Boleta!Q$15:Q$230=F221)),"")</f>
        <v/>
      </c>
    </row>
    <row r="222" spans="4:7" x14ac:dyDescent="0.2">
      <c r="D222" s="9"/>
      <c r="E222" s="9"/>
      <c r="F222" s="9"/>
      <c r="G222" s="10" t="str" cm="1">
        <f t="array" ref="G222">IF(F222&gt;0,_xlfn._xlws.FILTER(Boleta!S$15:S$230,(Boleta!Q$15:Q$230=F222)),"")</f>
        <v/>
      </c>
    </row>
    <row r="223" spans="4:7" x14ac:dyDescent="0.2">
      <c r="D223" s="9"/>
      <c r="E223" s="9"/>
      <c r="F223" s="9"/>
      <c r="G223" s="10" t="str" cm="1">
        <f t="array" ref="G223">IF(F223&gt;0,_xlfn._xlws.FILTER(Boleta!S$15:S$230,(Boleta!Q$15:Q$230=F223)),"")</f>
        <v/>
      </c>
    </row>
    <row r="224" spans="4:7" x14ac:dyDescent="0.2">
      <c r="D224" s="9"/>
      <c r="E224" s="9"/>
      <c r="F224" s="9"/>
      <c r="G224" s="10" t="str" cm="1">
        <f t="array" ref="G224">IF(F224&gt;0,_xlfn._xlws.FILTER(Boleta!S$15:S$230,(Boleta!Q$15:Q$230=F224)),"")</f>
        <v/>
      </c>
    </row>
    <row r="225" spans="4:7" x14ac:dyDescent="0.2">
      <c r="D225" s="9"/>
      <c r="E225" s="9"/>
      <c r="F225" s="9"/>
      <c r="G225" s="10" t="str" cm="1">
        <f t="array" ref="G225">IF(F225&gt;0,_xlfn._xlws.FILTER(Boleta!S$15:S$230,(Boleta!Q$15:Q$230=F225)),"")</f>
        <v/>
      </c>
    </row>
    <row r="226" spans="4:7" x14ac:dyDescent="0.2">
      <c r="D226" s="9"/>
      <c r="E226" s="9"/>
      <c r="F226" s="9"/>
      <c r="G226" s="10" t="str" cm="1">
        <f t="array" ref="G226">IF(F226&gt;0,_xlfn._xlws.FILTER(Boleta!S$15:S$230,(Boleta!Q$15:Q$230=F226)),"")</f>
        <v/>
      </c>
    </row>
    <row r="227" spans="4:7" x14ac:dyDescent="0.2">
      <c r="D227" s="9"/>
      <c r="E227" s="9"/>
      <c r="F227" s="9"/>
      <c r="G227" s="10" t="str" cm="1">
        <f t="array" ref="G227">IF(F227&gt;0,_xlfn._xlws.FILTER(Boleta!S$15:S$230,(Boleta!Q$15:Q$230=F227)),"")</f>
        <v/>
      </c>
    </row>
    <row r="228" spans="4:7" x14ac:dyDescent="0.2">
      <c r="D228" s="9"/>
      <c r="E228" s="9"/>
      <c r="F228" s="9"/>
      <c r="G228" s="10" t="str" cm="1">
        <f t="array" ref="G228">IF(F228&gt;0,_xlfn._xlws.FILTER(Boleta!S$15:S$230,(Boleta!Q$15:Q$230=F228)),"")</f>
        <v/>
      </c>
    </row>
    <row r="229" spans="4:7" x14ac:dyDescent="0.2">
      <c r="D229" s="9"/>
      <c r="E229" s="9"/>
      <c r="F229" s="9"/>
      <c r="G229" s="10" t="str" cm="1">
        <f t="array" ref="G229">IF(F229&gt;0,_xlfn._xlws.FILTER(Boleta!S$15:S$230,(Boleta!Q$15:Q$230=F229)),"")</f>
        <v/>
      </c>
    </row>
    <row r="230" spans="4:7" x14ac:dyDescent="0.2">
      <c r="D230" s="9"/>
      <c r="E230" s="9"/>
      <c r="F230" s="9"/>
      <c r="G230" s="10" t="str" cm="1">
        <f t="array" ref="G230">IF(F230&gt;0,_xlfn._xlws.FILTER(Boleta!S$15:S$230,(Boleta!Q$15:Q$230=F230)),"")</f>
        <v/>
      </c>
    </row>
    <row r="231" spans="4:7" x14ac:dyDescent="0.2">
      <c r="D231" s="9"/>
      <c r="E231" s="9"/>
      <c r="F231" s="9"/>
      <c r="G231" s="10" t="str" cm="1">
        <f t="array" ref="G231">IF(F231&gt;0,_xlfn._xlws.FILTER(Boleta!S$15:S$230,(Boleta!Q$15:Q$230=F231)),"")</f>
        <v/>
      </c>
    </row>
    <row r="232" spans="4:7" x14ac:dyDescent="0.2">
      <c r="D232" s="9"/>
      <c r="E232" s="9"/>
      <c r="F232" s="9"/>
      <c r="G232" s="10" t="str" cm="1">
        <f t="array" ref="G232">IF(F232&gt;0,_xlfn._xlws.FILTER(Boleta!S$15:S$230,(Boleta!Q$15:Q$230=F232)),"")</f>
        <v/>
      </c>
    </row>
    <row r="233" spans="4:7" x14ac:dyDescent="0.2">
      <c r="D233" s="9"/>
      <c r="E233" s="9"/>
      <c r="F233" s="9"/>
      <c r="G233" s="10" t="str" cm="1">
        <f t="array" ref="G233">IF(F233&gt;0,_xlfn._xlws.FILTER(Boleta!S$15:S$230,(Boleta!Q$15:Q$230=F233)),"")</f>
        <v/>
      </c>
    </row>
    <row r="234" spans="4:7" x14ac:dyDescent="0.2">
      <c r="D234" s="9"/>
      <c r="E234" s="9"/>
      <c r="F234" s="9"/>
      <c r="G234" s="10" t="str" cm="1">
        <f t="array" ref="G234">IF(F234&gt;0,_xlfn._xlws.FILTER(Boleta!S$15:S$230,(Boleta!Q$15:Q$230=F234)),"")</f>
        <v/>
      </c>
    </row>
    <row r="235" spans="4:7" x14ac:dyDescent="0.2">
      <c r="D235" s="9"/>
      <c r="E235" s="9"/>
      <c r="F235" s="9"/>
      <c r="G235" s="10" t="str" cm="1">
        <f t="array" ref="G235">IF(F235&gt;0,_xlfn._xlws.FILTER(Boleta!S$15:S$230,(Boleta!Q$15:Q$230=F235)),"")</f>
        <v/>
      </c>
    </row>
    <row r="236" spans="4:7" x14ac:dyDescent="0.2">
      <c r="D236" s="9"/>
      <c r="E236" s="9"/>
      <c r="F236" s="9"/>
      <c r="G236" s="10" t="str" cm="1">
        <f t="array" ref="G236">IF(F236&gt;0,_xlfn._xlws.FILTER(Boleta!S$15:S$230,(Boleta!Q$15:Q$230=F236)),"")</f>
        <v/>
      </c>
    </row>
    <row r="237" spans="4:7" x14ac:dyDescent="0.2">
      <c r="D237" s="9"/>
      <c r="E237" s="9"/>
      <c r="F237" s="9"/>
      <c r="G237" s="10" t="str" cm="1">
        <f t="array" ref="G237">IF(F237&gt;0,_xlfn._xlws.FILTER(Boleta!S$15:S$230,(Boleta!Q$15:Q$230=F237)),"")</f>
        <v/>
      </c>
    </row>
    <row r="238" spans="4:7" x14ac:dyDescent="0.2">
      <c r="D238" s="9"/>
      <c r="E238" s="9"/>
      <c r="F238" s="9"/>
      <c r="G238" s="10" t="str" cm="1">
        <f t="array" ref="G238">IF(F238&gt;0,_xlfn._xlws.FILTER(Boleta!S$15:S$230,(Boleta!Q$15:Q$230=F238)),"")</f>
        <v/>
      </c>
    </row>
    <row r="239" spans="4:7" x14ac:dyDescent="0.2">
      <c r="D239" s="9"/>
      <c r="E239" s="9"/>
      <c r="F239" s="9"/>
      <c r="G239" s="10" t="str" cm="1">
        <f t="array" ref="G239">IF(F239&gt;0,_xlfn._xlws.FILTER(Boleta!S$15:S$230,(Boleta!Q$15:Q$230=F239)),"")</f>
        <v/>
      </c>
    </row>
    <row r="240" spans="4:7" x14ac:dyDescent="0.2">
      <c r="D240" s="9"/>
      <c r="E240" s="9"/>
      <c r="F240" s="9"/>
      <c r="G240" s="10" t="str" cm="1">
        <f t="array" ref="G240">IF(F240&gt;0,_xlfn._xlws.FILTER(Boleta!S$15:S$230,(Boleta!Q$15:Q$230=F240)),"")</f>
        <v/>
      </c>
    </row>
    <row r="241" spans="4:7" x14ac:dyDescent="0.2">
      <c r="D241" s="9"/>
      <c r="E241" s="9"/>
      <c r="F241" s="9"/>
      <c r="G241" s="10" t="str" cm="1">
        <f t="array" ref="G241">IF(F241&gt;0,_xlfn._xlws.FILTER(Boleta!S$15:S$230,(Boleta!Q$15:Q$230=F241)),"")</f>
        <v/>
      </c>
    </row>
    <row r="242" spans="4:7" x14ac:dyDescent="0.2">
      <c r="D242" s="9"/>
      <c r="E242" s="9"/>
      <c r="F242" s="9"/>
      <c r="G242" s="10" t="str" cm="1">
        <f t="array" ref="G242">IF(F242&gt;0,_xlfn._xlws.FILTER(Boleta!S$15:S$230,(Boleta!Q$15:Q$230=F242)),"")</f>
        <v/>
      </c>
    </row>
    <row r="243" spans="4:7" x14ac:dyDescent="0.2">
      <c r="D243" s="9"/>
      <c r="E243" s="9"/>
      <c r="F243" s="9"/>
      <c r="G243" s="10" t="str" cm="1">
        <f t="array" ref="G243">IF(F243&gt;0,_xlfn._xlws.FILTER(Boleta!S$15:S$230,(Boleta!Q$15:Q$230=F243)),"")</f>
        <v/>
      </c>
    </row>
    <row r="244" spans="4:7" x14ac:dyDescent="0.2">
      <c r="D244" s="9"/>
      <c r="E244" s="9"/>
      <c r="F244" s="9"/>
      <c r="G244" s="10" t="str" cm="1">
        <f t="array" ref="G244">IF(F244&gt;0,_xlfn._xlws.FILTER(Boleta!S$15:S$230,(Boleta!Q$15:Q$230=F244)),"")</f>
        <v/>
      </c>
    </row>
    <row r="245" spans="4:7" x14ac:dyDescent="0.2">
      <c r="D245" s="9"/>
      <c r="E245" s="9"/>
      <c r="F245" s="9"/>
      <c r="G245" s="10" t="str" cm="1">
        <f t="array" ref="G245">IF(F245&gt;0,_xlfn._xlws.FILTER(Boleta!S$15:S$230,(Boleta!Q$15:Q$230=F245)),"")</f>
        <v/>
      </c>
    </row>
    <row r="246" spans="4:7" x14ac:dyDescent="0.2">
      <c r="D246" s="9"/>
      <c r="E246" s="9"/>
      <c r="F246" s="9"/>
      <c r="G246" s="10" t="str" cm="1">
        <f t="array" ref="G246">IF(F246&gt;0,_xlfn._xlws.FILTER(Boleta!S$15:S$230,(Boleta!Q$15:Q$230=F246)),"")</f>
        <v/>
      </c>
    </row>
    <row r="247" spans="4:7" x14ac:dyDescent="0.2">
      <c r="D247" s="9"/>
      <c r="E247" s="9"/>
      <c r="F247" s="9"/>
      <c r="G247" s="10" t="str" cm="1">
        <f t="array" ref="G247">IF(F247&gt;0,_xlfn._xlws.FILTER(Boleta!S$15:S$230,(Boleta!Q$15:Q$230=F247)),"")</f>
        <v/>
      </c>
    </row>
    <row r="248" spans="4:7" x14ac:dyDescent="0.2">
      <c r="D248" s="9"/>
      <c r="E248" s="9"/>
      <c r="F248" s="9"/>
      <c r="G248" s="10" t="str" cm="1">
        <f t="array" ref="G248">IF(F248&gt;0,_xlfn._xlws.FILTER(Boleta!S$15:S$230,(Boleta!Q$15:Q$230=F248)),"")</f>
        <v/>
      </c>
    </row>
    <row r="249" spans="4:7" x14ac:dyDescent="0.2">
      <c r="D249" s="9"/>
      <c r="E249" s="9"/>
      <c r="F249" s="9"/>
      <c r="G249" s="10" t="str" cm="1">
        <f t="array" ref="G249">IF(F249&gt;0,_xlfn._xlws.FILTER(Boleta!S$15:S$230,(Boleta!Q$15:Q$230=F249)),"")</f>
        <v/>
      </c>
    </row>
    <row r="250" spans="4:7" x14ac:dyDescent="0.2">
      <c r="D250" s="9"/>
      <c r="E250" s="9"/>
      <c r="F250" s="9"/>
      <c r="G250" s="10" t="str" cm="1">
        <f t="array" ref="G250">IF(F250&gt;0,_xlfn._xlws.FILTER(Boleta!S$15:S$230,(Boleta!Q$15:Q$230=F250)),"")</f>
        <v/>
      </c>
    </row>
    <row r="251" spans="4:7" x14ac:dyDescent="0.2">
      <c r="D251" s="9"/>
      <c r="E251" s="9"/>
      <c r="F251" s="9"/>
      <c r="G251" s="10"/>
    </row>
    <row r="252" spans="4:7" x14ac:dyDescent="0.2">
      <c r="D252" s="9"/>
      <c r="E252" s="9"/>
      <c r="F252" s="9"/>
      <c r="G252" s="10"/>
    </row>
    <row r="253" spans="4:7" x14ac:dyDescent="0.2">
      <c r="D253" s="9"/>
      <c r="E253" s="9"/>
      <c r="F253" s="9"/>
      <c r="G253" s="10"/>
    </row>
    <row r="254" spans="4:7" x14ac:dyDescent="0.2">
      <c r="D254" s="9"/>
      <c r="E254" s="9"/>
      <c r="F254" s="9"/>
      <c r="G254" s="10"/>
    </row>
    <row r="255" spans="4:7" x14ac:dyDescent="0.2">
      <c r="D255" s="9"/>
      <c r="E255" s="9"/>
      <c r="F255" s="9"/>
    </row>
    <row r="256" spans="4:7" x14ac:dyDescent="0.2">
      <c r="D256" s="9"/>
      <c r="E256" s="9"/>
      <c r="F256" s="9"/>
    </row>
    <row r="257" spans="4:6" x14ac:dyDescent="0.2">
      <c r="D257" s="9"/>
      <c r="E257" s="9"/>
      <c r="F257" s="9"/>
    </row>
    <row r="258" spans="4:6" x14ac:dyDescent="0.2">
      <c r="D258" s="9"/>
      <c r="E258" s="9"/>
      <c r="F258" s="9"/>
    </row>
    <row r="259" spans="4:6" x14ac:dyDescent="0.2">
      <c r="D259" s="9"/>
      <c r="E259" s="9"/>
      <c r="F259" s="9"/>
    </row>
    <row r="260" spans="4:6" x14ac:dyDescent="0.2">
      <c r="D260" s="9"/>
      <c r="E260" s="9"/>
      <c r="F260" s="9"/>
    </row>
    <row r="261" spans="4:6" x14ac:dyDescent="0.2">
      <c r="D261" s="9"/>
      <c r="E261" s="9"/>
      <c r="F261" s="9"/>
    </row>
    <row r="262" spans="4:6" x14ac:dyDescent="0.2">
      <c r="D262" s="9"/>
      <c r="E262" s="9"/>
      <c r="F262" s="9"/>
    </row>
    <row r="263" spans="4:6" x14ac:dyDescent="0.2">
      <c r="D263" s="9"/>
      <c r="E263" s="9"/>
      <c r="F263" s="9"/>
    </row>
    <row r="264" spans="4:6" x14ac:dyDescent="0.2">
      <c r="D264" s="9"/>
      <c r="E264" s="9"/>
      <c r="F264" s="9"/>
    </row>
    <row r="265" spans="4:6" x14ac:dyDescent="0.2">
      <c r="D265" s="9"/>
      <c r="E265" s="9"/>
      <c r="F265" s="9"/>
    </row>
    <row r="266" spans="4:6" x14ac:dyDescent="0.2">
      <c r="D266" s="9"/>
      <c r="E266" s="9"/>
      <c r="F266" s="9"/>
    </row>
    <row r="267" spans="4:6" x14ac:dyDescent="0.2">
      <c r="D267" s="9"/>
      <c r="E267" s="9"/>
      <c r="F267" s="9"/>
    </row>
    <row r="268" spans="4:6" x14ac:dyDescent="0.2">
      <c r="D268" s="9"/>
      <c r="E268" s="9"/>
      <c r="F268" s="9"/>
    </row>
    <row r="269" spans="4:6" x14ac:dyDescent="0.2">
      <c r="D269" s="9"/>
      <c r="E269" s="9"/>
      <c r="F269" s="9"/>
    </row>
    <row r="270" spans="4:6" x14ac:dyDescent="0.2">
      <c r="D270" s="9"/>
      <c r="E270" s="9"/>
      <c r="F270" s="9"/>
    </row>
    <row r="271" spans="4:6" x14ac:dyDescent="0.2">
      <c r="D271" s="9"/>
      <c r="E271" s="9"/>
      <c r="F271" s="9"/>
    </row>
    <row r="272" spans="4:6" x14ac:dyDescent="0.2">
      <c r="D272" s="9"/>
      <c r="E272" s="9"/>
      <c r="F272" s="9"/>
    </row>
    <row r="273" spans="4:6" x14ac:dyDescent="0.2">
      <c r="D273" s="9"/>
      <c r="E273" s="9"/>
      <c r="F273" s="9"/>
    </row>
    <row r="274" spans="4:6" x14ac:dyDescent="0.2">
      <c r="D274" s="9"/>
      <c r="E274" s="9"/>
      <c r="F274" s="9"/>
    </row>
    <row r="275" spans="4:6" x14ac:dyDescent="0.2">
      <c r="D275" s="9"/>
      <c r="E275" s="9"/>
      <c r="F275" s="9"/>
    </row>
    <row r="276" spans="4:6" x14ac:dyDescent="0.2">
      <c r="D276" s="9"/>
      <c r="E276" s="9"/>
      <c r="F276" s="9"/>
    </row>
    <row r="277" spans="4:6" x14ac:dyDescent="0.2">
      <c r="D277" s="9"/>
      <c r="E277" s="9"/>
      <c r="F277" s="9"/>
    </row>
    <row r="278" spans="4:6" x14ac:dyDescent="0.2">
      <c r="D278" s="9"/>
      <c r="E278" s="9"/>
      <c r="F278" s="9"/>
    </row>
    <row r="279" spans="4:6" x14ac:dyDescent="0.2">
      <c r="D279" s="9"/>
      <c r="E279" s="9"/>
      <c r="F279" s="9"/>
    </row>
    <row r="280" spans="4:6" x14ac:dyDescent="0.2">
      <c r="D280" s="9"/>
      <c r="E280" s="9"/>
      <c r="F280" s="9"/>
    </row>
    <row r="281" spans="4:6" x14ac:dyDescent="0.2">
      <c r="D281" s="9"/>
      <c r="E281" s="9"/>
      <c r="F281" s="9"/>
    </row>
    <row r="282" spans="4:6" x14ac:dyDescent="0.2">
      <c r="D282" s="9"/>
      <c r="E282" s="9"/>
      <c r="F282" s="9"/>
    </row>
    <row r="283" spans="4:6" x14ac:dyDescent="0.2">
      <c r="D283" s="9"/>
      <c r="E283" s="9"/>
      <c r="F283" s="9"/>
    </row>
    <row r="284" spans="4:6" x14ac:dyDescent="0.2">
      <c r="D284" s="9"/>
      <c r="E284" s="9"/>
      <c r="F284" s="9"/>
    </row>
    <row r="285" spans="4:6" x14ac:dyDescent="0.2">
      <c r="D285" s="9"/>
      <c r="E285" s="9"/>
      <c r="F285" s="9"/>
    </row>
    <row r="286" spans="4:6" x14ac:dyDescent="0.2">
      <c r="D286" s="9"/>
      <c r="E286" s="9"/>
      <c r="F286" s="9"/>
    </row>
    <row r="287" spans="4:6" x14ac:dyDescent="0.2">
      <c r="D287" s="9"/>
      <c r="E287" s="9"/>
      <c r="F287" s="9"/>
    </row>
    <row r="288" spans="4:6" x14ac:dyDescent="0.2">
      <c r="D288" s="9"/>
      <c r="E288" s="9"/>
      <c r="F288" s="9"/>
    </row>
    <row r="289" spans="4:6" x14ac:dyDescent="0.2">
      <c r="D289" s="9"/>
      <c r="E289" s="9"/>
      <c r="F289" s="9"/>
    </row>
    <row r="290" spans="4:6" x14ac:dyDescent="0.2">
      <c r="D290" s="9"/>
      <c r="E290" s="9"/>
      <c r="F290" s="9"/>
    </row>
    <row r="291" spans="4:6" x14ac:dyDescent="0.2">
      <c r="D291" s="9"/>
      <c r="E291" s="9"/>
      <c r="F291" s="9"/>
    </row>
    <row r="292" spans="4:6" x14ac:dyDescent="0.2">
      <c r="D292" s="9"/>
      <c r="E292" s="9"/>
      <c r="F292" s="9"/>
    </row>
    <row r="293" spans="4:6" x14ac:dyDescent="0.2">
      <c r="D293" s="9"/>
      <c r="E293" s="9"/>
      <c r="F293" s="9"/>
    </row>
    <row r="294" spans="4:6" x14ac:dyDescent="0.2">
      <c r="D294" s="9"/>
      <c r="E294" s="9"/>
      <c r="F294" s="9"/>
    </row>
    <row r="295" spans="4:6" x14ac:dyDescent="0.2">
      <c r="D295" s="9"/>
      <c r="E295" s="9"/>
      <c r="F295" s="9"/>
    </row>
    <row r="296" spans="4:6" x14ac:dyDescent="0.2">
      <c r="D296" s="9"/>
      <c r="E296" s="9"/>
      <c r="F296" s="9"/>
    </row>
    <row r="297" spans="4:6" x14ac:dyDescent="0.2">
      <c r="D297" s="9"/>
      <c r="E297" s="9"/>
      <c r="F297" s="9"/>
    </row>
    <row r="298" spans="4:6" x14ac:dyDescent="0.2">
      <c r="D298" s="9"/>
      <c r="E298" s="9"/>
      <c r="F298" s="9"/>
    </row>
    <row r="299" spans="4:6" x14ac:dyDescent="0.2">
      <c r="D299" s="9"/>
      <c r="E299" s="9"/>
      <c r="F299" s="9"/>
    </row>
    <row r="300" spans="4:6" x14ac:dyDescent="0.2">
      <c r="D300" s="9"/>
      <c r="E300" s="9"/>
      <c r="F300" s="9"/>
    </row>
    <row r="301" spans="4:6" x14ac:dyDescent="0.2">
      <c r="D301" s="9"/>
      <c r="E301" s="9"/>
      <c r="F301" s="9"/>
    </row>
    <row r="302" spans="4:6" x14ac:dyDescent="0.2">
      <c r="D302" s="9"/>
      <c r="E302" s="9"/>
      <c r="F302" s="9"/>
    </row>
    <row r="303" spans="4:6" x14ac:dyDescent="0.2">
      <c r="D303" s="9"/>
      <c r="E303" s="9"/>
      <c r="F303" s="9"/>
    </row>
    <row r="304" spans="4:6" x14ac:dyDescent="0.2">
      <c r="D304" s="9"/>
      <c r="E304" s="9"/>
      <c r="F304" s="9"/>
    </row>
    <row r="305" spans="4:6" x14ac:dyDescent="0.2">
      <c r="D305" s="9"/>
      <c r="E305" s="9"/>
      <c r="F305" s="9"/>
    </row>
    <row r="306" spans="4:6" x14ac:dyDescent="0.2">
      <c r="D306" s="9"/>
      <c r="E306" s="9"/>
      <c r="F306" s="9"/>
    </row>
    <row r="307" spans="4:6" x14ac:dyDescent="0.2">
      <c r="D307" s="9"/>
      <c r="E307" s="9"/>
      <c r="F307" s="9"/>
    </row>
    <row r="308" spans="4:6" x14ac:dyDescent="0.2">
      <c r="D308" s="9"/>
      <c r="E308" s="9"/>
      <c r="F308" s="9"/>
    </row>
    <row r="309" spans="4:6" x14ac:dyDescent="0.2">
      <c r="D309" s="9"/>
      <c r="E309" s="9"/>
      <c r="F309" s="9"/>
    </row>
    <row r="310" spans="4:6" x14ac:dyDescent="0.2">
      <c r="D310" s="9"/>
      <c r="E310" s="9"/>
      <c r="F310" s="9"/>
    </row>
    <row r="311" spans="4:6" x14ac:dyDescent="0.2">
      <c r="D311" s="9"/>
      <c r="E311" s="9"/>
      <c r="F311" s="9"/>
    </row>
    <row r="312" spans="4:6" x14ac:dyDescent="0.2">
      <c r="D312" s="9"/>
      <c r="E312" s="9"/>
      <c r="F312" s="9"/>
    </row>
    <row r="313" spans="4:6" x14ac:dyDescent="0.2">
      <c r="D313" s="9"/>
      <c r="E313" s="9"/>
      <c r="F313" s="9"/>
    </row>
    <row r="314" spans="4:6" x14ac:dyDescent="0.2">
      <c r="D314" s="9"/>
      <c r="E314" s="9"/>
      <c r="F314" s="9"/>
    </row>
    <row r="315" spans="4:6" x14ac:dyDescent="0.2">
      <c r="D315" s="9"/>
      <c r="E315" s="9"/>
      <c r="F315" s="9"/>
    </row>
    <row r="316" spans="4:6" x14ac:dyDescent="0.2">
      <c r="D316" s="9"/>
      <c r="E316" s="9"/>
      <c r="F316" s="9"/>
    </row>
    <row r="317" spans="4:6" x14ac:dyDescent="0.2">
      <c r="D317" s="9"/>
      <c r="E317" s="9"/>
      <c r="F317" s="9"/>
    </row>
    <row r="318" spans="4:6" x14ac:dyDescent="0.2">
      <c r="D318" s="9"/>
      <c r="E318" s="9"/>
      <c r="F318" s="9"/>
    </row>
    <row r="319" spans="4:6" x14ac:dyDescent="0.2">
      <c r="D319" s="9"/>
      <c r="E319" s="9"/>
      <c r="F319" s="9"/>
    </row>
    <row r="320" spans="4:6" x14ac:dyDescent="0.2">
      <c r="D320" s="9"/>
      <c r="E320" s="9"/>
      <c r="F320" s="9"/>
    </row>
    <row r="321" spans="4:6" x14ac:dyDescent="0.2">
      <c r="D321" s="9"/>
      <c r="E321" s="9"/>
      <c r="F321" s="9"/>
    </row>
    <row r="322" spans="4:6" x14ac:dyDescent="0.2">
      <c r="D322" s="9"/>
      <c r="E322" s="9"/>
      <c r="F322" s="9"/>
    </row>
    <row r="323" spans="4:6" x14ac:dyDescent="0.2">
      <c r="D323" s="9"/>
      <c r="E323" s="9"/>
      <c r="F323" s="9"/>
    </row>
    <row r="324" spans="4:6" x14ac:dyDescent="0.2">
      <c r="D324" s="9"/>
      <c r="E324" s="9"/>
      <c r="F324" s="9"/>
    </row>
    <row r="325" spans="4:6" x14ac:dyDescent="0.2">
      <c r="D325" s="9"/>
      <c r="E325" s="9"/>
      <c r="F325" s="9"/>
    </row>
    <row r="326" spans="4:6" x14ac:dyDescent="0.2">
      <c r="D326" s="9"/>
      <c r="E326" s="9"/>
      <c r="F326" s="9"/>
    </row>
    <row r="327" spans="4:6" x14ac:dyDescent="0.2">
      <c r="D327" s="9"/>
      <c r="E327" s="9"/>
      <c r="F327" s="9"/>
    </row>
    <row r="328" spans="4:6" x14ac:dyDescent="0.2">
      <c r="D328" s="9"/>
      <c r="E328" s="9"/>
      <c r="F328" s="9"/>
    </row>
    <row r="329" spans="4:6" x14ac:dyDescent="0.2">
      <c r="D329" s="9"/>
      <c r="E329" s="9"/>
      <c r="F329" s="9"/>
    </row>
    <row r="330" spans="4:6" x14ac:dyDescent="0.2">
      <c r="D330" s="9"/>
      <c r="E330" s="9"/>
      <c r="F330" s="9"/>
    </row>
    <row r="331" spans="4:6" x14ac:dyDescent="0.2">
      <c r="D331" s="9"/>
      <c r="E331" s="9"/>
      <c r="F331" s="9"/>
    </row>
    <row r="332" spans="4:6" x14ac:dyDescent="0.2">
      <c r="D332" s="9"/>
      <c r="E332" s="9"/>
      <c r="F332" s="9"/>
    </row>
    <row r="333" spans="4:6" x14ac:dyDescent="0.2">
      <c r="D333" s="9"/>
      <c r="E333" s="9"/>
      <c r="F333" s="9"/>
    </row>
    <row r="334" spans="4:6" x14ac:dyDescent="0.2">
      <c r="D334" s="9"/>
      <c r="E334" s="9"/>
      <c r="F334" s="9"/>
    </row>
    <row r="335" spans="4:6" x14ac:dyDescent="0.2">
      <c r="D335" s="9"/>
      <c r="E335" s="9"/>
      <c r="F335" s="9"/>
    </row>
    <row r="336" spans="4:6" x14ac:dyDescent="0.2">
      <c r="D336" s="9"/>
      <c r="E336" s="9"/>
      <c r="F336" s="9"/>
    </row>
    <row r="337" spans="4:6" x14ac:dyDescent="0.2">
      <c r="D337" s="9"/>
      <c r="E337" s="9"/>
      <c r="F337" s="9"/>
    </row>
    <row r="338" spans="4:6" x14ac:dyDescent="0.2">
      <c r="D338" s="9"/>
      <c r="E338" s="9"/>
      <c r="F338" s="9"/>
    </row>
    <row r="339" spans="4:6" x14ac:dyDescent="0.2">
      <c r="D339" s="9"/>
      <c r="E339" s="9"/>
      <c r="F339" s="9"/>
    </row>
    <row r="340" spans="4:6" x14ac:dyDescent="0.2">
      <c r="D340" s="9"/>
      <c r="E340" s="9"/>
      <c r="F340" s="9"/>
    </row>
    <row r="341" spans="4:6" x14ac:dyDescent="0.2">
      <c r="D341" s="9"/>
      <c r="E341" s="9"/>
      <c r="F341" s="9"/>
    </row>
    <row r="342" spans="4:6" x14ac:dyDescent="0.2">
      <c r="D342" s="9"/>
      <c r="E342" s="9"/>
      <c r="F342" s="9"/>
    </row>
    <row r="343" spans="4:6" x14ac:dyDescent="0.2">
      <c r="D343" s="9"/>
      <c r="E343" s="9"/>
      <c r="F343" s="9"/>
    </row>
    <row r="344" spans="4:6" x14ac:dyDescent="0.2">
      <c r="D344" s="9"/>
      <c r="E344" s="9"/>
      <c r="F344" s="9"/>
    </row>
    <row r="345" spans="4:6" x14ac:dyDescent="0.2">
      <c r="D345" s="9"/>
      <c r="E345" s="9"/>
      <c r="F345" s="9"/>
    </row>
    <row r="346" spans="4:6" x14ac:dyDescent="0.2">
      <c r="D346" s="9"/>
      <c r="E346" s="9"/>
      <c r="F346" s="9"/>
    </row>
    <row r="347" spans="4:6" x14ac:dyDescent="0.2">
      <c r="D347" s="9"/>
      <c r="E347" s="9"/>
      <c r="F347" s="9"/>
    </row>
    <row r="348" spans="4:6" x14ac:dyDescent="0.2">
      <c r="D348" s="9"/>
      <c r="E348" s="9"/>
      <c r="F348" s="9"/>
    </row>
    <row r="349" spans="4:6" x14ac:dyDescent="0.2">
      <c r="D349" s="9"/>
      <c r="E349" s="9"/>
      <c r="F349" s="9"/>
    </row>
    <row r="350" spans="4:6" x14ac:dyDescent="0.2">
      <c r="D350" s="9"/>
      <c r="E350" s="9"/>
      <c r="F350" s="9"/>
    </row>
    <row r="351" spans="4:6" x14ac:dyDescent="0.2">
      <c r="D351" s="9"/>
      <c r="E351" s="9"/>
      <c r="F351" s="9"/>
    </row>
    <row r="352" spans="4:6" x14ac:dyDescent="0.2">
      <c r="D352" s="9"/>
      <c r="E352" s="9"/>
      <c r="F352" s="9"/>
    </row>
    <row r="353" spans="4:6" x14ac:dyDescent="0.2">
      <c r="D353" s="9"/>
      <c r="E353" s="9"/>
      <c r="F353" s="9"/>
    </row>
    <row r="354" spans="4:6" x14ac:dyDescent="0.2">
      <c r="D354" s="9"/>
      <c r="E354" s="9"/>
      <c r="F354" s="9"/>
    </row>
    <row r="355" spans="4:6" x14ac:dyDescent="0.2">
      <c r="D355" s="9"/>
      <c r="E355" s="9"/>
      <c r="F355" s="9"/>
    </row>
    <row r="356" spans="4:6" x14ac:dyDescent="0.2">
      <c r="D356" s="9"/>
      <c r="E356" s="9"/>
      <c r="F356" s="9"/>
    </row>
    <row r="357" spans="4:6" x14ac:dyDescent="0.2">
      <c r="D357" s="9"/>
      <c r="E357" s="9"/>
      <c r="F357" s="9"/>
    </row>
    <row r="358" spans="4:6" x14ac:dyDescent="0.2">
      <c r="D358" s="9"/>
      <c r="E358" s="9"/>
      <c r="F358" s="9"/>
    </row>
    <row r="359" spans="4:6" x14ac:dyDescent="0.2">
      <c r="D359" s="9"/>
      <c r="E359" s="9"/>
      <c r="F359" s="9"/>
    </row>
    <row r="360" spans="4:6" x14ac:dyDescent="0.2">
      <c r="D360" s="9"/>
      <c r="E360" s="9"/>
      <c r="F360" s="9"/>
    </row>
    <row r="361" spans="4:6" x14ac:dyDescent="0.2">
      <c r="D361" s="9"/>
      <c r="E361" s="9"/>
      <c r="F361" s="9"/>
    </row>
    <row r="362" spans="4:6" x14ac:dyDescent="0.2">
      <c r="D362" s="9"/>
      <c r="E362" s="9"/>
      <c r="F362" s="9"/>
    </row>
    <row r="363" spans="4:6" x14ac:dyDescent="0.2">
      <c r="D363" s="9"/>
      <c r="E363" s="9"/>
      <c r="F363" s="9"/>
    </row>
    <row r="364" spans="4:6" x14ac:dyDescent="0.2">
      <c r="D364" s="9"/>
      <c r="E364" s="9"/>
      <c r="F364" s="9"/>
    </row>
    <row r="365" spans="4:6" x14ac:dyDescent="0.2">
      <c r="D365" s="9"/>
      <c r="E365" s="9"/>
      <c r="F365" s="9"/>
    </row>
    <row r="366" spans="4:6" x14ac:dyDescent="0.2">
      <c r="D366" s="9"/>
      <c r="E366" s="9"/>
      <c r="F366" s="9"/>
    </row>
    <row r="367" spans="4:6" x14ac:dyDescent="0.2">
      <c r="D367" s="9"/>
      <c r="E367" s="9"/>
      <c r="F367" s="9"/>
    </row>
    <row r="368" spans="4:6" x14ac:dyDescent="0.2">
      <c r="D368" s="9"/>
      <c r="E368" s="9"/>
      <c r="F368" s="9"/>
    </row>
  </sheetData>
  <mergeCells count="2">
    <mergeCell ref="B8:F8"/>
    <mergeCell ref="B9:F12"/>
  </mergeCells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FB693-922F-4376-B0D0-532989E3568D}">
  <sheetPr codeName="Hoja3"/>
  <dimension ref="B2:E266"/>
  <sheetViews>
    <sheetView zoomScale="68" zoomScaleNormal="68" workbookViewId="0">
      <selection activeCell="I33" sqref="I33"/>
    </sheetView>
  </sheetViews>
  <sheetFormatPr baseColWidth="10" defaultColWidth="11.5" defaultRowHeight="15" x14ac:dyDescent="0.2"/>
  <cols>
    <col min="1" max="1" width="11.5" style="2"/>
    <col min="2" max="2" width="21.5" style="2" bestFit="1" customWidth="1"/>
    <col min="3" max="3" width="30.6640625" style="2" customWidth="1"/>
    <col min="4" max="16384" width="11.5" style="2"/>
  </cols>
  <sheetData>
    <row r="2" spans="2:5" ht="16" x14ac:dyDescent="0.2">
      <c r="B2" s="4" t="s">
        <v>1499</v>
      </c>
      <c r="C2" s="19">
        <f>Boleta!C2</f>
        <v>2000</v>
      </c>
    </row>
    <row r="3" spans="2:5" ht="16" x14ac:dyDescent="0.2">
      <c r="B3" s="4" t="s">
        <v>1500</v>
      </c>
      <c r="C3" s="19" t="str">
        <f>Boleta!C3</f>
        <v>ASPIRADORA</v>
      </c>
    </row>
    <row r="4" spans="2:5" ht="16" x14ac:dyDescent="0.2">
      <c r="B4" s="4" t="s">
        <v>1501</v>
      </c>
      <c r="C4" s="19" t="str">
        <f>Boleta!C4</f>
        <v>A_2004</v>
      </c>
    </row>
    <row r="5" spans="2:5" ht="16" x14ac:dyDescent="0.2">
      <c r="B5" s="4" t="s">
        <v>16</v>
      </c>
      <c r="C5" s="19">
        <f>Boleta!C5</f>
        <v>0</v>
      </c>
    </row>
    <row r="6" spans="2:5" ht="16" x14ac:dyDescent="0.2">
      <c r="B6" s="4" t="s">
        <v>1502</v>
      </c>
      <c r="C6" s="19" t="str">
        <f>Boleta!C6</f>
        <v>CÓDIGO_1.629_104</v>
      </c>
    </row>
    <row r="8" spans="2:5" ht="16" x14ac:dyDescent="0.2">
      <c r="B8" s="6" t="s">
        <v>1585</v>
      </c>
      <c r="C8" s="7" t="s">
        <v>1586</v>
      </c>
      <c r="D8" s="8" t="s">
        <v>1587</v>
      </c>
      <c r="E8" s="8" t="s">
        <v>1588</v>
      </c>
    </row>
    <row r="9" spans="2:5" x14ac:dyDescent="0.2">
      <c r="B9" s="18" t="str" cm="1">
        <f t="array" aca="1" ref="B9:E9" ca="1">_xlfn._xlws.FILTER(Boleta!B15:E204,Boleta!D15:D204&gt;0)</f>
        <v>A6-490-185</v>
      </c>
      <c r="C9" s="2" t="str">
        <f ca="1"/>
        <v>Turbina</v>
      </c>
      <c r="D9" s="3">
        <f ca="1"/>
        <v>1</v>
      </c>
      <c r="E9" s="3" t="str">
        <f ca="1"/>
        <v>V1</v>
      </c>
    </row>
    <row r="10" spans="2:5" x14ac:dyDescent="0.2">
      <c r="D10" s="3"/>
      <c r="E10" s="3"/>
    </row>
    <row r="11" spans="2:5" x14ac:dyDescent="0.2">
      <c r="D11" s="3"/>
      <c r="E11" s="3"/>
    </row>
    <row r="12" spans="2:5" x14ac:dyDescent="0.2">
      <c r="D12" s="3"/>
      <c r="E12" s="3"/>
    </row>
    <row r="13" spans="2:5" x14ac:dyDescent="0.2">
      <c r="D13" s="3"/>
      <c r="E13" s="3"/>
    </row>
    <row r="14" spans="2:5" x14ac:dyDescent="0.2">
      <c r="D14" s="3"/>
      <c r="E14" s="3"/>
    </row>
    <row r="15" spans="2:5" x14ac:dyDescent="0.2">
      <c r="D15" s="3"/>
      <c r="E15" s="3"/>
    </row>
    <row r="16" spans="2:5" x14ac:dyDescent="0.2">
      <c r="D16" s="3"/>
      <c r="E16" s="3"/>
    </row>
    <row r="17" spans="4:5" x14ac:dyDescent="0.2">
      <c r="D17" s="3"/>
      <c r="E17" s="3"/>
    </row>
    <row r="18" spans="4:5" x14ac:dyDescent="0.2">
      <c r="D18" s="3"/>
      <c r="E18" s="3"/>
    </row>
    <row r="19" spans="4:5" x14ac:dyDescent="0.2">
      <c r="D19" s="3"/>
      <c r="E19" s="3"/>
    </row>
    <row r="20" spans="4:5" x14ac:dyDescent="0.2">
      <c r="D20" s="3"/>
      <c r="E20" s="3"/>
    </row>
    <row r="21" spans="4:5" x14ac:dyDescent="0.2">
      <c r="D21" s="3"/>
      <c r="E21" s="3"/>
    </row>
    <row r="22" spans="4:5" x14ac:dyDescent="0.2">
      <c r="D22" s="3"/>
      <c r="E22" s="3"/>
    </row>
    <row r="23" spans="4:5" x14ac:dyDescent="0.2">
      <c r="D23" s="3"/>
      <c r="E23" s="3"/>
    </row>
    <row r="24" spans="4:5" x14ac:dyDescent="0.2">
      <c r="D24" s="3"/>
      <c r="E24" s="3"/>
    </row>
    <row r="25" spans="4:5" x14ac:dyDescent="0.2">
      <c r="D25" s="3"/>
      <c r="E25" s="3"/>
    </row>
    <row r="26" spans="4:5" x14ac:dyDescent="0.2">
      <c r="D26" s="3"/>
      <c r="E26" s="3"/>
    </row>
    <row r="27" spans="4:5" x14ac:dyDescent="0.2">
      <c r="D27" s="3"/>
      <c r="E27" s="3"/>
    </row>
    <row r="28" spans="4:5" x14ac:dyDescent="0.2">
      <c r="D28" s="3"/>
      <c r="E28" s="3"/>
    </row>
    <row r="29" spans="4:5" x14ac:dyDescent="0.2">
      <c r="D29" s="3"/>
      <c r="E29" s="3"/>
    </row>
    <row r="30" spans="4:5" x14ac:dyDescent="0.2">
      <c r="D30" s="3"/>
      <c r="E30" s="3"/>
    </row>
    <row r="31" spans="4:5" x14ac:dyDescent="0.2">
      <c r="D31" s="3"/>
      <c r="E31" s="3"/>
    </row>
    <row r="32" spans="4:5" x14ac:dyDescent="0.2">
      <c r="D32" s="3"/>
      <c r="E32" s="3"/>
    </row>
    <row r="33" spans="4:5" x14ac:dyDescent="0.2">
      <c r="D33" s="3"/>
      <c r="E33" s="3"/>
    </row>
    <row r="34" spans="4:5" x14ac:dyDescent="0.2">
      <c r="D34" s="3"/>
      <c r="E34" s="3"/>
    </row>
    <row r="35" spans="4:5" x14ac:dyDescent="0.2">
      <c r="D35" s="3"/>
      <c r="E35" s="3"/>
    </row>
    <row r="36" spans="4:5" x14ac:dyDescent="0.2">
      <c r="D36" s="3"/>
      <c r="E36" s="3"/>
    </row>
    <row r="37" spans="4:5" x14ac:dyDescent="0.2">
      <c r="D37" s="3"/>
      <c r="E37" s="3"/>
    </row>
    <row r="38" spans="4:5" x14ac:dyDescent="0.2">
      <c r="D38" s="3"/>
      <c r="E38" s="3"/>
    </row>
    <row r="39" spans="4:5" x14ac:dyDescent="0.2">
      <c r="D39" s="3"/>
      <c r="E39" s="3"/>
    </row>
    <row r="40" spans="4:5" x14ac:dyDescent="0.2">
      <c r="D40" s="3"/>
      <c r="E40" s="3"/>
    </row>
    <row r="41" spans="4:5" x14ac:dyDescent="0.2">
      <c r="D41" s="3"/>
      <c r="E41" s="3"/>
    </row>
    <row r="42" spans="4:5" x14ac:dyDescent="0.2">
      <c r="D42" s="3"/>
      <c r="E42" s="3"/>
    </row>
    <row r="43" spans="4:5" x14ac:dyDescent="0.2">
      <c r="D43" s="3"/>
      <c r="E43" s="3"/>
    </row>
    <row r="44" spans="4:5" x14ac:dyDescent="0.2">
      <c r="D44" s="3"/>
      <c r="E44" s="3"/>
    </row>
    <row r="45" spans="4:5" x14ac:dyDescent="0.2">
      <c r="D45" s="3"/>
      <c r="E45" s="3"/>
    </row>
    <row r="46" spans="4:5" x14ac:dyDescent="0.2">
      <c r="D46" s="3"/>
      <c r="E46" s="3"/>
    </row>
    <row r="47" spans="4:5" x14ac:dyDescent="0.2">
      <c r="D47" s="3"/>
      <c r="E47" s="3"/>
    </row>
    <row r="48" spans="4:5" x14ac:dyDescent="0.2">
      <c r="D48" s="3"/>
      <c r="E48" s="3"/>
    </row>
    <row r="49" spans="4:5" x14ac:dyDescent="0.2">
      <c r="D49" s="3"/>
      <c r="E49" s="3"/>
    </row>
    <row r="50" spans="4:5" x14ac:dyDescent="0.2">
      <c r="D50" s="3"/>
      <c r="E50" s="3"/>
    </row>
    <row r="51" spans="4:5" x14ac:dyDescent="0.2">
      <c r="D51" s="3"/>
      <c r="E51" s="3"/>
    </row>
    <row r="52" spans="4:5" x14ac:dyDescent="0.2">
      <c r="D52" s="3"/>
      <c r="E52" s="3"/>
    </row>
    <row r="53" spans="4:5" x14ac:dyDescent="0.2">
      <c r="D53" s="3"/>
      <c r="E53" s="3"/>
    </row>
    <row r="54" spans="4:5" x14ac:dyDescent="0.2">
      <c r="D54" s="3"/>
      <c r="E54" s="3"/>
    </row>
    <row r="55" spans="4:5" x14ac:dyDescent="0.2">
      <c r="D55" s="3"/>
      <c r="E55" s="3"/>
    </row>
    <row r="56" spans="4:5" x14ac:dyDescent="0.2">
      <c r="D56" s="3"/>
      <c r="E56" s="3"/>
    </row>
    <row r="57" spans="4:5" x14ac:dyDescent="0.2">
      <c r="D57" s="3"/>
      <c r="E57" s="3"/>
    </row>
    <row r="58" spans="4:5" x14ac:dyDescent="0.2">
      <c r="D58" s="3"/>
      <c r="E58" s="3"/>
    </row>
    <row r="59" spans="4:5" x14ac:dyDescent="0.2">
      <c r="D59" s="3"/>
      <c r="E59" s="3"/>
    </row>
    <row r="60" spans="4:5" x14ac:dyDescent="0.2">
      <c r="D60" s="3"/>
      <c r="E60" s="3"/>
    </row>
    <row r="61" spans="4:5" x14ac:dyDescent="0.2">
      <c r="D61" s="3"/>
      <c r="E61" s="3"/>
    </row>
    <row r="62" spans="4:5" x14ac:dyDescent="0.2">
      <c r="D62" s="3"/>
      <c r="E62" s="3"/>
    </row>
    <row r="63" spans="4:5" x14ac:dyDescent="0.2">
      <c r="D63" s="3"/>
      <c r="E63" s="3"/>
    </row>
    <row r="64" spans="4:5" x14ac:dyDescent="0.2">
      <c r="D64" s="3"/>
      <c r="E64" s="3"/>
    </row>
    <row r="65" spans="4:5" x14ac:dyDescent="0.2">
      <c r="D65" s="3"/>
      <c r="E65" s="3"/>
    </row>
    <row r="66" spans="4:5" x14ac:dyDescent="0.2">
      <c r="D66" s="3"/>
      <c r="E66" s="3"/>
    </row>
    <row r="67" spans="4:5" x14ac:dyDescent="0.2">
      <c r="D67" s="3"/>
      <c r="E67" s="3"/>
    </row>
    <row r="68" spans="4:5" x14ac:dyDescent="0.2">
      <c r="D68" s="3"/>
      <c r="E68" s="3"/>
    </row>
    <row r="69" spans="4:5" x14ac:dyDescent="0.2">
      <c r="D69" s="3"/>
      <c r="E69" s="3"/>
    </row>
    <row r="70" spans="4:5" x14ac:dyDescent="0.2">
      <c r="D70" s="3"/>
      <c r="E70" s="3"/>
    </row>
    <row r="71" spans="4:5" x14ac:dyDescent="0.2">
      <c r="D71" s="3"/>
      <c r="E71" s="3"/>
    </row>
    <row r="72" spans="4:5" x14ac:dyDescent="0.2">
      <c r="D72" s="3"/>
      <c r="E72" s="3"/>
    </row>
    <row r="73" spans="4:5" x14ac:dyDescent="0.2">
      <c r="D73" s="3"/>
      <c r="E73" s="3"/>
    </row>
    <row r="74" spans="4:5" x14ac:dyDescent="0.2">
      <c r="D74" s="3"/>
      <c r="E74" s="3"/>
    </row>
    <row r="75" spans="4:5" x14ac:dyDescent="0.2">
      <c r="D75" s="3"/>
      <c r="E75" s="3"/>
    </row>
    <row r="76" spans="4:5" x14ac:dyDescent="0.2">
      <c r="D76" s="3"/>
      <c r="E76" s="3"/>
    </row>
    <row r="77" spans="4:5" x14ac:dyDescent="0.2">
      <c r="D77" s="3"/>
      <c r="E77" s="3"/>
    </row>
    <row r="78" spans="4:5" x14ac:dyDescent="0.2">
      <c r="D78" s="3"/>
      <c r="E78" s="3"/>
    </row>
    <row r="79" spans="4:5" x14ac:dyDescent="0.2">
      <c r="D79" s="3"/>
      <c r="E79" s="3"/>
    </row>
    <row r="80" spans="4:5" x14ac:dyDescent="0.2">
      <c r="D80" s="3"/>
      <c r="E80" s="3"/>
    </row>
    <row r="81" spans="4:5" x14ac:dyDescent="0.2">
      <c r="D81" s="3"/>
      <c r="E81" s="3"/>
    </row>
    <row r="82" spans="4:5" x14ac:dyDescent="0.2">
      <c r="D82" s="3"/>
      <c r="E82" s="3"/>
    </row>
    <row r="83" spans="4:5" x14ac:dyDescent="0.2">
      <c r="D83" s="3"/>
      <c r="E83" s="3"/>
    </row>
    <row r="84" spans="4:5" x14ac:dyDescent="0.2">
      <c r="D84" s="3"/>
      <c r="E84" s="3"/>
    </row>
    <row r="85" spans="4:5" x14ac:dyDescent="0.2">
      <c r="D85" s="3"/>
      <c r="E85" s="3"/>
    </row>
    <row r="86" spans="4:5" x14ac:dyDescent="0.2">
      <c r="D86" s="3"/>
      <c r="E86" s="3"/>
    </row>
    <row r="87" spans="4:5" x14ac:dyDescent="0.2">
      <c r="D87" s="3"/>
      <c r="E87" s="3"/>
    </row>
    <row r="88" spans="4:5" x14ac:dyDescent="0.2">
      <c r="D88" s="3"/>
      <c r="E88" s="3"/>
    </row>
    <row r="89" spans="4:5" x14ac:dyDescent="0.2">
      <c r="D89" s="3"/>
      <c r="E89" s="3"/>
    </row>
    <row r="90" spans="4:5" x14ac:dyDescent="0.2">
      <c r="D90" s="3"/>
      <c r="E90" s="3"/>
    </row>
    <row r="91" spans="4:5" x14ac:dyDescent="0.2">
      <c r="D91" s="3"/>
      <c r="E91" s="3"/>
    </row>
    <row r="92" spans="4:5" x14ac:dyDescent="0.2">
      <c r="D92" s="3"/>
      <c r="E92" s="3"/>
    </row>
    <row r="93" spans="4:5" x14ac:dyDescent="0.2">
      <c r="D93" s="3"/>
      <c r="E93" s="3"/>
    </row>
    <row r="94" spans="4:5" x14ac:dyDescent="0.2">
      <c r="D94" s="3"/>
      <c r="E94" s="3"/>
    </row>
    <row r="95" spans="4:5" x14ac:dyDescent="0.2">
      <c r="D95" s="3"/>
      <c r="E95" s="3"/>
    </row>
    <row r="96" spans="4:5" x14ac:dyDescent="0.2">
      <c r="D96" s="3"/>
      <c r="E96" s="3"/>
    </row>
    <row r="97" spans="4:5" x14ac:dyDescent="0.2">
      <c r="D97" s="3"/>
      <c r="E97" s="3"/>
    </row>
    <row r="98" spans="4:5" x14ac:dyDescent="0.2">
      <c r="D98" s="3"/>
      <c r="E98" s="3"/>
    </row>
    <row r="99" spans="4:5" x14ac:dyDescent="0.2">
      <c r="D99" s="3"/>
      <c r="E99" s="3"/>
    </row>
    <row r="100" spans="4:5" x14ac:dyDescent="0.2">
      <c r="D100" s="3"/>
      <c r="E100" s="3"/>
    </row>
    <row r="101" spans="4:5" x14ac:dyDescent="0.2">
      <c r="D101" s="3"/>
      <c r="E101" s="3"/>
    </row>
    <row r="102" spans="4:5" x14ac:dyDescent="0.2">
      <c r="D102" s="3"/>
      <c r="E102" s="3"/>
    </row>
    <row r="103" spans="4:5" x14ac:dyDescent="0.2">
      <c r="D103" s="3"/>
      <c r="E103" s="3"/>
    </row>
    <row r="104" spans="4:5" x14ac:dyDescent="0.2">
      <c r="D104" s="3"/>
      <c r="E104" s="3"/>
    </row>
    <row r="105" spans="4:5" x14ac:dyDescent="0.2">
      <c r="D105" s="3"/>
      <c r="E105" s="3"/>
    </row>
    <row r="106" spans="4:5" x14ac:dyDescent="0.2">
      <c r="D106" s="3"/>
      <c r="E106" s="3"/>
    </row>
    <row r="107" spans="4:5" x14ac:dyDescent="0.2">
      <c r="D107" s="3"/>
      <c r="E107" s="3"/>
    </row>
    <row r="108" spans="4:5" x14ac:dyDescent="0.2">
      <c r="D108" s="3"/>
      <c r="E108" s="3"/>
    </row>
    <row r="109" spans="4:5" x14ac:dyDescent="0.2">
      <c r="D109" s="3"/>
      <c r="E109" s="3"/>
    </row>
    <row r="110" spans="4:5" x14ac:dyDescent="0.2">
      <c r="D110" s="3"/>
      <c r="E110" s="3"/>
    </row>
    <row r="111" spans="4:5" x14ac:dyDescent="0.2">
      <c r="D111" s="3"/>
      <c r="E111" s="3"/>
    </row>
    <row r="112" spans="4:5" x14ac:dyDescent="0.2">
      <c r="D112" s="3"/>
      <c r="E112" s="3"/>
    </row>
    <row r="113" spans="4:5" x14ac:dyDescent="0.2">
      <c r="D113" s="3"/>
      <c r="E113" s="3"/>
    </row>
    <row r="114" spans="4:5" x14ac:dyDescent="0.2">
      <c r="D114" s="3"/>
      <c r="E114" s="3"/>
    </row>
    <row r="115" spans="4:5" x14ac:dyDescent="0.2">
      <c r="D115" s="3"/>
      <c r="E115" s="3"/>
    </row>
    <row r="116" spans="4:5" x14ac:dyDescent="0.2">
      <c r="D116" s="3"/>
      <c r="E116" s="3"/>
    </row>
    <row r="117" spans="4:5" x14ac:dyDescent="0.2">
      <c r="D117" s="3"/>
      <c r="E117" s="3"/>
    </row>
    <row r="118" spans="4:5" x14ac:dyDescent="0.2">
      <c r="D118" s="3"/>
      <c r="E118" s="3"/>
    </row>
    <row r="119" spans="4:5" x14ac:dyDescent="0.2">
      <c r="D119" s="3"/>
      <c r="E119" s="3"/>
    </row>
    <row r="120" spans="4:5" x14ac:dyDescent="0.2">
      <c r="D120" s="3"/>
      <c r="E120" s="3"/>
    </row>
    <row r="121" spans="4:5" x14ac:dyDescent="0.2">
      <c r="D121" s="3"/>
      <c r="E121" s="3"/>
    </row>
    <row r="122" spans="4:5" x14ac:dyDescent="0.2">
      <c r="D122" s="3"/>
      <c r="E122" s="3"/>
    </row>
    <row r="123" spans="4:5" x14ac:dyDescent="0.2">
      <c r="D123" s="3"/>
      <c r="E123" s="3"/>
    </row>
    <row r="124" spans="4:5" x14ac:dyDescent="0.2">
      <c r="D124" s="3"/>
      <c r="E124" s="3"/>
    </row>
    <row r="125" spans="4:5" x14ac:dyDescent="0.2">
      <c r="D125" s="3"/>
      <c r="E125" s="3"/>
    </row>
    <row r="126" spans="4:5" x14ac:dyDescent="0.2">
      <c r="D126" s="3"/>
      <c r="E126" s="3"/>
    </row>
    <row r="127" spans="4:5" x14ac:dyDescent="0.2">
      <c r="D127" s="3"/>
      <c r="E127" s="3"/>
    </row>
    <row r="128" spans="4:5" x14ac:dyDescent="0.2">
      <c r="D128" s="3"/>
      <c r="E128" s="3"/>
    </row>
    <row r="129" spans="4:5" x14ac:dyDescent="0.2">
      <c r="D129" s="3"/>
      <c r="E129" s="3"/>
    </row>
    <row r="130" spans="4:5" x14ac:dyDescent="0.2">
      <c r="D130" s="3"/>
      <c r="E130" s="3"/>
    </row>
    <row r="131" spans="4:5" x14ac:dyDescent="0.2">
      <c r="D131" s="3"/>
      <c r="E131" s="3"/>
    </row>
    <row r="132" spans="4:5" x14ac:dyDescent="0.2">
      <c r="D132" s="3"/>
      <c r="E132" s="3"/>
    </row>
    <row r="133" spans="4:5" x14ac:dyDescent="0.2">
      <c r="D133" s="3"/>
      <c r="E133" s="3"/>
    </row>
    <row r="134" spans="4:5" x14ac:dyDescent="0.2">
      <c r="D134" s="3"/>
      <c r="E134" s="3"/>
    </row>
    <row r="135" spans="4:5" x14ac:dyDescent="0.2">
      <c r="D135" s="3"/>
      <c r="E135" s="3"/>
    </row>
    <row r="136" spans="4:5" x14ac:dyDescent="0.2">
      <c r="D136" s="3"/>
      <c r="E136" s="3"/>
    </row>
    <row r="137" spans="4:5" x14ac:dyDescent="0.2">
      <c r="D137" s="3"/>
      <c r="E137" s="3"/>
    </row>
    <row r="138" spans="4:5" x14ac:dyDescent="0.2">
      <c r="D138" s="3"/>
      <c r="E138" s="3"/>
    </row>
    <row r="139" spans="4:5" x14ac:dyDescent="0.2">
      <c r="D139" s="3"/>
      <c r="E139" s="3"/>
    </row>
    <row r="140" spans="4:5" x14ac:dyDescent="0.2">
      <c r="D140" s="3"/>
      <c r="E140" s="3"/>
    </row>
    <row r="141" spans="4:5" x14ac:dyDescent="0.2">
      <c r="D141" s="3"/>
      <c r="E141" s="3"/>
    </row>
    <row r="142" spans="4:5" x14ac:dyDescent="0.2">
      <c r="D142" s="3"/>
      <c r="E142" s="3"/>
    </row>
    <row r="143" spans="4:5" x14ac:dyDescent="0.2">
      <c r="D143" s="3"/>
      <c r="E143" s="3"/>
    </row>
    <row r="144" spans="4:5" x14ac:dyDescent="0.2">
      <c r="D144" s="3"/>
      <c r="E144" s="3"/>
    </row>
    <row r="145" spans="4:5" x14ac:dyDescent="0.2">
      <c r="D145" s="3"/>
      <c r="E145" s="3"/>
    </row>
    <row r="146" spans="4:5" x14ac:dyDescent="0.2">
      <c r="D146" s="3"/>
      <c r="E146" s="3"/>
    </row>
    <row r="147" spans="4:5" x14ac:dyDescent="0.2">
      <c r="D147" s="3"/>
      <c r="E147" s="3"/>
    </row>
    <row r="148" spans="4:5" x14ac:dyDescent="0.2">
      <c r="D148" s="3"/>
      <c r="E148" s="3"/>
    </row>
    <row r="149" spans="4:5" x14ac:dyDescent="0.2">
      <c r="D149" s="3"/>
      <c r="E149" s="3"/>
    </row>
    <row r="150" spans="4:5" x14ac:dyDescent="0.2">
      <c r="D150" s="3"/>
      <c r="E150" s="3"/>
    </row>
    <row r="151" spans="4:5" x14ac:dyDescent="0.2">
      <c r="D151" s="3"/>
      <c r="E151" s="3"/>
    </row>
    <row r="152" spans="4:5" x14ac:dyDescent="0.2">
      <c r="D152" s="3"/>
      <c r="E152" s="3"/>
    </row>
    <row r="153" spans="4:5" x14ac:dyDescent="0.2">
      <c r="D153" s="3"/>
      <c r="E153" s="3"/>
    </row>
    <row r="154" spans="4:5" x14ac:dyDescent="0.2">
      <c r="D154" s="3"/>
      <c r="E154" s="3"/>
    </row>
    <row r="155" spans="4:5" x14ac:dyDescent="0.2">
      <c r="D155" s="3"/>
      <c r="E155" s="3"/>
    </row>
    <row r="156" spans="4:5" x14ac:dyDescent="0.2">
      <c r="D156" s="3"/>
      <c r="E156" s="3"/>
    </row>
    <row r="157" spans="4:5" x14ac:dyDescent="0.2">
      <c r="D157" s="3"/>
      <c r="E157" s="3"/>
    </row>
    <row r="158" spans="4:5" x14ac:dyDescent="0.2">
      <c r="D158" s="3"/>
      <c r="E158" s="3"/>
    </row>
    <row r="159" spans="4:5" x14ac:dyDescent="0.2">
      <c r="D159" s="3"/>
      <c r="E159" s="3"/>
    </row>
    <row r="160" spans="4:5" x14ac:dyDescent="0.2">
      <c r="D160" s="3"/>
      <c r="E160" s="3"/>
    </row>
    <row r="161" spans="4:5" x14ac:dyDescent="0.2">
      <c r="D161" s="3"/>
      <c r="E161" s="3"/>
    </row>
    <row r="162" spans="4:5" x14ac:dyDescent="0.2">
      <c r="D162" s="3"/>
      <c r="E162" s="3"/>
    </row>
    <row r="163" spans="4:5" x14ac:dyDescent="0.2">
      <c r="D163" s="3"/>
      <c r="E163" s="3"/>
    </row>
    <row r="164" spans="4:5" x14ac:dyDescent="0.2">
      <c r="D164" s="3"/>
      <c r="E164" s="3"/>
    </row>
    <row r="165" spans="4:5" x14ac:dyDescent="0.2">
      <c r="D165" s="3"/>
      <c r="E165" s="3"/>
    </row>
    <row r="166" spans="4:5" x14ac:dyDescent="0.2">
      <c r="D166" s="3"/>
      <c r="E166" s="3"/>
    </row>
    <row r="167" spans="4:5" x14ac:dyDescent="0.2">
      <c r="D167" s="3"/>
      <c r="E167" s="3"/>
    </row>
    <row r="168" spans="4:5" x14ac:dyDescent="0.2">
      <c r="D168" s="3"/>
      <c r="E168" s="3"/>
    </row>
    <row r="169" spans="4:5" x14ac:dyDescent="0.2">
      <c r="D169" s="3"/>
      <c r="E169" s="3"/>
    </row>
    <row r="170" spans="4:5" x14ac:dyDescent="0.2">
      <c r="D170" s="3"/>
      <c r="E170" s="3"/>
    </row>
    <row r="171" spans="4:5" x14ac:dyDescent="0.2">
      <c r="D171" s="3"/>
      <c r="E171" s="3"/>
    </row>
    <row r="172" spans="4:5" x14ac:dyDescent="0.2">
      <c r="D172" s="3"/>
      <c r="E172" s="3"/>
    </row>
    <row r="173" spans="4:5" x14ac:dyDescent="0.2">
      <c r="D173" s="3"/>
      <c r="E173" s="3"/>
    </row>
    <row r="174" spans="4:5" x14ac:dyDescent="0.2">
      <c r="D174" s="3"/>
      <c r="E174" s="3"/>
    </row>
    <row r="175" spans="4:5" x14ac:dyDescent="0.2">
      <c r="D175" s="3"/>
      <c r="E175" s="3"/>
    </row>
    <row r="176" spans="4:5" x14ac:dyDescent="0.2">
      <c r="D176" s="3"/>
      <c r="E176" s="3"/>
    </row>
    <row r="177" spans="4:5" x14ac:dyDescent="0.2">
      <c r="D177" s="3"/>
      <c r="E177" s="3"/>
    </row>
    <row r="178" spans="4:5" x14ac:dyDescent="0.2">
      <c r="D178" s="3"/>
      <c r="E178" s="3"/>
    </row>
    <row r="179" spans="4:5" x14ac:dyDescent="0.2">
      <c r="D179" s="3"/>
      <c r="E179" s="3"/>
    </row>
    <row r="180" spans="4:5" x14ac:dyDescent="0.2">
      <c r="D180" s="3"/>
      <c r="E180" s="3"/>
    </row>
    <row r="181" spans="4:5" x14ac:dyDescent="0.2">
      <c r="D181" s="3"/>
      <c r="E181" s="3"/>
    </row>
    <row r="182" spans="4:5" x14ac:dyDescent="0.2">
      <c r="D182" s="3"/>
      <c r="E182" s="3"/>
    </row>
    <row r="183" spans="4:5" x14ac:dyDescent="0.2">
      <c r="D183" s="3"/>
      <c r="E183" s="3"/>
    </row>
    <row r="184" spans="4:5" x14ac:dyDescent="0.2">
      <c r="D184" s="3"/>
      <c r="E184" s="3"/>
    </row>
    <row r="185" spans="4:5" x14ac:dyDescent="0.2">
      <c r="D185" s="3"/>
      <c r="E185" s="3"/>
    </row>
    <row r="186" spans="4:5" x14ac:dyDescent="0.2">
      <c r="D186" s="3"/>
      <c r="E186" s="3"/>
    </row>
    <row r="187" spans="4:5" x14ac:dyDescent="0.2">
      <c r="D187" s="3"/>
      <c r="E187" s="3"/>
    </row>
    <row r="188" spans="4:5" x14ac:dyDescent="0.2">
      <c r="D188" s="3"/>
      <c r="E188" s="3"/>
    </row>
    <row r="189" spans="4:5" x14ac:dyDescent="0.2">
      <c r="D189" s="3"/>
      <c r="E189" s="3"/>
    </row>
    <row r="190" spans="4:5" x14ac:dyDescent="0.2">
      <c r="D190" s="3"/>
      <c r="E190" s="3"/>
    </row>
    <row r="191" spans="4:5" x14ac:dyDescent="0.2">
      <c r="D191" s="3"/>
      <c r="E191" s="3"/>
    </row>
    <row r="192" spans="4:5" x14ac:dyDescent="0.2">
      <c r="D192" s="3"/>
      <c r="E192" s="3"/>
    </row>
    <row r="193" spans="4:5" x14ac:dyDescent="0.2">
      <c r="D193" s="3"/>
      <c r="E193" s="3"/>
    </row>
    <row r="194" spans="4:5" x14ac:dyDescent="0.2">
      <c r="D194" s="3"/>
      <c r="E194" s="3"/>
    </row>
    <row r="195" spans="4:5" x14ac:dyDescent="0.2">
      <c r="D195" s="3"/>
      <c r="E195" s="3"/>
    </row>
    <row r="196" spans="4:5" x14ac:dyDescent="0.2">
      <c r="D196" s="3"/>
      <c r="E196" s="3"/>
    </row>
    <row r="197" spans="4:5" x14ac:dyDescent="0.2">
      <c r="D197" s="3"/>
      <c r="E197" s="3"/>
    </row>
    <row r="198" spans="4:5" x14ac:dyDescent="0.2">
      <c r="D198" s="3"/>
      <c r="E198" s="3"/>
    </row>
    <row r="199" spans="4:5" x14ac:dyDescent="0.2">
      <c r="D199" s="3"/>
      <c r="E199" s="3"/>
    </row>
    <row r="200" spans="4:5" x14ac:dyDescent="0.2">
      <c r="D200" s="3"/>
      <c r="E200" s="3"/>
    </row>
    <row r="201" spans="4:5" x14ac:dyDescent="0.2">
      <c r="D201" s="3"/>
      <c r="E201" s="3"/>
    </row>
    <row r="202" spans="4:5" x14ac:dyDescent="0.2">
      <c r="D202" s="3"/>
      <c r="E202" s="3"/>
    </row>
    <row r="203" spans="4:5" x14ac:dyDescent="0.2">
      <c r="D203" s="3"/>
      <c r="E203" s="3"/>
    </row>
    <row r="204" spans="4:5" x14ac:dyDescent="0.2">
      <c r="D204" s="3"/>
      <c r="E204" s="3"/>
    </row>
    <row r="205" spans="4:5" x14ac:dyDescent="0.2">
      <c r="D205" s="3"/>
      <c r="E205" s="3"/>
    </row>
    <row r="206" spans="4:5" x14ac:dyDescent="0.2">
      <c r="D206" s="3"/>
      <c r="E206" s="3"/>
    </row>
    <row r="207" spans="4:5" x14ac:dyDescent="0.2">
      <c r="D207" s="3"/>
      <c r="E207" s="3"/>
    </row>
    <row r="208" spans="4:5" x14ac:dyDescent="0.2">
      <c r="D208" s="3"/>
      <c r="E208" s="3"/>
    </row>
    <row r="209" spans="4:5" x14ac:dyDescent="0.2">
      <c r="D209" s="3"/>
      <c r="E209" s="3"/>
    </row>
    <row r="210" spans="4:5" x14ac:dyDescent="0.2">
      <c r="D210" s="3"/>
      <c r="E210" s="3"/>
    </row>
    <row r="211" spans="4:5" x14ac:dyDescent="0.2">
      <c r="D211" s="3"/>
      <c r="E211" s="3"/>
    </row>
    <row r="212" spans="4:5" x14ac:dyDescent="0.2">
      <c r="D212" s="3"/>
      <c r="E212" s="3"/>
    </row>
    <row r="213" spans="4:5" x14ac:dyDescent="0.2">
      <c r="D213" s="3"/>
      <c r="E213" s="3"/>
    </row>
    <row r="214" spans="4:5" x14ac:dyDescent="0.2">
      <c r="D214" s="3"/>
      <c r="E214" s="3"/>
    </row>
    <row r="215" spans="4:5" x14ac:dyDescent="0.2">
      <c r="D215" s="3"/>
      <c r="E215" s="3"/>
    </row>
    <row r="216" spans="4:5" x14ac:dyDescent="0.2">
      <c r="D216" s="3"/>
      <c r="E216" s="3"/>
    </row>
    <row r="217" spans="4:5" x14ac:dyDescent="0.2">
      <c r="D217" s="3"/>
      <c r="E217" s="3"/>
    </row>
    <row r="218" spans="4:5" x14ac:dyDescent="0.2">
      <c r="D218" s="3"/>
      <c r="E218" s="3"/>
    </row>
    <row r="219" spans="4:5" x14ac:dyDescent="0.2">
      <c r="D219" s="3"/>
      <c r="E219" s="3"/>
    </row>
    <row r="220" spans="4:5" x14ac:dyDescent="0.2">
      <c r="D220" s="3"/>
      <c r="E220" s="3"/>
    </row>
    <row r="221" spans="4:5" x14ac:dyDescent="0.2">
      <c r="D221" s="3"/>
      <c r="E221" s="3"/>
    </row>
    <row r="222" spans="4:5" x14ac:dyDescent="0.2">
      <c r="D222" s="3"/>
      <c r="E222" s="3"/>
    </row>
    <row r="223" spans="4:5" x14ac:dyDescent="0.2">
      <c r="D223" s="3"/>
      <c r="E223" s="3"/>
    </row>
    <row r="224" spans="4:5" x14ac:dyDescent="0.2">
      <c r="D224" s="3"/>
      <c r="E224" s="3"/>
    </row>
    <row r="225" spans="4:5" x14ac:dyDescent="0.2">
      <c r="D225" s="3"/>
      <c r="E225" s="3"/>
    </row>
    <row r="226" spans="4:5" x14ac:dyDescent="0.2">
      <c r="D226" s="3"/>
      <c r="E226" s="3"/>
    </row>
    <row r="227" spans="4:5" x14ac:dyDescent="0.2">
      <c r="D227" s="3"/>
      <c r="E227" s="3"/>
    </row>
    <row r="228" spans="4:5" x14ac:dyDescent="0.2">
      <c r="D228" s="3"/>
      <c r="E228" s="3"/>
    </row>
    <row r="229" spans="4:5" x14ac:dyDescent="0.2">
      <c r="D229" s="3"/>
      <c r="E229" s="3"/>
    </row>
    <row r="230" spans="4:5" x14ac:dyDescent="0.2">
      <c r="D230" s="3"/>
      <c r="E230" s="3"/>
    </row>
    <row r="231" spans="4:5" x14ac:dyDescent="0.2">
      <c r="D231" s="3"/>
      <c r="E231" s="3"/>
    </row>
    <row r="232" spans="4:5" x14ac:dyDescent="0.2">
      <c r="D232" s="3"/>
      <c r="E232" s="3"/>
    </row>
    <row r="233" spans="4:5" x14ac:dyDescent="0.2">
      <c r="D233" s="3"/>
      <c r="E233" s="3"/>
    </row>
    <row r="234" spans="4:5" x14ac:dyDescent="0.2">
      <c r="D234" s="3"/>
      <c r="E234" s="3"/>
    </row>
    <row r="235" spans="4:5" x14ac:dyDescent="0.2">
      <c r="D235" s="3"/>
      <c r="E235" s="3"/>
    </row>
    <row r="236" spans="4:5" x14ac:dyDescent="0.2">
      <c r="D236" s="3"/>
      <c r="E236" s="3"/>
    </row>
    <row r="237" spans="4:5" x14ac:dyDescent="0.2">
      <c r="D237" s="3"/>
      <c r="E237" s="3"/>
    </row>
    <row r="238" spans="4:5" x14ac:dyDescent="0.2">
      <c r="D238" s="3"/>
      <c r="E238" s="3"/>
    </row>
    <row r="239" spans="4:5" x14ac:dyDescent="0.2">
      <c r="D239" s="3"/>
      <c r="E239" s="3"/>
    </row>
    <row r="240" spans="4:5" x14ac:dyDescent="0.2">
      <c r="D240" s="3"/>
      <c r="E240" s="3"/>
    </row>
    <row r="241" spans="4:5" x14ac:dyDescent="0.2">
      <c r="D241" s="3"/>
      <c r="E241" s="3"/>
    </row>
    <row r="242" spans="4:5" x14ac:dyDescent="0.2">
      <c r="D242" s="3"/>
      <c r="E242" s="3"/>
    </row>
    <row r="243" spans="4:5" x14ac:dyDescent="0.2">
      <c r="D243" s="3"/>
      <c r="E243" s="3"/>
    </row>
    <row r="244" spans="4:5" x14ac:dyDescent="0.2">
      <c r="D244" s="3"/>
      <c r="E244" s="3"/>
    </row>
    <row r="245" spans="4:5" x14ac:dyDescent="0.2">
      <c r="D245" s="3"/>
      <c r="E245" s="3"/>
    </row>
    <row r="246" spans="4:5" x14ac:dyDescent="0.2">
      <c r="D246" s="3"/>
      <c r="E246" s="3"/>
    </row>
    <row r="247" spans="4:5" x14ac:dyDescent="0.2">
      <c r="D247" s="3"/>
      <c r="E247" s="3"/>
    </row>
    <row r="248" spans="4:5" x14ac:dyDescent="0.2">
      <c r="D248" s="3"/>
      <c r="E248" s="3"/>
    </row>
    <row r="249" spans="4:5" x14ac:dyDescent="0.2">
      <c r="D249" s="3"/>
      <c r="E249" s="3"/>
    </row>
    <row r="250" spans="4:5" x14ac:dyDescent="0.2">
      <c r="D250" s="3"/>
      <c r="E250" s="3"/>
    </row>
    <row r="251" spans="4:5" x14ac:dyDescent="0.2">
      <c r="D251" s="3"/>
      <c r="E251" s="3"/>
    </row>
    <row r="252" spans="4:5" x14ac:dyDescent="0.2">
      <c r="D252" s="3"/>
      <c r="E252" s="3"/>
    </row>
    <row r="253" spans="4:5" x14ac:dyDescent="0.2">
      <c r="D253" s="3"/>
      <c r="E253" s="3"/>
    </row>
    <row r="254" spans="4:5" x14ac:dyDescent="0.2">
      <c r="D254" s="3"/>
      <c r="E254" s="3"/>
    </row>
    <row r="255" spans="4:5" x14ac:dyDescent="0.2">
      <c r="D255" s="3"/>
      <c r="E255" s="3"/>
    </row>
    <row r="256" spans="4:5" x14ac:dyDescent="0.2">
      <c r="D256" s="3"/>
      <c r="E256" s="3"/>
    </row>
    <row r="257" spans="4:5" x14ac:dyDescent="0.2">
      <c r="D257" s="3"/>
      <c r="E257" s="3"/>
    </row>
    <row r="258" spans="4:5" x14ac:dyDescent="0.2">
      <c r="D258" s="3"/>
      <c r="E258" s="3"/>
    </row>
    <row r="259" spans="4:5" x14ac:dyDescent="0.2">
      <c r="D259" s="3"/>
      <c r="E259" s="3"/>
    </row>
    <row r="260" spans="4:5" x14ac:dyDescent="0.2">
      <c r="D260" s="3"/>
      <c r="E260" s="3"/>
    </row>
    <row r="261" spans="4:5" x14ac:dyDescent="0.2">
      <c r="D261" s="3"/>
      <c r="E261" s="3"/>
    </row>
    <row r="262" spans="4:5" x14ac:dyDescent="0.2">
      <c r="D262" s="3"/>
      <c r="E262" s="3"/>
    </row>
    <row r="263" spans="4:5" x14ac:dyDescent="0.2">
      <c r="D263" s="3"/>
      <c r="E263" s="3"/>
    </row>
    <row r="264" spans="4:5" x14ac:dyDescent="0.2">
      <c r="D264" s="3"/>
      <c r="E264" s="3"/>
    </row>
    <row r="265" spans="4:5" x14ac:dyDescent="0.2">
      <c r="D265" s="3"/>
      <c r="E265" s="3"/>
    </row>
    <row r="266" spans="4:5" x14ac:dyDescent="0.2">
      <c r="D266" s="3"/>
      <c r="E266" s="3"/>
    </row>
  </sheetData>
  <sheetProtection algorithmName="SHA-512" hashValue="YluEbMsSCW4wk/Oo5H2vHDXqJRjxUXC4K5jTomr2CkiasP9Kck1sP7/9RHKzLWFiK5PmtwW9z9Aaa4My5BRW2A==" saltValue="h+NR4l71L0N79VyKjblMTw==" spinCount="100000" sheet="1" objects="1" scenarios="1"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66641-63B3-430F-B4AC-BA7E95783C36}">
  <sheetPr codeName="Hoja4"/>
  <dimension ref="B2:AH36"/>
  <sheetViews>
    <sheetView topLeftCell="B1" zoomScale="85" zoomScaleNormal="85" workbookViewId="0">
      <selection activeCell="H19" sqref="H19"/>
    </sheetView>
  </sheetViews>
  <sheetFormatPr baseColWidth="10" defaultRowHeight="15" x14ac:dyDescent="0.2"/>
  <cols>
    <col min="1" max="1" width="11.5" customWidth="1"/>
    <col min="2" max="2" width="36.6640625" bestFit="1" customWidth="1"/>
    <col min="4" max="4" width="16.5" customWidth="1"/>
    <col min="5" max="5" width="11.5" customWidth="1"/>
    <col min="6" max="6" width="34.33203125" bestFit="1" customWidth="1"/>
    <col min="7" max="7" width="11.5" customWidth="1"/>
    <col min="8" max="8" width="36" customWidth="1"/>
    <col min="9" max="9" width="11.5" customWidth="1"/>
    <col min="10" max="10" width="57.83203125" bestFit="1" customWidth="1"/>
    <col min="11" max="11" width="11.5" customWidth="1"/>
    <col min="12" max="12" width="47.33203125" bestFit="1" customWidth="1"/>
    <col min="13" max="13" width="11.5" customWidth="1"/>
    <col min="14" max="14" width="20.1640625" bestFit="1" customWidth="1"/>
    <col min="15" max="15" width="11.5" customWidth="1"/>
    <col min="16" max="16" width="19.1640625" bestFit="1" customWidth="1"/>
    <col min="17" max="17" width="11.5" customWidth="1"/>
    <col min="18" max="18" width="65.33203125" bestFit="1" customWidth="1"/>
    <col min="19" max="19" width="11.5" customWidth="1"/>
    <col min="20" max="20" width="41.6640625" bestFit="1" customWidth="1"/>
    <col min="21" max="21" width="11.5" customWidth="1"/>
    <col min="22" max="22" width="30.6640625" bestFit="1" customWidth="1"/>
    <col min="23" max="23" width="11.5" customWidth="1"/>
    <col min="24" max="24" width="47.33203125" bestFit="1" customWidth="1"/>
    <col min="25" max="25" width="11.5" customWidth="1"/>
    <col min="26" max="26" width="35.6640625" bestFit="1" customWidth="1"/>
    <col min="27" max="27" width="11.5" customWidth="1"/>
    <col min="28" max="28" width="35.6640625" customWidth="1"/>
    <col min="29" max="29" width="11.5" customWidth="1"/>
    <col min="30" max="30" width="27.5" customWidth="1"/>
    <col min="31" max="31" width="11.5" customWidth="1"/>
    <col min="32" max="32" width="70" bestFit="1" customWidth="1"/>
    <col min="33" max="33" width="11.5" customWidth="1"/>
    <col min="34" max="34" width="37.6640625" bestFit="1" customWidth="1"/>
  </cols>
  <sheetData>
    <row r="2" spans="2:34" x14ac:dyDescent="0.2">
      <c r="B2" t="s">
        <v>0</v>
      </c>
      <c r="D2" t="s">
        <v>16</v>
      </c>
      <c r="F2" t="s">
        <v>1</v>
      </c>
      <c r="H2" t="s">
        <v>2</v>
      </c>
      <c r="J2" t="s">
        <v>3</v>
      </c>
      <c r="L2" t="s">
        <v>4</v>
      </c>
      <c r="N2" t="s">
        <v>5</v>
      </c>
      <c r="P2" t="s">
        <v>6</v>
      </c>
      <c r="R2" t="s">
        <v>7</v>
      </c>
      <c r="T2" t="s">
        <v>8</v>
      </c>
      <c r="V2" t="s">
        <v>9</v>
      </c>
      <c r="X2" t="s">
        <v>10</v>
      </c>
      <c r="Z2" t="s">
        <v>11</v>
      </c>
      <c r="AB2" t="s">
        <v>13</v>
      </c>
      <c r="AD2" t="s">
        <v>15</v>
      </c>
      <c r="AF2" t="s">
        <v>12</v>
      </c>
      <c r="AH2" t="s">
        <v>14</v>
      </c>
    </row>
    <row r="3" spans="2:34" x14ac:dyDescent="0.2">
      <c r="B3" t="s">
        <v>1</v>
      </c>
      <c r="D3" t="s">
        <v>17</v>
      </c>
      <c r="F3" t="s">
        <v>1408</v>
      </c>
      <c r="H3" t="s">
        <v>11307</v>
      </c>
      <c r="J3" t="s">
        <v>19</v>
      </c>
      <c r="L3" t="s">
        <v>20</v>
      </c>
      <c r="N3" t="s">
        <v>11640</v>
      </c>
      <c r="P3" t="s">
        <v>21</v>
      </c>
      <c r="R3" t="s">
        <v>22</v>
      </c>
      <c r="T3" t="s">
        <v>23</v>
      </c>
      <c r="V3" t="s">
        <v>2194</v>
      </c>
      <c r="X3" t="s">
        <v>2201</v>
      </c>
      <c r="Z3" t="s">
        <v>2171</v>
      </c>
      <c r="AB3" t="s">
        <v>11448</v>
      </c>
      <c r="AD3" t="s">
        <v>1407</v>
      </c>
      <c r="AF3" t="s">
        <v>24</v>
      </c>
      <c r="AH3" t="s">
        <v>11289</v>
      </c>
    </row>
    <row r="4" spans="2:34" x14ac:dyDescent="0.2">
      <c r="B4" t="s">
        <v>2</v>
      </c>
      <c r="D4" t="s">
        <v>18</v>
      </c>
      <c r="F4" t="s">
        <v>1415</v>
      </c>
      <c r="J4" t="s">
        <v>25</v>
      </c>
      <c r="L4" t="s">
        <v>26</v>
      </c>
      <c r="P4" t="s">
        <v>27</v>
      </c>
      <c r="R4" t="s">
        <v>28</v>
      </c>
      <c r="T4" t="s">
        <v>29</v>
      </c>
      <c r="V4" t="s">
        <v>2195</v>
      </c>
      <c r="Z4" t="s">
        <v>2183</v>
      </c>
      <c r="AB4" t="s">
        <v>11449</v>
      </c>
      <c r="AD4" t="s">
        <v>11345</v>
      </c>
      <c r="AF4" t="s">
        <v>30</v>
      </c>
      <c r="AH4" t="s">
        <v>11761</v>
      </c>
    </row>
    <row r="5" spans="2:34" x14ac:dyDescent="0.2">
      <c r="B5" t="s">
        <v>3</v>
      </c>
      <c r="F5" t="s">
        <v>11344</v>
      </c>
      <c r="J5" t="s">
        <v>31</v>
      </c>
      <c r="L5" t="s">
        <v>32</v>
      </c>
      <c r="P5" t="s">
        <v>33</v>
      </c>
      <c r="R5" t="s">
        <v>34</v>
      </c>
      <c r="T5" t="s">
        <v>35</v>
      </c>
      <c r="V5" t="s">
        <v>2196</v>
      </c>
      <c r="Z5" t="s">
        <v>2172</v>
      </c>
      <c r="AB5" t="s">
        <v>11450</v>
      </c>
      <c r="AD5" t="s">
        <v>11387</v>
      </c>
      <c r="AF5" t="s">
        <v>36</v>
      </c>
      <c r="AH5" t="s">
        <v>11762</v>
      </c>
    </row>
    <row r="6" spans="2:34" x14ac:dyDescent="0.2">
      <c r="B6" t="s">
        <v>4</v>
      </c>
      <c r="F6" t="s">
        <v>1428</v>
      </c>
      <c r="J6" t="s">
        <v>37</v>
      </c>
      <c r="L6" t="s">
        <v>38</v>
      </c>
      <c r="P6" t="s">
        <v>39</v>
      </c>
      <c r="R6" t="s">
        <v>40</v>
      </c>
      <c r="T6" t="s">
        <v>41</v>
      </c>
      <c r="V6" t="s">
        <v>2197</v>
      </c>
      <c r="Z6" t="s">
        <v>2170</v>
      </c>
      <c r="AB6" t="s">
        <v>11451</v>
      </c>
      <c r="AD6" t="s">
        <v>11461</v>
      </c>
      <c r="AF6" t="s">
        <v>42</v>
      </c>
      <c r="AH6" t="s">
        <v>11763</v>
      </c>
    </row>
    <row r="7" spans="2:34" x14ac:dyDescent="0.2">
      <c r="B7" t="s">
        <v>5</v>
      </c>
      <c r="F7" t="s">
        <v>1439</v>
      </c>
      <c r="J7" t="s">
        <v>43</v>
      </c>
      <c r="L7" t="s">
        <v>44</v>
      </c>
      <c r="P7" t="s">
        <v>45</v>
      </c>
      <c r="R7" t="s">
        <v>46</v>
      </c>
      <c r="T7" t="s">
        <v>47</v>
      </c>
      <c r="V7" t="s">
        <v>2198</v>
      </c>
      <c r="Z7" t="s">
        <v>2185</v>
      </c>
      <c r="AB7" t="s">
        <v>11452</v>
      </c>
      <c r="AF7" t="s">
        <v>48</v>
      </c>
    </row>
    <row r="8" spans="2:34" x14ac:dyDescent="0.2">
      <c r="B8" t="s">
        <v>6</v>
      </c>
      <c r="F8" t="s">
        <v>1440</v>
      </c>
      <c r="J8" t="s">
        <v>49</v>
      </c>
      <c r="L8" t="s">
        <v>50</v>
      </c>
      <c r="P8" t="s">
        <v>51</v>
      </c>
      <c r="R8" t="s">
        <v>52</v>
      </c>
      <c r="T8" t="s">
        <v>47</v>
      </c>
      <c r="V8" t="s">
        <v>2199</v>
      </c>
      <c r="Z8" t="s">
        <v>2187</v>
      </c>
      <c r="AB8" t="s">
        <v>11453</v>
      </c>
      <c r="AF8" t="s">
        <v>53</v>
      </c>
    </row>
    <row r="9" spans="2:34" x14ac:dyDescent="0.2">
      <c r="B9" t="s">
        <v>7</v>
      </c>
      <c r="F9" t="s">
        <v>1461</v>
      </c>
      <c r="J9" t="s">
        <v>54</v>
      </c>
      <c r="L9" t="s">
        <v>55</v>
      </c>
      <c r="P9" t="s">
        <v>56</v>
      </c>
      <c r="T9" t="s">
        <v>57</v>
      </c>
      <c r="V9" t="s">
        <v>2200</v>
      </c>
      <c r="Z9" t="s">
        <v>2191</v>
      </c>
      <c r="AB9" t="s">
        <v>11454</v>
      </c>
      <c r="AF9" t="s">
        <v>58</v>
      </c>
    </row>
    <row r="10" spans="2:34" x14ac:dyDescent="0.2">
      <c r="B10" t="s">
        <v>8</v>
      </c>
      <c r="F10" t="s">
        <v>1460</v>
      </c>
      <c r="J10" t="s">
        <v>59</v>
      </c>
      <c r="L10" t="s">
        <v>60</v>
      </c>
      <c r="P10" t="s">
        <v>61</v>
      </c>
      <c r="T10" t="s">
        <v>62</v>
      </c>
      <c r="V10" t="s">
        <v>11799</v>
      </c>
      <c r="Z10" t="s">
        <v>2178</v>
      </c>
      <c r="AB10" t="s">
        <v>11455</v>
      </c>
      <c r="AF10" t="s">
        <v>63</v>
      </c>
    </row>
    <row r="11" spans="2:34" x14ac:dyDescent="0.2">
      <c r="B11" t="s">
        <v>9</v>
      </c>
      <c r="F11" t="s">
        <v>1463</v>
      </c>
      <c r="J11" t="s">
        <v>64</v>
      </c>
      <c r="L11" t="s">
        <v>65</v>
      </c>
      <c r="P11" t="s">
        <v>66</v>
      </c>
      <c r="T11" t="s">
        <v>62</v>
      </c>
      <c r="Z11" t="s">
        <v>2189</v>
      </c>
      <c r="AB11" t="s">
        <v>11455</v>
      </c>
      <c r="AF11" t="s">
        <v>67</v>
      </c>
    </row>
    <row r="12" spans="2:34" x14ac:dyDescent="0.2">
      <c r="B12" t="s">
        <v>10</v>
      </c>
      <c r="F12" t="s">
        <v>1464</v>
      </c>
      <c r="J12" t="s">
        <v>64</v>
      </c>
      <c r="L12" t="s">
        <v>68</v>
      </c>
      <c r="P12" t="s">
        <v>69</v>
      </c>
      <c r="T12" t="s">
        <v>70</v>
      </c>
      <c r="Z12" t="s">
        <v>11630</v>
      </c>
      <c r="AB12" t="s">
        <v>11456</v>
      </c>
      <c r="AF12" t="s">
        <v>71</v>
      </c>
    </row>
    <row r="13" spans="2:34" x14ac:dyDescent="0.2">
      <c r="B13" t="s">
        <v>11</v>
      </c>
      <c r="F13" t="s">
        <v>1465</v>
      </c>
      <c r="J13" t="s">
        <v>72</v>
      </c>
      <c r="L13" t="s">
        <v>73</v>
      </c>
      <c r="P13" t="s">
        <v>74</v>
      </c>
      <c r="T13" t="s">
        <v>75</v>
      </c>
      <c r="Z13" t="s">
        <v>2192</v>
      </c>
      <c r="AB13" t="s">
        <v>11457</v>
      </c>
      <c r="AF13" t="s">
        <v>76</v>
      </c>
    </row>
    <row r="14" spans="2:34" x14ac:dyDescent="0.2">
      <c r="B14" t="s">
        <v>13</v>
      </c>
      <c r="F14" t="s">
        <v>1466</v>
      </c>
      <c r="J14" t="s">
        <v>77</v>
      </c>
      <c r="L14" t="s">
        <v>78</v>
      </c>
      <c r="P14" t="s">
        <v>79</v>
      </c>
      <c r="T14" t="s">
        <v>75</v>
      </c>
      <c r="Z14" t="s">
        <v>2188</v>
      </c>
      <c r="AB14" t="s">
        <v>11458</v>
      </c>
      <c r="AF14" t="s">
        <v>80</v>
      </c>
    </row>
    <row r="15" spans="2:34" x14ac:dyDescent="0.2">
      <c r="B15" t="s">
        <v>15</v>
      </c>
      <c r="F15" t="s">
        <v>1473</v>
      </c>
      <c r="J15" t="s">
        <v>81</v>
      </c>
      <c r="L15" t="s">
        <v>82</v>
      </c>
      <c r="P15" t="s">
        <v>83</v>
      </c>
      <c r="T15" t="s">
        <v>84</v>
      </c>
      <c r="Z15" t="s">
        <v>2190</v>
      </c>
      <c r="AB15" t="s">
        <v>11459</v>
      </c>
      <c r="AF15" t="s">
        <v>85</v>
      </c>
    </row>
    <row r="16" spans="2:34" x14ac:dyDescent="0.2">
      <c r="B16" t="s">
        <v>12</v>
      </c>
      <c r="F16" t="s">
        <v>1475</v>
      </c>
      <c r="J16" t="s">
        <v>81</v>
      </c>
      <c r="P16" t="s">
        <v>86</v>
      </c>
      <c r="T16" t="s">
        <v>87</v>
      </c>
      <c r="Z16" t="s">
        <v>2173</v>
      </c>
      <c r="AB16" t="s">
        <v>11460</v>
      </c>
      <c r="AF16" t="s">
        <v>88</v>
      </c>
    </row>
    <row r="17" spans="2:32" x14ac:dyDescent="0.2">
      <c r="B17" t="s">
        <v>14</v>
      </c>
      <c r="F17" t="s">
        <v>1486</v>
      </c>
      <c r="J17" t="s">
        <v>89</v>
      </c>
      <c r="P17" t="s">
        <v>90</v>
      </c>
      <c r="T17" t="s">
        <v>91</v>
      </c>
      <c r="Z17" t="s">
        <v>2193</v>
      </c>
      <c r="AF17" t="s">
        <v>92</v>
      </c>
    </row>
    <row r="18" spans="2:32" x14ac:dyDescent="0.2">
      <c r="F18" t="s">
        <v>1488</v>
      </c>
      <c r="J18" t="s">
        <v>93</v>
      </c>
      <c r="P18" t="s">
        <v>94</v>
      </c>
      <c r="T18" t="s">
        <v>91</v>
      </c>
      <c r="Z18" t="s">
        <v>2174</v>
      </c>
      <c r="AF18" t="s">
        <v>95</v>
      </c>
    </row>
    <row r="19" spans="2:32" x14ac:dyDescent="0.2">
      <c r="F19" t="s">
        <v>1490</v>
      </c>
      <c r="J19" t="s">
        <v>96</v>
      </c>
      <c r="P19" t="s">
        <v>97</v>
      </c>
      <c r="T19" t="s">
        <v>98</v>
      </c>
      <c r="Z19" t="s">
        <v>2175</v>
      </c>
      <c r="AF19" t="s">
        <v>99</v>
      </c>
    </row>
    <row r="20" spans="2:32" x14ac:dyDescent="0.2">
      <c r="F20" t="s">
        <v>1491</v>
      </c>
      <c r="J20" t="s">
        <v>96</v>
      </c>
      <c r="P20" t="s">
        <v>100</v>
      </c>
      <c r="T20" t="s">
        <v>101</v>
      </c>
      <c r="Z20" t="s">
        <v>2186</v>
      </c>
      <c r="AF20" t="s">
        <v>102</v>
      </c>
    </row>
    <row r="21" spans="2:32" x14ac:dyDescent="0.2">
      <c r="F21" t="s">
        <v>1469</v>
      </c>
      <c r="J21" t="s">
        <v>96</v>
      </c>
      <c r="P21" t="s">
        <v>103</v>
      </c>
      <c r="T21" t="s">
        <v>101</v>
      </c>
      <c r="Z21" t="s">
        <v>2181</v>
      </c>
      <c r="AF21" t="s">
        <v>104</v>
      </c>
    </row>
    <row r="22" spans="2:32" x14ac:dyDescent="0.2">
      <c r="F22" t="s">
        <v>1493</v>
      </c>
      <c r="J22" t="s">
        <v>105</v>
      </c>
      <c r="P22" t="s">
        <v>106</v>
      </c>
      <c r="T22" t="s">
        <v>107</v>
      </c>
      <c r="Z22" t="s">
        <v>2177</v>
      </c>
      <c r="AF22" t="s">
        <v>108</v>
      </c>
    </row>
    <row r="23" spans="2:32" x14ac:dyDescent="0.2">
      <c r="F23" t="s">
        <v>1468</v>
      </c>
      <c r="J23" t="s">
        <v>109</v>
      </c>
      <c r="P23" t="s">
        <v>110</v>
      </c>
      <c r="T23" t="s">
        <v>111</v>
      </c>
      <c r="Z23" t="s">
        <v>2184</v>
      </c>
      <c r="AF23" t="s">
        <v>112</v>
      </c>
    </row>
    <row r="24" spans="2:32" x14ac:dyDescent="0.2">
      <c r="F24" t="s">
        <v>1467</v>
      </c>
      <c r="J24" t="s">
        <v>113</v>
      </c>
      <c r="P24" t="s">
        <v>114</v>
      </c>
      <c r="T24" t="s">
        <v>115</v>
      </c>
      <c r="Z24" t="s">
        <v>2176</v>
      </c>
      <c r="AF24" t="s">
        <v>116</v>
      </c>
    </row>
    <row r="25" spans="2:32" x14ac:dyDescent="0.2">
      <c r="F25" t="s">
        <v>1495</v>
      </c>
      <c r="J25" t="s">
        <v>117</v>
      </c>
      <c r="P25" t="s">
        <v>11232</v>
      </c>
      <c r="T25" t="s">
        <v>118</v>
      </c>
      <c r="Z25" t="s">
        <v>2182</v>
      </c>
      <c r="AF25" t="s">
        <v>119</v>
      </c>
    </row>
    <row r="26" spans="2:32" x14ac:dyDescent="0.2">
      <c r="F26" t="s">
        <v>1497</v>
      </c>
      <c r="J26" t="s">
        <v>120</v>
      </c>
      <c r="T26" t="s">
        <v>121</v>
      </c>
      <c r="Z26" t="s">
        <v>2179</v>
      </c>
      <c r="AF26" t="s">
        <v>122</v>
      </c>
    </row>
    <row r="27" spans="2:32" x14ac:dyDescent="0.2">
      <c r="F27" t="s">
        <v>11276</v>
      </c>
      <c r="J27" t="s">
        <v>123</v>
      </c>
      <c r="T27" t="s">
        <v>124</v>
      </c>
      <c r="Z27" t="s">
        <v>2180</v>
      </c>
      <c r="AF27" t="s">
        <v>125</v>
      </c>
    </row>
    <row r="28" spans="2:32" x14ac:dyDescent="0.2">
      <c r="F28" t="s">
        <v>11500</v>
      </c>
      <c r="T28" t="s">
        <v>124</v>
      </c>
      <c r="Z28" t="s">
        <v>11733</v>
      </c>
      <c r="AF28" t="s">
        <v>126</v>
      </c>
    </row>
    <row r="29" spans="2:32" x14ac:dyDescent="0.2">
      <c r="F29" t="s">
        <v>11505</v>
      </c>
      <c r="T29" t="s">
        <v>127</v>
      </c>
      <c r="AF29" t="s">
        <v>128</v>
      </c>
    </row>
    <row r="30" spans="2:32" x14ac:dyDescent="0.2">
      <c r="F30" t="s">
        <v>11508</v>
      </c>
      <c r="T30" t="s">
        <v>129</v>
      </c>
      <c r="AF30" t="s">
        <v>130</v>
      </c>
    </row>
    <row r="31" spans="2:32" x14ac:dyDescent="0.2">
      <c r="F31" t="s">
        <v>11629</v>
      </c>
      <c r="AF31" t="s">
        <v>131</v>
      </c>
    </row>
    <row r="32" spans="2:32" x14ac:dyDescent="0.2">
      <c r="AF32" t="s">
        <v>132</v>
      </c>
    </row>
    <row r="33" spans="32:32" x14ac:dyDescent="0.2">
      <c r="AF33" t="s">
        <v>133</v>
      </c>
    </row>
    <row r="34" spans="32:32" x14ac:dyDescent="0.2">
      <c r="AF34" t="s">
        <v>134</v>
      </c>
    </row>
    <row r="35" spans="32:32" x14ac:dyDescent="0.2">
      <c r="AF35" t="s">
        <v>135</v>
      </c>
    </row>
    <row r="36" spans="32:32" x14ac:dyDescent="0.2">
      <c r="AF36" t="s">
        <v>136</v>
      </c>
    </row>
  </sheetData>
  <pageMargins left="0.7" right="0.7" top="0.75" bottom="0.75" header="0.3" footer="0.3"/>
  <pageSetup orientation="portrait" horizontalDpi="0" verticalDpi="0"/>
  <tableParts count="1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9AF3E-96CA-411F-85C2-D43A3762DC94}">
  <sheetPr codeName="Hoja20">
    <tabColor rgb="FFFF0000"/>
  </sheetPr>
  <dimension ref="A2:BF184"/>
  <sheetViews>
    <sheetView topLeftCell="B1" zoomScale="110" zoomScaleNormal="110" workbookViewId="0">
      <selection activeCell="F5" sqref="F5"/>
    </sheetView>
  </sheetViews>
  <sheetFormatPr baseColWidth="10" defaultRowHeight="15" x14ac:dyDescent="0.2"/>
  <cols>
    <col min="1" max="1" width="10.83203125" style="43"/>
    <col min="2" max="2" width="54.5" style="43" bestFit="1" customWidth="1"/>
    <col min="3" max="3" width="10.83203125" style="43"/>
    <col min="4" max="4" width="12.83203125" style="43" bestFit="1" customWidth="1"/>
    <col min="5" max="5" width="34.33203125" style="43" bestFit="1" customWidth="1"/>
    <col min="6" max="6" width="109.5" style="43" customWidth="1"/>
    <col min="7" max="7" width="10.83203125" style="43"/>
    <col min="8" max="8" width="12.83203125" style="43" bestFit="1" customWidth="1"/>
    <col min="9" max="9" width="20.5" style="43" bestFit="1" customWidth="1"/>
    <col min="10" max="10" width="38" style="43" bestFit="1" customWidth="1"/>
    <col min="11" max="11" width="10.83203125" style="43"/>
    <col min="12" max="12" width="12.83203125" style="43" bestFit="1" customWidth="1"/>
    <col min="13" max="13" width="20.5" style="43" bestFit="1" customWidth="1"/>
    <col min="14" max="14" width="107.1640625" style="43" bestFit="1" customWidth="1"/>
    <col min="15" max="15" width="10.83203125" style="43"/>
    <col min="16" max="16" width="12.83203125" style="43" bestFit="1" customWidth="1"/>
    <col min="17" max="17" width="20.5" style="43" bestFit="1" customWidth="1"/>
    <col min="18" max="18" width="38" style="43" bestFit="1" customWidth="1"/>
    <col min="19" max="19" width="10.83203125" style="43"/>
    <col min="20" max="20" width="12.83203125" style="43" bestFit="1" customWidth="1"/>
    <col min="21" max="21" width="20.5" style="43" bestFit="1" customWidth="1"/>
    <col min="22" max="22" width="32.1640625" style="43" bestFit="1" customWidth="1"/>
    <col min="23" max="23" width="10.83203125" style="43"/>
    <col min="24" max="24" width="12.83203125" style="43" bestFit="1" customWidth="1"/>
    <col min="25" max="25" width="26.83203125" style="43" bestFit="1" customWidth="1"/>
    <col min="26" max="26" width="163.5" style="43" bestFit="1" customWidth="1"/>
    <col min="27" max="27" width="10.83203125" style="43"/>
    <col min="28" max="28" width="12.83203125" style="43" bestFit="1" customWidth="1"/>
    <col min="29" max="29" width="20.5" style="43" bestFit="1" customWidth="1"/>
    <col min="30" max="30" width="65.1640625" style="43" bestFit="1" customWidth="1"/>
    <col min="31" max="31" width="10.83203125" style="43"/>
    <col min="32" max="32" width="12.83203125" style="43" bestFit="1" customWidth="1"/>
    <col min="33" max="33" width="32.5" style="43" bestFit="1" customWidth="1"/>
    <col min="34" max="34" width="97" style="43" bestFit="1" customWidth="1"/>
    <col min="35" max="35" width="10.83203125" style="43"/>
    <col min="36" max="36" width="12.83203125" style="43" bestFit="1" customWidth="1"/>
    <col min="37" max="37" width="23.6640625" style="43" bestFit="1" customWidth="1"/>
    <col min="38" max="38" width="105.83203125" style="43" bestFit="1" customWidth="1"/>
    <col min="39" max="39" width="10.83203125" style="43"/>
    <col min="40" max="40" width="12.83203125" style="43" bestFit="1" customWidth="1"/>
    <col min="41" max="41" width="24" style="43" bestFit="1" customWidth="1"/>
    <col min="42" max="42" width="116.5" style="43" bestFit="1" customWidth="1"/>
    <col min="43" max="43" width="10.83203125" style="43"/>
    <col min="44" max="44" width="12.83203125" style="43" bestFit="1" customWidth="1"/>
    <col min="45" max="45" width="31.33203125" style="43" bestFit="1" customWidth="1"/>
    <col min="46" max="46" width="106.5" style="43" customWidth="1"/>
    <col min="47" max="47" width="10.83203125" style="43"/>
    <col min="48" max="48" width="12.83203125" style="43" bestFit="1" customWidth="1"/>
    <col min="49" max="49" width="20.5" style="43" bestFit="1" customWidth="1"/>
    <col min="50" max="50" width="30" style="43" bestFit="1" customWidth="1"/>
    <col min="51" max="51" width="10.83203125" style="43"/>
    <col min="52" max="52" width="12.83203125" style="43" bestFit="1" customWidth="1"/>
    <col min="53" max="53" width="20.5" style="43" bestFit="1" customWidth="1"/>
    <col min="54" max="54" width="31.33203125" style="43" bestFit="1" customWidth="1"/>
    <col min="55" max="55" width="10.83203125" style="43"/>
    <col min="56" max="56" width="17" style="43" bestFit="1" customWidth="1"/>
    <col min="57" max="57" width="23.33203125" style="43" bestFit="1" customWidth="1"/>
    <col min="58" max="58" width="79.1640625" style="43" bestFit="1" customWidth="1"/>
    <col min="59" max="16384" width="10.83203125" style="43"/>
  </cols>
  <sheetData>
    <row r="2" spans="1:58" ht="16" x14ac:dyDescent="0.2">
      <c r="B2" s="43" t="s">
        <v>2203</v>
      </c>
      <c r="D2" s="43" t="s">
        <v>1590</v>
      </c>
      <c r="E2" s="43" t="s">
        <v>1586</v>
      </c>
      <c r="F2" s="43" t="s">
        <v>2204</v>
      </c>
      <c r="H2" s="43" t="s">
        <v>1590</v>
      </c>
      <c r="I2" s="43" t="s">
        <v>1586</v>
      </c>
      <c r="J2" s="43" t="s">
        <v>2205</v>
      </c>
      <c r="L2" s="43" t="s">
        <v>1590</v>
      </c>
      <c r="M2" s="43" t="s">
        <v>1586</v>
      </c>
      <c r="N2" s="43" t="s">
        <v>2206</v>
      </c>
      <c r="P2" s="43" t="s">
        <v>1590</v>
      </c>
      <c r="Q2" s="43" t="s">
        <v>1586</v>
      </c>
      <c r="R2" s="43" t="s">
        <v>2207</v>
      </c>
      <c r="T2" s="43" t="s">
        <v>1590</v>
      </c>
      <c r="U2" s="43" t="s">
        <v>1586</v>
      </c>
      <c r="V2" s="43" t="s">
        <v>2208</v>
      </c>
      <c r="X2" s="43" t="s">
        <v>1590</v>
      </c>
      <c r="Y2" s="43" t="s">
        <v>1586</v>
      </c>
      <c r="Z2" s="43" t="s">
        <v>2209</v>
      </c>
      <c r="AB2" s="43" t="s">
        <v>1590</v>
      </c>
      <c r="AC2" s="43" t="s">
        <v>1586</v>
      </c>
      <c r="AD2" s="43" t="s">
        <v>2210</v>
      </c>
      <c r="AF2" s="43" t="s">
        <v>1590</v>
      </c>
      <c r="AG2" s="43" t="s">
        <v>1586</v>
      </c>
      <c r="AH2" s="43" t="s">
        <v>2211</v>
      </c>
      <c r="AJ2" s="43" t="s">
        <v>1590</v>
      </c>
      <c r="AK2" s="43" t="s">
        <v>1586</v>
      </c>
      <c r="AL2" s="43" t="s">
        <v>2212</v>
      </c>
      <c r="AN2" s="43" t="s">
        <v>1590</v>
      </c>
      <c r="AO2" s="43" t="s">
        <v>1586</v>
      </c>
      <c r="AP2" s="43" t="s">
        <v>2213</v>
      </c>
      <c r="AR2" s="43" t="s">
        <v>1590</v>
      </c>
      <c r="AS2" s="43" t="s">
        <v>1586</v>
      </c>
      <c r="AT2" s="43" t="s">
        <v>2776</v>
      </c>
      <c r="AV2" s="43" t="s">
        <v>1590</v>
      </c>
      <c r="AW2" s="43" t="s">
        <v>1586</v>
      </c>
      <c r="AX2" s="43" t="s">
        <v>2214</v>
      </c>
      <c r="AZ2" s="43" t="s">
        <v>1590</v>
      </c>
      <c r="BA2" s="43" t="s">
        <v>1586</v>
      </c>
      <c r="BB2" s="43" t="s">
        <v>2215</v>
      </c>
      <c r="BD2" s="43" t="s">
        <v>1590</v>
      </c>
      <c r="BE2" s="43" t="s">
        <v>1586</v>
      </c>
      <c r="BF2" s="43" t="s">
        <v>2216</v>
      </c>
    </row>
    <row r="3" spans="1:58" ht="16" x14ac:dyDescent="0.2">
      <c r="A3" s="43">
        <v>1</v>
      </c>
      <c r="B3" s="43" t="s">
        <v>2204</v>
      </c>
      <c r="D3" s="43">
        <v>1</v>
      </c>
      <c r="E3" s="43" t="s">
        <v>2217</v>
      </c>
      <c r="F3" s="17"/>
      <c r="H3" s="43">
        <v>1</v>
      </c>
      <c r="I3" s="43" t="s">
        <v>2217</v>
      </c>
      <c r="J3" s="43" t="s">
        <v>2218</v>
      </c>
      <c r="L3" s="43">
        <v>1</v>
      </c>
      <c r="M3" s="43" t="s">
        <v>2217</v>
      </c>
      <c r="N3" s="43" t="s">
        <v>2218</v>
      </c>
      <c r="P3" s="43">
        <v>1</v>
      </c>
      <c r="Q3" s="43" t="s">
        <v>2217</v>
      </c>
      <c r="R3" s="43" t="s">
        <v>2218</v>
      </c>
      <c r="T3" s="43">
        <v>1</v>
      </c>
      <c r="U3" s="43" t="s">
        <v>2217</v>
      </c>
      <c r="V3" s="43" t="s">
        <v>2218</v>
      </c>
      <c r="X3" s="43">
        <v>1</v>
      </c>
      <c r="Y3" s="43" t="s">
        <v>2217</v>
      </c>
      <c r="AB3" s="43">
        <v>1</v>
      </c>
      <c r="AC3" s="43" t="s">
        <v>2217</v>
      </c>
      <c r="AD3" s="43" t="s">
        <v>2218</v>
      </c>
      <c r="AF3" s="43">
        <v>1</v>
      </c>
      <c r="AG3" s="43" t="s">
        <v>2217</v>
      </c>
      <c r="AH3" s="43" t="s">
        <v>2218</v>
      </c>
      <c r="AJ3" s="43">
        <v>1</v>
      </c>
      <c r="AK3" s="43" t="s">
        <v>2217</v>
      </c>
      <c r="AL3" s="43" t="s">
        <v>2218</v>
      </c>
      <c r="AN3" s="43">
        <v>1</v>
      </c>
      <c r="AO3" s="43" t="s">
        <v>2217</v>
      </c>
      <c r="AP3" s="43" t="s">
        <v>2218</v>
      </c>
      <c r="AR3" s="16">
        <v>1</v>
      </c>
      <c r="AS3" s="17" t="s">
        <v>2217</v>
      </c>
      <c r="AT3" s="17"/>
      <c r="AV3" s="43">
        <v>1</v>
      </c>
      <c r="AW3" s="43" t="s">
        <v>2217</v>
      </c>
      <c r="AX3" s="43" t="s">
        <v>2218</v>
      </c>
      <c r="AZ3" s="43">
        <v>1</v>
      </c>
      <c r="BA3" s="43" t="s">
        <v>2217</v>
      </c>
      <c r="BB3" s="43" t="s">
        <v>2218</v>
      </c>
      <c r="BD3" s="43">
        <v>1</v>
      </c>
      <c r="BE3" s="43" t="s">
        <v>2217</v>
      </c>
      <c r="BF3" s="43" t="s">
        <v>2218</v>
      </c>
    </row>
    <row r="4" spans="1:58" ht="16" x14ac:dyDescent="0.2">
      <c r="B4" s="43" t="s">
        <v>2205</v>
      </c>
      <c r="D4" s="43">
        <v>2</v>
      </c>
      <c r="E4" s="43" t="s">
        <v>11530</v>
      </c>
      <c r="F4" s="17" t="s">
        <v>11651</v>
      </c>
      <c r="L4" s="43">
        <v>2</v>
      </c>
      <c r="M4" s="43" t="s">
        <v>2221</v>
      </c>
      <c r="N4" s="43" t="s">
        <v>2222</v>
      </c>
      <c r="X4" s="43">
        <v>2</v>
      </c>
      <c r="Y4" s="43" t="s">
        <v>11797</v>
      </c>
      <c r="Z4" s="43" t="s">
        <v>2223</v>
      </c>
      <c r="AF4" s="43">
        <v>2</v>
      </c>
      <c r="AG4" s="43" t="s">
        <v>2224</v>
      </c>
      <c r="AH4" s="43" t="s">
        <v>2225</v>
      </c>
      <c r="AJ4" s="43">
        <v>2</v>
      </c>
      <c r="AK4" s="43" t="s">
        <v>2226</v>
      </c>
      <c r="AL4" s="43" t="s">
        <v>2227</v>
      </c>
      <c r="AN4" s="43">
        <v>2</v>
      </c>
      <c r="AO4" s="43" t="s">
        <v>2228</v>
      </c>
      <c r="AP4" s="43" t="s">
        <v>2229</v>
      </c>
      <c r="AR4" s="16">
        <v>2</v>
      </c>
      <c r="AS4" s="17" t="s">
        <v>11701</v>
      </c>
      <c r="AT4" s="43" t="s">
        <v>11702</v>
      </c>
      <c r="BD4" s="43">
        <v>2</v>
      </c>
      <c r="BF4" s="43" t="s">
        <v>2232</v>
      </c>
    </row>
    <row r="5" spans="1:58" ht="16" x14ac:dyDescent="0.2">
      <c r="B5" s="43" t="s">
        <v>2206</v>
      </c>
      <c r="D5" s="43">
        <v>3</v>
      </c>
      <c r="E5" s="43" t="s">
        <v>11531</v>
      </c>
      <c r="F5" s="17" t="s">
        <v>11652</v>
      </c>
      <c r="L5" s="43">
        <v>3</v>
      </c>
      <c r="M5" s="43" t="s">
        <v>2221</v>
      </c>
      <c r="N5" s="43" t="s">
        <v>2235</v>
      </c>
      <c r="X5" s="43">
        <v>3</v>
      </c>
      <c r="Y5" s="43" t="s">
        <v>11794</v>
      </c>
      <c r="Z5" s="43" t="s">
        <v>11793</v>
      </c>
      <c r="AF5" s="43">
        <v>3</v>
      </c>
      <c r="AG5" s="43" t="s">
        <v>2224</v>
      </c>
      <c r="AH5" s="43" t="s">
        <v>2236</v>
      </c>
      <c r="AJ5" s="43">
        <v>3</v>
      </c>
      <c r="AK5" s="43" t="s">
        <v>2226</v>
      </c>
      <c r="AL5" s="43" t="s">
        <v>2237</v>
      </c>
      <c r="AN5" s="43">
        <v>3</v>
      </c>
      <c r="AO5" s="43" t="s">
        <v>2228</v>
      </c>
      <c r="AP5" s="43" t="s">
        <v>2238</v>
      </c>
      <c r="AR5" s="16">
        <v>3</v>
      </c>
      <c r="AS5" s="17" t="s">
        <v>11685</v>
      </c>
      <c r="AT5" s="17" t="s">
        <v>11686</v>
      </c>
      <c r="BD5" s="43">
        <v>3</v>
      </c>
      <c r="BF5" s="43" t="s">
        <v>2240</v>
      </c>
    </row>
    <row r="6" spans="1:58" ht="32" x14ac:dyDescent="0.2">
      <c r="B6" s="43" t="s">
        <v>2207</v>
      </c>
      <c r="D6" s="43">
        <v>4</v>
      </c>
      <c r="E6" s="43" t="s">
        <v>11674</v>
      </c>
      <c r="F6" s="17" t="s">
        <v>11558</v>
      </c>
      <c r="L6" s="43">
        <v>4</v>
      </c>
      <c r="M6" s="43" t="s">
        <v>2242</v>
      </c>
      <c r="N6" s="43" t="s">
        <v>2243</v>
      </c>
      <c r="X6" s="43">
        <v>4</v>
      </c>
      <c r="Y6" s="43" t="s">
        <v>11795</v>
      </c>
      <c r="Z6" s="43" t="s">
        <v>2244</v>
      </c>
      <c r="AF6" s="43">
        <v>4</v>
      </c>
      <c r="AG6" s="43" t="s">
        <v>2224</v>
      </c>
      <c r="AH6" s="43" t="s">
        <v>2245</v>
      </c>
      <c r="AJ6" s="43">
        <v>4</v>
      </c>
      <c r="AK6" s="43" t="s">
        <v>2226</v>
      </c>
      <c r="AL6" s="43" t="s">
        <v>2246</v>
      </c>
      <c r="AN6" s="43">
        <v>4</v>
      </c>
      <c r="AO6" s="43" t="s">
        <v>2228</v>
      </c>
      <c r="AP6" s="43" t="s">
        <v>2247</v>
      </c>
      <c r="AR6" s="16">
        <v>4</v>
      </c>
      <c r="AS6" s="17" t="s">
        <v>11684</v>
      </c>
      <c r="AT6" s="43" t="s">
        <v>11727</v>
      </c>
      <c r="BD6" s="43">
        <v>4</v>
      </c>
      <c r="BF6" s="43" t="s">
        <v>2249</v>
      </c>
    </row>
    <row r="7" spans="1:58" ht="16" x14ac:dyDescent="0.2">
      <c r="B7" s="43" t="s">
        <v>2208</v>
      </c>
      <c r="D7" s="43">
        <v>5</v>
      </c>
      <c r="E7" s="43" t="s">
        <v>11675</v>
      </c>
      <c r="F7" s="17" t="s">
        <v>11559</v>
      </c>
      <c r="L7" s="43">
        <v>5</v>
      </c>
      <c r="M7" s="43" t="s">
        <v>2242</v>
      </c>
      <c r="N7" s="43" t="s">
        <v>2251</v>
      </c>
      <c r="X7" s="43">
        <v>5</v>
      </c>
      <c r="Y7" s="43" t="s">
        <v>11796</v>
      </c>
      <c r="Z7" s="43" t="s">
        <v>2252</v>
      </c>
      <c r="AF7" s="43">
        <v>5</v>
      </c>
      <c r="AG7" s="43" t="s">
        <v>2224</v>
      </c>
      <c r="AH7" s="43" t="s">
        <v>2253</v>
      </c>
      <c r="AJ7" s="43">
        <v>5</v>
      </c>
      <c r="AK7" s="43" t="s">
        <v>2226</v>
      </c>
      <c r="AL7" s="43" t="s">
        <v>2254</v>
      </c>
      <c r="AN7" s="43">
        <v>5</v>
      </c>
      <c r="AO7" s="43" t="s">
        <v>2228</v>
      </c>
      <c r="AP7" s="43" t="s">
        <v>2255</v>
      </c>
      <c r="AR7" s="16">
        <v>5</v>
      </c>
      <c r="AS7" s="17" t="s">
        <v>11687</v>
      </c>
      <c r="AT7" s="43" t="s">
        <v>11703</v>
      </c>
      <c r="BD7" s="43">
        <v>5</v>
      </c>
      <c r="BF7" s="43" t="s">
        <v>2257</v>
      </c>
    </row>
    <row r="8" spans="1:58" ht="16" x14ac:dyDescent="0.2">
      <c r="B8" s="43" t="s">
        <v>2209</v>
      </c>
      <c r="D8" s="43">
        <v>6</v>
      </c>
      <c r="E8" s="43" t="s">
        <v>11676</v>
      </c>
      <c r="F8" s="17" t="s">
        <v>11653</v>
      </c>
      <c r="L8" s="43">
        <v>6</v>
      </c>
      <c r="M8" s="43" t="s">
        <v>2242</v>
      </c>
      <c r="N8" s="43" t="s">
        <v>2259</v>
      </c>
      <c r="X8" s="43">
        <v>6</v>
      </c>
      <c r="Y8" s="43" t="s">
        <v>11798</v>
      </c>
      <c r="Z8" s="43" t="s">
        <v>2260</v>
      </c>
      <c r="AF8" s="43">
        <v>6</v>
      </c>
      <c r="AG8" s="43" t="s">
        <v>2261</v>
      </c>
      <c r="AH8" s="43" t="s">
        <v>2262</v>
      </c>
      <c r="AJ8" s="43">
        <v>6</v>
      </c>
      <c r="AK8" s="43" t="s">
        <v>2226</v>
      </c>
      <c r="AL8" s="43" t="s">
        <v>2263</v>
      </c>
      <c r="AN8" s="43">
        <v>6</v>
      </c>
      <c r="AO8" s="43" t="s">
        <v>2228</v>
      </c>
      <c r="AP8" s="43" t="s">
        <v>2264</v>
      </c>
      <c r="AR8" s="16">
        <v>6</v>
      </c>
      <c r="AS8" s="17" t="s">
        <v>11688</v>
      </c>
      <c r="AT8" s="43" t="s">
        <v>11704</v>
      </c>
      <c r="BD8" s="43">
        <v>6</v>
      </c>
      <c r="BF8" s="43" t="s">
        <v>2267</v>
      </c>
    </row>
    <row r="9" spans="1:58" ht="16" x14ac:dyDescent="0.2">
      <c r="B9" s="43" t="s">
        <v>2210</v>
      </c>
      <c r="D9" s="43">
        <v>7</v>
      </c>
      <c r="E9" s="43" t="s">
        <v>11677</v>
      </c>
      <c r="F9" s="17" t="s">
        <v>11654</v>
      </c>
      <c r="L9" s="43">
        <v>7</v>
      </c>
      <c r="M9" s="43" t="s">
        <v>2242</v>
      </c>
      <c r="N9" s="43" t="s">
        <v>2269</v>
      </c>
      <c r="X9" s="43">
        <v>7</v>
      </c>
      <c r="Y9" s="43" t="s">
        <v>11530</v>
      </c>
      <c r="Z9" s="43" t="s">
        <v>11651</v>
      </c>
      <c r="AF9" s="43">
        <v>7</v>
      </c>
      <c r="AG9" s="43" t="s">
        <v>2261</v>
      </c>
      <c r="AH9" s="43" t="s">
        <v>2270</v>
      </c>
      <c r="AJ9" s="43">
        <v>7</v>
      </c>
      <c r="AK9" s="43" t="s">
        <v>2226</v>
      </c>
      <c r="AL9" s="43" t="s">
        <v>2271</v>
      </c>
      <c r="AN9" s="43">
        <v>7</v>
      </c>
      <c r="AO9" s="43" t="s">
        <v>2228</v>
      </c>
      <c r="AP9" s="43" t="s">
        <v>2272</v>
      </c>
      <c r="AR9" s="16">
        <v>7</v>
      </c>
      <c r="AS9" s="17" t="s">
        <v>11689</v>
      </c>
      <c r="AT9" s="43" t="s">
        <v>11705</v>
      </c>
      <c r="BD9" s="43">
        <v>7</v>
      </c>
      <c r="BF9" s="43" t="s">
        <v>2274</v>
      </c>
    </row>
    <row r="10" spans="1:58" ht="16" x14ac:dyDescent="0.2">
      <c r="B10" s="43" t="s">
        <v>2211</v>
      </c>
      <c r="D10" s="43">
        <v>8</v>
      </c>
      <c r="E10" s="43" t="s">
        <v>11655</v>
      </c>
      <c r="F10" s="17" t="s">
        <v>11560</v>
      </c>
      <c r="L10" s="43">
        <v>8</v>
      </c>
      <c r="M10" s="43" t="s">
        <v>2242</v>
      </c>
      <c r="N10" s="43" t="s">
        <v>2276</v>
      </c>
      <c r="X10" s="43">
        <v>8</v>
      </c>
      <c r="Y10" s="43" t="s">
        <v>11531</v>
      </c>
      <c r="Z10" s="43" t="s">
        <v>11652</v>
      </c>
      <c r="AF10" s="43">
        <v>8</v>
      </c>
      <c r="AG10" s="43" t="s">
        <v>2261</v>
      </c>
      <c r="AH10" s="43" t="s">
        <v>2277</v>
      </c>
      <c r="AJ10" s="43">
        <v>8</v>
      </c>
      <c r="AK10" s="43" t="s">
        <v>2226</v>
      </c>
      <c r="AL10" s="43" t="s">
        <v>2278</v>
      </c>
      <c r="AN10" s="43">
        <v>8</v>
      </c>
      <c r="AO10" s="43" t="s">
        <v>2228</v>
      </c>
      <c r="AP10" s="43" t="s">
        <v>2246</v>
      </c>
      <c r="AR10" s="16">
        <v>8</v>
      </c>
      <c r="AS10" s="17" t="s">
        <v>11690</v>
      </c>
      <c r="AT10" s="43" t="s">
        <v>11698</v>
      </c>
    </row>
    <row r="11" spans="1:58" ht="16" x14ac:dyDescent="0.2">
      <c r="B11" s="43" t="s">
        <v>2212</v>
      </c>
      <c r="D11" s="43">
        <v>9</v>
      </c>
      <c r="E11" s="43" t="s">
        <v>11532</v>
      </c>
      <c r="F11" s="17" t="s">
        <v>11561</v>
      </c>
      <c r="L11" s="43">
        <v>9</v>
      </c>
      <c r="M11" s="43" t="s">
        <v>2242</v>
      </c>
      <c r="N11" s="43" t="s">
        <v>2281</v>
      </c>
      <c r="X11" s="43">
        <v>9</v>
      </c>
      <c r="Y11" s="43" t="s">
        <v>11676</v>
      </c>
      <c r="Z11" s="43" t="s">
        <v>11653</v>
      </c>
      <c r="AF11" s="43">
        <v>9</v>
      </c>
      <c r="AG11" s="43" t="s">
        <v>2261</v>
      </c>
      <c r="AH11" s="43" t="s">
        <v>2282</v>
      </c>
      <c r="AJ11" s="43">
        <v>9</v>
      </c>
      <c r="AK11" s="43" t="s">
        <v>2226</v>
      </c>
      <c r="AL11" s="43" t="s">
        <v>2283</v>
      </c>
      <c r="AN11" s="43">
        <v>9</v>
      </c>
      <c r="AO11" s="43" t="s">
        <v>2228</v>
      </c>
      <c r="AP11" s="43" t="s">
        <v>2254</v>
      </c>
      <c r="AR11" s="16">
        <v>9</v>
      </c>
      <c r="AS11" s="17" t="s">
        <v>11691</v>
      </c>
      <c r="AT11" s="43" t="s">
        <v>11728</v>
      </c>
    </row>
    <row r="12" spans="1:58" ht="16" x14ac:dyDescent="0.2">
      <c r="B12" s="43" t="s">
        <v>2213</v>
      </c>
      <c r="D12" s="43">
        <v>10</v>
      </c>
      <c r="E12" s="43" t="s">
        <v>11533</v>
      </c>
      <c r="F12" s="17" t="s">
        <v>11562</v>
      </c>
      <c r="L12" s="43">
        <v>10</v>
      </c>
      <c r="M12" s="43" t="s">
        <v>2230</v>
      </c>
      <c r="N12" s="43" t="s">
        <v>2286</v>
      </c>
      <c r="X12" s="43">
        <v>10</v>
      </c>
      <c r="Y12" s="43" t="s">
        <v>11677</v>
      </c>
      <c r="Z12" s="43" t="s">
        <v>11654</v>
      </c>
      <c r="AF12" s="43">
        <v>10</v>
      </c>
      <c r="AG12" s="43" t="s">
        <v>2261</v>
      </c>
      <c r="AH12" s="43" t="s">
        <v>2287</v>
      </c>
      <c r="AJ12" s="43">
        <v>10</v>
      </c>
      <c r="AK12" s="43" t="s">
        <v>2226</v>
      </c>
      <c r="AL12" s="43" t="s">
        <v>2288</v>
      </c>
      <c r="AN12" s="43">
        <v>10</v>
      </c>
      <c r="AO12" s="43" t="s">
        <v>2226</v>
      </c>
      <c r="AP12" s="43" t="s">
        <v>2289</v>
      </c>
      <c r="AR12" s="16">
        <v>10</v>
      </c>
      <c r="AS12" s="17" t="s">
        <v>11692</v>
      </c>
      <c r="AT12" s="17" t="s">
        <v>11573</v>
      </c>
    </row>
    <row r="13" spans="1:58" ht="16" x14ac:dyDescent="0.2">
      <c r="B13" s="43" t="s">
        <v>2776</v>
      </c>
      <c r="D13" s="43">
        <v>11</v>
      </c>
      <c r="E13" s="43" t="s">
        <v>11534</v>
      </c>
      <c r="F13" s="17" t="s">
        <v>11563</v>
      </c>
      <c r="L13" s="43">
        <v>11</v>
      </c>
      <c r="M13" s="43" t="s">
        <v>2230</v>
      </c>
      <c r="N13" s="43" t="s">
        <v>2293</v>
      </c>
      <c r="X13" s="43">
        <v>11</v>
      </c>
      <c r="Y13" s="43" t="s">
        <v>2294</v>
      </c>
      <c r="Z13" s="43" t="s">
        <v>2295</v>
      </c>
      <c r="AF13" s="43">
        <v>11</v>
      </c>
      <c r="AG13" s="43" t="s">
        <v>2296</v>
      </c>
      <c r="AH13" s="43" t="s">
        <v>2297</v>
      </c>
      <c r="AJ13" s="43">
        <v>11</v>
      </c>
      <c r="AK13" s="43" t="s">
        <v>2226</v>
      </c>
      <c r="AL13" s="43" t="s">
        <v>2298</v>
      </c>
      <c r="AN13" s="43">
        <v>11</v>
      </c>
      <c r="AO13" s="43" t="s">
        <v>2226</v>
      </c>
      <c r="AP13" s="43" t="s">
        <v>2299</v>
      </c>
      <c r="AR13" s="16">
        <v>11</v>
      </c>
      <c r="AS13" s="17" t="s">
        <v>11693</v>
      </c>
      <c r="AT13" s="43" t="s">
        <v>11729</v>
      </c>
    </row>
    <row r="14" spans="1:58" ht="16" x14ac:dyDescent="0.2">
      <c r="B14" s="43" t="s">
        <v>2214</v>
      </c>
      <c r="D14" s="43">
        <v>12</v>
      </c>
      <c r="E14" s="43" t="s">
        <v>11670</v>
      </c>
      <c r="F14" s="43" t="s">
        <v>11671</v>
      </c>
      <c r="L14" s="43">
        <v>12</v>
      </c>
      <c r="M14" s="43" t="s">
        <v>2230</v>
      </c>
      <c r="N14" s="43" t="s">
        <v>2303</v>
      </c>
      <c r="X14" s="43">
        <v>12</v>
      </c>
      <c r="Y14" s="43" t="s">
        <v>2304</v>
      </c>
      <c r="Z14" s="43" t="s">
        <v>2305</v>
      </c>
      <c r="AF14" s="43">
        <v>12</v>
      </c>
      <c r="AG14" s="43" t="s">
        <v>2296</v>
      </c>
      <c r="AH14" s="43" t="s">
        <v>2306</v>
      </c>
      <c r="AJ14" s="43">
        <v>12</v>
      </c>
      <c r="AK14" s="43" t="s">
        <v>2226</v>
      </c>
      <c r="AL14" s="43" t="s">
        <v>2307</v>
      </c>
      <c r="AN14" s="43">
        <v>12</v>
      </c>
      <c r="AO14" s="43" t="s">
        <v>2226</v>
      </c>
      <c r="AP14" s="43" t="s">
        <v>2308</v>
      </c>
      <c r="AR14" s="16">
        <v>12</v>
      </c>
      <c r="AS14" s="17" t="s">
        <v>11694</v>
      </c>
      <c r="AT14" s="43" t="s">
        <v>11695</v>
      </c>
    </row>
    <row r="15" spans="1:58" ht="32" x14ac:dyDescent="0.2">
      <c r="B15" s="43" t="s">
        <v>2215</v>
      </c>
      <c r="D15" s="43">
        <v>13</v>
      </c>
      <c r="E15" s="43" t="s">
        <v>11669</v>
      </c>
      <c r="F15" s="17" t="s">
        <v>11564</v>
      </c>
      <c r="L15" s="43">
        <v>13</v>
      </c>
      <c r="M15" s="43" t="s">
        <v>2230</v>
      </c>
      <c r="N15" s="43" t="s">
        <v>2310</v>
      </c>
      <c r="X15" s="43">
        <v>13</v>
      </c>
      <c r="Y15" s="43" t="s">
        <v>2311</v>
      </c>
      <c r="Z15" s="43" t="s">
        <v>2312</v>
      </c>
      <c r="AF15" s="43">
        <v>13</v>
      </c>
      <c r="AG15" s="43" t="s">
        <v>2313</v>
      </c>
      <c r="AH15" s="43" t="s">
        <v>2314</v>
      </c>
      <c r="AJ15" s="43">
        <v>13</v>
      </c>
      <c r="AK15" s="43" t="s">
        <v>2226</v>
      </c>
      <c r="AL15" s="43" t="s">
        <v>2315</v>
      </c>
      <c r="AN15" s="43">
        <v>13</v>
      </c>
      <c r="AO15" s="43" t="s">
        <v>2226</v>
      </c>
      <c r="AP15" s="43" t="s">
        <v>2316</v>
      </c>
      <c r="AR15" s="16">
        <v>13</v>
      </c>
      <c r="AS15" s="17" t="s">
        <v>11696</v>
      </c>
      <c r="AT15" s="43" t="s">
        <v>11730</v>
      </c>
    </row>
    <row r="16" spans="1:58" ht="32" x14ac:dyDescent="0.2">
      <c r="B16" s="43" t="s">
        <v>2216</v>
      </c>
      <c r="D16" s="43">
        <v>14</v>
      </c>
      <c r="E16" s="43" t="s">
        <v>11535</v>
      </c>
      <c r="F16" s="17" t="s">
        <v>11656</v>
      </c>
      <c r="L16" s="43">
        <v>14</v>
      </c>
      <c r="M16" s="43" t="s">
        <v>2230</v>
      </c>
      <c r="N16" s="43" t="s">
        <v>2319</v>
      </c>
      <c r="X16" s="43">
        <v>14</v>
      </c>
      <c r="Y16" s="43" t="s">
        <v>2311</v>
      </c>
      <c r="Z16" s="43" t="s">
        <v>2320</v>
      </c>
      <c r="AF16" s="43">
        <v>14</v>
      </c>
      <c r="AG16" s="43" t="s">
        <v>2313</v>
      </c>
      <c r="AH16" s="43" t="s">
        <v>2321</v>
      </c>
      <c r="AJ16" s="43">
        <v>14</v>
      </c>
      <c r="AK16" s="43" t="s">
        <v>2322</v>
      </c>
      <c r="AL16" s="43" t="s">
        <v>2323</v>
      </c>
      <c r="AN16" s="43">
        <v>14</v>
      </c>
      <c r="AO16" s="43" t="s">
        <v>2226</v>
      </c>
      <c r="AP16" s="43" t="s">
        <v>2324</v>
      </c>
      <c r="AR16" s="16">
        <v>14</v>
      </c>
      <c r="AS16" s="17" t="s">
        <v>11518</v>
      </c>
      <c r="AT16" s="17" t="s">
        <v>11706</v>
      </c>
    </row>
    <row r="17" spans="4:46" ht="32" x14ac:dyDescent="0.2">
      <c r="D17" s="43">
        <v>15</v>
      </c>
      <c r="E17" s="43" t="s">
        <v>11536</v>
      </c>
      <c r="F17" s="17" t="s">
        <v>11565</v>
      </c>
      <c r="L17" s="43">
        <v>15</v>
      </c>
      <c r="M17" s="43" t="s">
        <v>2230</v>
      </c>
      <c r="N17" s="43" t="s">
        <v>2328</v>
      </c>
      <c r="X17" s="43">
        <v>15</v>
      </c>
      <c r="Y17" s="43" t="s">
        <v>2329</v>
      </c>
      <c r="Z17" s="43" t="s">
        <v>2330</v>
      </c>
      <c r="AF17" s="43">
        <v>15</v>
      </c>
      <c r="AG17" s="43" t="s">
        <v>2313</v>
      </c>
      <c r="AH17" s="43" t="s">
        <v>2331</v>
      </c>
      <c r="AJ17" s="43">
        <v>15</v>
      </c>
      <c r="AK17" s="43" t="s">
        <v>2322</v>
      </c>
      <c r="AL17" s="43" t="s">
        <v>2332</v>
      </c>
      <c r="AN17" s="43">
        <v>15</v>
      </c>
      <c r="AO17" s="43" t="s">
        <v>2322</v>
      </c>
      <c r="AP17" s="43" t="s">
        <v>2323</v>
      </c>
      <c r="AR17" s="16">
        <v>15</v>
      </c>
      <c r="AS17" s="17" t="s">
        <v>11519</v>
      </c>
      <c r="AT17" s="17" t="s">
        <v>11707</v>
      </c>
    </row>
    <row r="18" spans="4:46" ht="32" x14ac:dyDescent="0.2">
      <c r="D18" s="43">
        <v>16</v>
      </c>
      <c r="E18" s="43" t="s">
        <v>11537</v>
      </c>
      <c r="F18" s="17" t="s">
        <v>11566</v>
      </c>
      <c r="L18" s="43">
        <v>16</v>
      </c>
      <c r="M18" s="43" t="s">
        <v>2230</v>
      </c>
      <c r="N18" s="43" t="s">
        <v>2335</v>
      </c>
      <c r="X18" s="43">
        <v>16</v>
      </c>
      <c r="Y18" s="43" t="s">
        <v>2336</v>
      </c>
      <c r="Z18" s="43" t="s">
        <v>2337</v>
      </c>
      <c r="AF18" s="43">
        <v>16</v>
      </c>
      <c r="AG18" s="43" t="s">
        <v>2230</v>
      </c>
      <c r="AH18" s="43" t="s">
        <v>2338</v>
      </c>
      <c r="AJ18" s="43">
        <v>16</v>
      </c>
      <c r="AK18" s="43" t="s">
        <v>2322</v>
      </c>
      <c r="AL18" s="43" t="s">
        <v>2339</v>
      </c>
      <c r="AN18" s="43">
        <v>16</v>
      </c>
      <c r="AO18" s="43" t="s">
        <v>2322</v>
      </c>
      <c r="AP18" s="43" t="s">
        <v>2332</v>
      </c>
      <c r="AR18" s="16">
        <v>16</v>
      </c>
      <c r="AS18" s="17" t="s">
        <v>11672</v>
      </c>
      <c r="AT18" s="43" t="s">
        <v>11673</v>
      </c>
    </row>
    <row r="19" spans="4:46" ht="32" x14ac:dyDescent="0.2">
      <c r="D19" s="43">
        <v>17</v>
      </c>
      <c r="E19" s="43" t="s">
        <v>11538</v>
      </c>
      <c r="F19" s="17" t="s">
        <v>11567</v>
      </c>
      <c r="L19" s="43">
        <v>17</v>
      </c>
      <c r="M19" s="43" t="s">
        <v>2230</v>
      </c>
      <c r="N19" s="43" t="s">
        <v>2342</v>
      </c>
      <c r="X19" s="43">
        <v>17</v>
      </c>
      <c r="Y19" s="43" t="s">
        <v>2336</v>
      </c>
      <c r="Z19" s="43" t="s">
        <v>2343</v>
      </c>
      <c r="AF19" s="43">
        <v>17</v>
      </c>
      <c r="AG19" s="43" t="s">
        <v>2230</v>
      </c>
      <c r="AH19" s="43" t="s">
        <v>2344</v>
      </c>
      <c r="AJ19" s="43">
        <v>17</v>
      </c>
      <c r="AK19" s="43" t="s">
        <v>2322</v>
      </c>
      <c r="AL19" s="43" t="s">
        <v>2345</v>
      </c>
      <c r="AN19" s="43">
        <v>17</v>
      </c>
      <c r="AO19" s="43" t="s">
        <v>2322</v>
      </c>
      <c r="AP19" s="43" t="s">
        <v>2346</v>
      </c>
      <c r="AR19" s="16">
        <v>17</v>
      </c>
      <c r="AS19" s="17" t="s">
        <v>11697</v>
      </c>
      <c r="AT19" s="17" t="s">
        <v>11708</v>
      </c>
    </row>
    <row r="20" spans="4:46" ht="48" x14ac:dyDescent="0.2">
      <c r="D20" s="43">
        <v>18</v>
      </c>
      <c r="E20" s="43" t="s">
        <v>11539</v>
      </c>
      <c r="F20" s="17" t="s">
        <v>11568</v>
      </c>
      <c r="L20" s="43">
        <v>18</v>
      </c>
      <c r="M20" s="43" t="s">
        <v>2230</v>
      </c>
      <c r="N20" s="43" t="s">
        <v>2350</v>
      </c>
      <c r="X20" s="43">
        <v>18</v>
      </c>
      <c r="Y20" s="43" t="s">
        <v>2336</v>
      </c>
      <c r="Z20" s="43" t="s">
        <v>2351</v>
      </c>
      <c r="AF20" s="43">
        <v>18</v>
      </c>
      <c r="AG20" s="43" t="s">
        <v>2230</v>
      </c>
      <c r="AH20" s="43" t="s">
        <v>2352</v>
      </c>
      <c r="AJ20" s="43">
        <v>18</v>
      </c>
      <c r="AK20" s="43" t="s">
        <v>2322</v>
      </c>
      <c r="AL20" s="43" t="s">
        <v>2353</v>
      </c>
      <c r="AN20" s="43">
        <v>18</v>
      </c>
      <c r="AO20" s="43" t="s">
        <v>2322</v>
      </c>
      <c r="AP20" s="43" t="s">
        <v>2354</v>
      </c>
      <c r="AR20" s="16">
        <v>18</v>
      </c>
      <c r="AS20" s="17" t="s">
        <v>11678</v>
      </c>
      <c r="AT20" s="43" t="s">
        <v>11709</v>
      </c>
    </row>
    <row r="21" spans="4:46" ht="32" x14ac:dyDescent="0.2">
      <c r="D21" s="43">
        <v>19</v>
      </c>
      <c r="E21" s="43" t="s">
        <v>11659</v>
      </c>
      <c r="F21" s="17" t="s">
        <v>11569</v>
      </c>
      <c r="L21" s="43">
        <v>19</v>
      </c>
      <c r="M21" s="43" t="s">
        <v>2230</v>
      </c>
      <c r="N21" s="43" t="s">
        <v>2359</v>
      </c>
      <c r="X21" s="43">
        <v>19</v>
      </c>
      <c r="Y21" s="43" t="s">
        <v>2336</v>
      </c>
      <c r="Z21" s="43" t="s">
        <v>2360</v>
      </c>
      <c r="AF21" s="43">
        <v>19</v>
      </c>
      <c r="AG21" s="43" t="s">
        <v>2230</v>
      </c>
      <c r="AH21" s="43" t="s">
        <v>2361</v>
      </c>
      <c r="AJ21" s="43">
        <v>19</v>
      </c>
      <c r="AK21" s="43" t="s">
        <v>2322</v>
      </c>
      <c r="AL21" s="43" t="s">
        <v>2362</v>
      </c>
      <c r="AN21" s="43">
        <v>19</v>
      </c>
      <c r="AO21" s="43" t="s">
        <v>2322</v>
      </c>
      <c r="AP21" s="43" t="s">
        <v>2339</v>
      </c>
      <c r="AR21" s="16">
        <v>19</v>
      </c>
      <c r="AS21" s="17" t="s">
        <v>11681</v>
      </c>
      <c r="AT21" s="43" t="s">
        <v>11710</v>
      </c>
    </row>
    <row r="22" spans="4:46" ht="16" x14ac:dyDescent="0.2">
      <c r="D22" s="43">
        <v>20</v>
      </c>
      <c r="E22" s="43" t="s">
        <v>11524</v>
      </c>
      <c r="F22" s="17" t="s">
        <v>11657</v>
      </c>
      <c r="L22" s="43">
        <v>20</v>
      </c>
      <c r="M22" s="43" t="s">
        <v>2230</v>
      </c>
      <c r="N22" s="43" t="s">
        <v>2278</v>
      </c>
      <c r="X22" s="43">
        <v>20</v>
      </c>
      <c r="Y22" s="43" t="s">
        <v>2336</v>
      </c>
      <c r="Z22" s="43" t="s">
        <v>2366</v>
      </c>
      <c r="AF22" s="43">
        <v>20</v>
      </c>
      <c r="AG22" s="43" t="s">
        <v>2230</v>
      </c>
      <c r="AH22" s="43" t="s">
        <v>2367</v>
      </c>
      <c r="AJ22" s="43">
        <v>20</v>
      </c>
      <c r="AK22" s="43" t="s">
        <v>2322</v>
      </c>
      <c r="AL22" s="43" t="s">
        <v>2368</v>
      </c>
      <c r="AN22" s="43">
        <v>20</v>
      </c>
      <c r="AO22" s="43" t="s">
        <v>2322</v>
      </c>
      <c r="AP22" s="43" t="s">
        <v>2345</v>
      </c>
      <c r="AR22" s="16">
        <v>20</v>
      </c>
      <c r="AS22" s="17" t="s">
        <v>11700</v>
      </c>
      <c r="AT22" s="17" t="s">
        <v>11711</v>
      </c>
    </row>
    <row r="23" spans="4:46" ht="16" x14ac:dyDescent="0.2">
      <c r="D23" s="43">
        <v>21</v>
      </c>
      <c r="E23" s="43" t="s">
        <v>11540</v>
      </c>
      <c r="F23" s="17" t="s">
        <v>11658</v>
      </c>
      <c r="L23" s="43">
        <v>21</v>
      </c>
      <c r="M23" s="43" t="s">
        <v>2370</v>
      </c>
      <c r="N23" s="43" t="s">
        <v>2371</v>
      </c>
      <c r="X23" s="43">
        <v>21</v>
      </c>
      <c r="Y23" s="43" t="s">
        <v>2336</v>
      </c>
      <c r="Z23" s="43" t="s">
        <v>2372</v>
      </c>
      <c r="AF23" s="43">
        <v>21</v>
      </c>
      <c r="AG23" s="43" t="s">
        <v>2230</v>
      </c>
      <c r="AH23" s="43" t="s">
        <v>2373</v>
      </c>
      <c r="AJ23" s="43">
        <v>21</v>
      </c>
      <c r="AK23" s="43" t="s">
        <v>2322</v>
      </c>
      <c r="AL23" s="43" t="s">
        <v>2374</v>
      </c>
      <c r="AN23" s="43">
        <v>21</v>
      </c>
      <c r="AO23" s="43" t="s">
        <v>2322</v>
      </c>
      <c r="AP23" s="43" t="s">
        <v>2353</v>
      </c>
      <c r="AR23" s="16">
        <v>21</v>
      </c>
      <c r="AS23" s="17" t="s">
        <v>11699</v>
      </c>
      <c r="AT23" s="17" t="s">
        <v>11731</v>
      </c>
    </row>
    <row r="24" spans="4:46" ht="16" x14ac:dyDescent="0.2">
      <c r="D24" s="43">
        <v>22</v>
      </c>
      <c r="E24" s="43" t="s">
        <v>11541</v>
      </c>
      <c r="F24" s="17" t="s">
        <v>11570</v>
      </c>
      <c r="L24" s="43">
        <v>22</v>
      </c>
      <c r="M24" s="43" t="s">
        <v>2376</v>
      </c>
      <c r="N24" s="43" t="s">
        <v>2377</v>
      </c>
      <c r="X24" s="43">
        <v>22</v>
      </c>
      <c r="Y24" s="43" t="s">
        <v>1241</v>
      </c>
      <c r="Z24" s="43" t="s">
        <v>2378</v>
      </c>
      <c r="AF24" s="43">
        <v>22</v>
      </c>
      <c r="AG24" s="43" t="s">
        <v>2230</v>
      </c>
      <c r="AH24" s="43" t="s">
        <v>2379</v>
      </c>
      <c r="AJ24" s="43">
        <v>22</v>
      </c>
      <c r="AK24" s="43" t="s">
        <v>2322</v>
      </c>
      <c r="AL24" s="43" t="s">
        <v>2380</v>
      </c>
      <c r="AN24" s="43">
        <v>22</v>
      </c>
      <c r="AO24" s="43" t="s">
        <v>2322</v>
      </c>
      <c r="AP24" s="43" t="s">
        <v>2362</v>
      </c>
      <c r="AR24" s="16">
        <v>22</v>
      </c>
      <c r="AS24" s="17" t="s">
        <v>11536</v>
      </c>
      <c r="AT24" s="43" t="s">
        <v>11712</v>
      </c>
    </row>
    <row r="25" spans="4:46" ht="16" x14ac:dyDescent="0.2">
      <c r="D25" s="43">
        <v>23</v>
      </c>
      <c r="E25" s="43" t="s">
        <v>11660</v>
      </c>
      <c r="F25" s="43" t="s">
        <v>11661</v>
      </c>
      <c r="L25" s="43">
        <v>23</v>
      </c>
      <c r="M25" s="43" t="s">
        <v>2376</v>
      </c>
      <c r="N25" s="43" t="s">
        <v>2383</v>
      </c>
      <c r="X25" s="43">
        <v>23</v>
      </c>
      <c r="Y25" s="43" t="s">
        <v>1241</v>
      </c>
      <c r="Z25" s="43" t="s">
        <v>2384</v>
      </c>
      <c r="AF25" s="43">
        <v>23</v>
      </c>
      <c r="AG25" s="43" t="s">
        <v>2230</v>
      </c>
      <c r="AH25" s="43" t="s">
        <v>2385</v>
      </c>
      <c r="AJ25" s="43">
        <v>23</v>
      </c>
      <c r="AK25" s="43" t="s">
        <v>2322</v>
      </c>
      <c r="AL25" s="43" t="s">
        <v>2386</v>
      </c>
      <c r="AN25" s="43">
        <v>23</v>
      </c>
      <c r="AO25" s="43" t="s">
        <v>2322</v>
      </c>
      <c r="AP25" s="43" t="s">
        <v>2368</v>
      </c>
      <c r="AR25" s="16">
        <v>23</v>
      </c>
      <c r="AS25" s="17" t="s">
        <v>11535</v>
      </c>
      <c r="AT25" s="43" t="s">
        <v>11713</v>
      </c>
    </row>
    <row r="26" spans="4:46" ht="16" x14ac:dyDescent="0.2">
      <c r="D26" s="43">
        <v>24</v>
      </c>
      <c r="E26" s="43" t="s">
        <v>11518</v>
      </c>
      <c r="F26" s="17" t="s">
        <v>11571</v>
      </c>
      <c r="L26" s="43">
        <v>24</v>
      </c>
      <c r="M26" s="43" t="s">
        <v>2376</v>
      </c>
      <c r="N26" s="43" t="s">
        <v>2389</v>
      </c>
      <c r="X26" s="43">
        <v>24</v>
      </c>
      <c r="Y26" s="43" t="s">
        <v>1241</v>
      </c>
      <c r="Z26" s="43" t="s">
        <v>2390</v>
      </c>
      <c r="AF26" s="43">
        <v>24</v>
      </c>
      <c r="AG26" s="43" t="s">
        <v>2230</v>
      </c>
      <c r="AH26" s="43" t="s">
        <v>2391</v>
      </c>
      <c r="AJ26" s="43">
        <v>24</v>
      </c>
      <c r="AK26" s="43" t="s">
        <v>2322</v>
      </c>
      <c r="AL26" s="43" t="s">
        <v>2392</v>
      </c>
      <c r="AN26" s="43">
        <v>24</v>
      </c>
      <c r="AO26" s="43" t="s">
        <v>2322</v>
      </c>
      <c r="AP26" s="43" t="s">
        <v>2374</v>
      </c>
      <c r="AR26" s="16">
        <v>24</v>
      </c>
      <c r="AS26" s="17" t="s">
        <v>11511</v>
      </c>
      <c r="AT26" s="17" t="s">
        <v>11587</v>
      </c>
    </row>
    <row r="27" spans="4:46" ht="16" x14ac:dyDescent="0.2">
      <c r="D27" s="43">
        <v>25</v>
      </c>
      <c r="E27" s="43" t="s">
        <v>11519</v>
      </c>
      <c r="F27" s="17" t="s">
        <v>11572</v>
      </c>
      <c r="L27" s="43">
        <v>25</v>
      </c>
      <c r="M27" s="43" t="s">
        <v>2376</v>
      </c>
      <c r="N27" s="43" t="s">
        <v>2396</v>
      </c>
      <c r="X27" s="43">
        <v>25</v>
      </c>
      <c r="Y27" s="43" t="s">
        <v>2397</v>
      </c>
      <c r="Z27" s="43" t="s">
        <v>2398</v>
      </c>
      <c r="AF27" s="43">
        <v>25</v>
      </c>
      <c r="AG27" s="43" t="s">
        <v>2230</v>
      </c>
      <c r="AH27" s="43" t="s">
        <v>2399</v>
      </c>
      <c r="AJ27" s="43">
        <v>25</v>
      </c>
      <c r="AK27" s="43" t="s">
        <v>2322</v>
      </c>
      <c r="AL27" s="43" t="s">
        <v>2400</v>
      </c>
      <c r="AN27" s="43">
        <v>25</v>
      </c>
      <c r="AO27" s="43" t="s">
        <v>2322</v>
      </c>
      <c r="AP27" s="43" t="s">
        <v>2380</v>
      </c>
      <c r="AR27" s="16">
        <v>25</v>
      </c>
      <c r="AS27" s="17" t="s">
        <v>11512</v>
      </c>
      <c r="AT27" s="17" t="s">
        <v>11588</v>
      </c>
    </row>
    <row r="28" spans="4:46" ht="16" x14ac:dyDescent="0.2">
      <c r="D28" s="43">
        <v>26</v>
      </c>
      <c r="E28" s="43" t="s">
        <v>11672</v>
      </c>
      <c r="F28" s="43" t="s">
        <v>11673</v>
      </c>
      <c r="L28" s="43">
        <v>26</v>
      </c>
      <c r="M28" s="43" t="s">
        <v>2403</v>
      </c>
      <c r="N28" s="43" t="s">
        <v>2404</v>
      </c>
      <c r="X28" s="43">
        <v>26</v>
      </c>
      <c r="Y28" s="43" t="s">
        <v>2397</v>
      </c>
      <c r="Z28" s="43" t="s">
        <v>2405</v>
      </c>
      <c r="AF28" s="43">
        <v>26</v>
      </c>
      <c r="AG28" s="43" t="s">
        <v>2230</v>
      </c>
      <c r="AH28" s="43" t="s">
        <v>2406</v>
      </c>
      <c r="AJ28" s="43">
        <v>26</v>
      </c>
      <c r="AK28" s="43" t="s">
        <v>2322</v>
      </c>
      <c r="AL28" s="43" t="s">
        <v>2407</v>
      </c>
      <c r="AN28" s="43">
        <v>26</v>
      </c>
      <c r="AO28" s="43" t="s">
        <v>2322</v>
      </c>
      <c r="AP28" s="43" t="s">
        <v>2386</v>
      </c>
      <c r="AR28" s="16">
        <v>26</v>
      </c>
      <c r="AS28" s="17" t="s">
        <v>11513</v>
      </c>
      <c r="AT28" s="17" t="s">
        <v>11715</v>
      </c>
    </row>
    <row r="29" spans="4:46" ht="16" x14ac:dyDescent="0.2">
      <c r="D29" s="43">
        <v>27</v>
      </c>
      <c r="E29" s="43" t="s">
        <v>11542</v>
      </c>
      <c r="F29" s="17" t="s">
        <v>11573</v>
      </c>
      <c r="L29" s="43">
        <v>27</v>
      </c>
      <c r="M29" s="43" t="s">
        <v>2403</v>
      </c>
      <c r="N29" s="43" t="s">
        <v>2386</v>
      </c>
      <c r="X29" s="43">
        <v>27</v>
      </c>
      <c r="Y29" s="43" t="s">
        <v>2397</v>
      </c>
      <c r="Z29" s="43" t="s">
        <v>2410</v>
      </c>
      <c r="AF29" s="43">
        <v>27</v>
      </c>
      <c r="AG29" s="43" t="s">
        <v>2230</v>
      </c>
      <c r="AH29" s="43" t="s">
        <v>2411</v>
      </c>
      <c r="AJ29" s="43">
        <v>27</v>
      </c>
      <c r="AK29" s="43" t="s">
        <v>2376</v>
      </c>
      <c r="AL29" s="43" t="s">
        <v>2389</v>
      </c>
      <c r="AN29" s="43">
        <v>27</v>
      </c>
      <c r="AO29" s="43" t="s">
        <v>2322</v>
      </c>
      <c r="AP29" s="43" t="s">
        <v>2392</v>
      </c>
      <c r="AR29" s="16">
        <v>27</v>
      </c>
      <c r="AS29" s="17" t="s">
        <v>11514</v>
      </c>
      <c r="AT29" s="17" t="s">
        <v>11716</v>
      </c>
    </row>
    <row r="30" spans="4:46" ht="16" x14ac:dyDescent="0.2">
      <c r="D30" s="43">
        <v>28</v>
      </c>
      <c r="E30" s="43" t="s">
        <v>11543</v>
      </c>
      <c r="F30" s="17" t="s">
        <v>11662</v>
      </c>
      <c r="L30" s="43">
        <v>28</v>
      </c>
      <c r="M30" s="43" t="s">
        <v>2403</v>
      </c>
      <c r="N30" s="43" t="s">
        <v>2392</v>
      </c>
      <c r="X30" s="43">
        <v>28</v>
      </c>
      <c r="Y30" s="43" t="s">
        <v>2397</v>
      </c>
      <c r="Z30" s="43" t="s">
        <v>2414</v>
      </c>
      <c r="AF30" s="43">
        <v>28</v>
      </c>
      <c r="AG30" s="43" t="s">
        <v>2230</v>
      </c>
      <c r="AH30" s="43" t="s">
        <v>2415</v>
      </c>
      <c r="AJ30" s="43">
        <v>28</v>
      </c>
      <c r="AK30" s="43" t="s">
        <v>2376</v>
      </c>
      <c r="AL30" s="43" t="s">
        <v>2416</v>
      </c>
      <c r="AN30" s="43">
        <v>28</v>
      </c>
      <c r="AO30" s="43" t="s">
        <v>2322</v>
      </c>
      <c r="AP30" s="43" t="s">
        <v>2400</v>
      </c>
      <c r="AR30" s="16">
        <v>28</v>
      </c>
      <c r="AS30" s="17" t="s">
        <v>11683</v>
      </c>
      <c r="AT30" s="17" t="s">
        <v>11717</v>
      </c>
    </row>
    <row r="31" spans="4:46" ht="16" x14ac:dyDescent="0.2">
      <c r="D31" s="43">
        <v>29</v>
      </c>
      <c r="E31" s="43" t="s">
        <v>11544</v>
      </c>
      <c r="F31" s="17" t="s">
        <v>11574</v>
      </c>
      <c r="L31" s="43">
        <v>29</v>
      </c>
      <c r="M31" s="43" t="s">
        <v>2420</v>
      </c>
      <c r="N31" s="43" t="s">
        <v>2421</v>
      </c>
      <c r="X31" s="43">
        <v>29</v>
      </c>
      <c r="Y31" s="43" t="s">
        <v>2397</v>
      </c>
      <c r="Z31" s="43" t="s">
        <v>2422</v>
      </c>
      <c r="AF31" s="43">
        <v>29</v>
      </c>
      <c r="AG31" s="43" t="s">
        <v>2230</v>
      </c>
      <c r="AH31" s="43" t="s">
        <v>2423</v>
      </c>
      <c r="AJ31" s="43">
        <v>29</v>
      </c>
      <c r="AK31" s="43" t="s">
        <v>2376</v>
      </c>
      <c r="AL31" s="43" t="s">
        <v>2424</v>
      </c>
      <c r="AN31" s="43">
        <v>29</v>
      </c>
      <c r="AO31" s="43" t="s">
        <v>2322</v>
      </c>
      <c r="AP31" s="43" t="s">
        <v>2407</v>
      </c>
      <c r="AR31" s="16">
        <v>29</v>
      </c>
      <c r="AS31" s="17" t="s">
        <v>11682</v>
      </c>
      <c r="AT31" s="43" t="s">
        <v>11718</v>
      </c>
    </row>
    <row r="32" spans="4:46" ht="16" x14ac:dyDescent="0.2">
      <c r="D32" s="43">
        <v>30</v>
      </c>
      <c r="E32" s="43" t="s">
        <v>11545</v>
      </c>
      <c r="F32" s="17" t="s">
        <v>11575</v>
      </c>
      <c r="L32" s="43">
        <v>30</v>
      </c>
      <c r="M32" s="43" t="s">
        <v>2420</v>
      </c>
      <c r="N32" s="43" t="s">
        <v>2426</v>
      </c>
      <c r="X32" s="43">
        <v>30</v>
      </c>
      <c r="Y32" s="43" t="s">
        <v>2427</v>
      </c>
      <c r="Z32" s="43" t="s">
        <v>2428</v>
      </c>
      <c r="AF32" s="43">
        <v>30</v>
      </c>
      <c r="AG32" s="43" t="s">
        <v>2230</v>
      </c>
      <c r="AH32" s="43" t="s">
        <v>2429</v>
      </c>
      <c r="AJ32" s="43">
        <v>30</v>
      </c>
      <c r="AK32" s="43" t="s">
        <v>2376</v>
      </c>
      <c r="AL32" s="43" t="s">
        <v>2396</v>
      </c>
      <c r="AN32" s="43">
        <v>30</v>
      </c>
      <c r="AO32" s="43" t="s">
        <v>2322</v>
      </c>
      <c r="AP32" s="43" t="s">
        <v>2430</v>
      </c>
      <c r="AR32" s="16">
        <v>30</v>
      </c>
      <c r="AS32" s="17" t="s">
        <v>11515</v>
      </c>
      <c r="AT32" s="17" t="s">
        <v>11719</v>
      </c>
    </row>
    <row r="33" spans="4:46" ht="16" x14ac:dyDescent="0.2">
      <c r="D33" s="43">
        <v>31</v>
      </c>
      <c r="E33" s="43" t="s">
        <v>11664</v>
      </c>
      <c r="F33" s="17" t="s">
        <v>11665</v>
      </c>
      <c r="L33" s="43">
        <v>31</v>
      </c>
      <c r="M33" s="43" t="s">
        <v>2420</v>
      </c>
      <c r="N33" s="43" t="s">
        <v>2433</v>
      </c>
      <c r="X33" s="43">
        <v>31</v>
      </c>
      <c r="Y33" s="43" t="s">
        <v>2427</v>
      </c>
      <c r="Z33" s="43" t="s">
        <v>2434</v>
      </c>
      <c r="AF33" s="43">
        <v>31</v>
      </c>
      <c r="AG33" s="43" t="s">
        <v>2435</v>
      </c>
      <c r="AH33" s="43" t="s">
        <v>2436</v>
      </c>
      <c r="AJ33" s="43">
        <v>31</v>
      </c>
      <c r="AK33" s="43" t="s">
        <v>2376</v>
      </c>
      <c r="AL33" s="43" t="s">
        <v>2437</v>
      </c>
      <c r="AN33" s="43">
        <v>31</v>
      </c>
      <c r="AO33" s="43" t="s">
        <v>2322</v>
      </c>
      <c r="AP33" s="43" t="s">
        <v>2438</v>
      </c>
      <c r="AR33" s="16">
        <v>31</v>
      </c>
      <c r="AS33" s="17" t="s">
        <v>11516</v>
      </c>
      <c r="AT33" s="17" t="s">
        <v>11732</v>
      </c>
    </row>
    <row r="34" spans="4:46" ht="16" x14ac:dyDescent="0.2">
      <c r="D34" s="43">
        <v>32</v>
      </c>
      <c r="E34" s="43" t="s">
        <v>11663</v>
      </c>
      <c r="F34" s="43" t="s">
        <v>11666</v>
      </c>
      <c r="L34" s="43">
        <v>32</v>
      </c>
      <c r="M34" s="43" t="s">
        <v>2420</v>
      </c>
      <c r="N34" s="43" t="s">
        <v>2441</v>
      </c>
      <c r="X34" s="43">
        <v>32</v>
      </c>
      <c r="Y34" s="43" t="s">
        <v>2427</v>
      </c>
      <c r="Z34" s="43" t="s">
        <v>2442</v>
      </c>
      <c r="AF34" s="43">
        <v>32</v>
      </c>
      <c r="AG34" s="43" t="s">
        <v>2435</v>
      </c>
      <c r="AH34" s="43" t="s">
        <v>2443</v>
      </c>
      <c r="AJ34" s="43">
        <v>32</v>
      </c>
      <c r="AK34" s="43" t="s">
        <v>2230</v>
      </c>
      <c r="AL34" s="43" t="s">
        <v>2444</v>
      </c>
      <c r="AN34" s="43">
        <v>32</v>
      </c>
      <c r="AO34" s="43" t="s">
        <v>2322</v>
      </c>
      <c r="AP34" s="43" t="s">
        <v>2445</v>
      </c>
      <c r="AR34" s="16">
        <v>32</v>
      </c>
      <c r="AS34" s="17" t="s">
        <v>11517</v>
      </c>
      <c r="AT34" s="17" t="s">
        <v>11589</v>
      </c>
    </row>
    <row r="35" spans="4:46" ht="16" x14ac:dyDescent="0.2">
      <c r="D35" s="43">
        <v>33</v>
      </c>
      <c r="E35" s="43" t="s">
        <v>11546</v>
      </c>
      <c r="F35" s="17" t="s">
        <v>11576</v>
      </c>
      <c r="L35" s="43">
        <v>33</v>
      </c>
      <c r="M35" s="43" t="s">
        <v>2224</v>
      </c>
      <c r="N35" s="43" t="s">
        <v>2447</v>
      </c>
      <c r="X35" s="43">
        <v>33</v>
      </c>
      <c r="Y35" s="43" t="s">
        <v>2448</v>
      </c>
      <c r="Z35" s="43" t="s">
        <v>2449</v>
      </c>
      <c r="AF35" s="43">
        <v>33</v>
      </c>
      <c r="AG35" s="43" t="s">
        <v>2435</v>
      </c>
      <c r="AH35" s="43" t="s">
        <v>2450</v>
      </c>
      <c r="AJ35" s="43">
        <v>33</v>
      </c>
      <c r="AK35" s="43" t="s">
        <v>2230</v>
      </c>
      <c r="AL35" s="43" t="s">
        <v>2451</v>
      </c>
      <c r="AN35" s="43">
        <v>33</v>
      </c>
      <c r="AO35" s="43" t="s">
        <v>2322</v>
      </c>
      <c r="AP35" s="43" t="s">
        <v>2452</v>
      </c>
      <c r="AR35" s="16">
        <v>33</v>
      </c>
      <c r="AS35" s="17" t="s">
        <v>11521</v>
      </c>
      <c r="AT35" s="17" t="s">
        <v>11720</v>
      </c>
    </row>
    <row r="36" spans="4:46" ht="16" x14ac:dyDescent="0.2">
      <c r="D36" s="43">
        <v>34</v>
      </c>
      <c r="E36" s="43" t="s">
        <v>11547</v>
      </c>
      <c r="F36" s="17" t="s">
        <v>11577</v>
      </c>
      <c r="L36" s="43">
        <v>34</v>
      </c>
      <c r="M36" s="43" t="s">
        <v>2224</v>
      </c>
      <c r="N36" s="43" t="s">
        <v>2453</v>
      </c>
      <c r="X36" s="43">
        <v>34</v>
      </c>
      <c r="Y36" s="43" t="s">
        <v>2448</v>
      </c>
      <c r="Z36" s="43" t="s">
        <v>2454</v>
      </c>
      <c r="AF36" s="43">
        <v>34</v>
      </c>
      <c r="AG36" s="43" t="s">
        <v>2435</v>
      </c>
      <c r="AH36" s="43" t="s">
        <v>2455</v>
      </c>
      <c r="AJ36" s="43">
        <v>34</v>
      </c>
      <c r="AK36" s="43" t="s">
        <v>2230</v>
      </c>
      <c r="AL36" s="43" t="s">
        <v>2456</v>
      </c>
      <c r="AN36" s="43">
        <v>34</v>
      </c>
      <c r="AO36" s="43" t="s">
        <v>2322</v>
      </c>
      <c r="AP36" s="43" t="s">
        <v>2457</v>
      </c>
      <c r="AR36" s="16">
        <v>34</v>
      </c>
      <c r="AS36" s="17" t="s">
        <v>11714</v>
      </c>
      <c r="AT36" s="17" t="s">
        <v>11721</v>
      </c>
    </row>
    <row r="37" spans="4:46" ht="16" x14ac:dyDescent="0.2">
      <c r="D37" s="43">
        <v>35</v>
      </c>
      <c r="E37" s="43" t="s">
        <v>11548</v>
      </c>
      <c r="F37" s="17" t="s">
        <v>11578</v>
      </c>
      <c r="L37" s="43">
        <v>35</v>
      </c>
      <c r="M37" s="43" t="s">
        <v>2458</v>
      </c>
      <c r="N37" s="43" t="s">
        <v>2459</v>
      </c>
      <c r="X37" s="43">
        <v>35</v>
      </c>
      <c r="Y37" s="43" t="s">
        <v>2460</v>
      </c>
      <c r="Z37" s="43" t="s">
        <v>2461</v>
      </c>
      <c r="AF37" s="43">
        <v>35</v>
      </c>
      <c r="AG37" s="43" t="s">
        <v>2435</v>
      </c>
      <c r="AH37" s="43" t="s">
        <v>2462</v>
      </c>
      <c r="AJ37" s="43">
        <v>35</v>
      </c>
      <c r="AK37" s="43" t="s">
        <v>2230</v>
      </c>
      <c r="AL37" s="43" t="s">
        <v>2463</v>
      </c>
      <c r="AN37" s="43">
        <v>35</v>
      </c>
      <c r="AO37" s="43" t="s">
        <v>2322</v>
      </c>
      <c r="AP37" s="43" t="s">
        <v>2464</v>
      </c>
      <c r="AR37" s="16">
        <v>35</v>
      </c>
      <c r="AS37" s="17" t="s">
        <v>11522</v>
      </c>
      <c r="AT37" s="17" t="s">
        <v>11590</v>
      </c>
    </row>
    <row r="38" spans="4:46" ht="16" x14ac:dyDescent="0.2">
      <c r="D38" s="43">
        <v>36</v>
      </c>
      <c r="E38" s="43" t="s">
        <v>11520</v>
      </c>
      <c r="F38" s="17" t="s">
        <v>11579</v>
      </c>
      <c r="L38" s="43">
        <v>36</v>
      </c>
      <c r="M38" s="43" t="s">
        <v>2458</v>
      </c>
      <c r="N38" s="43" t="s">
        <v>2466</v>
      </c>
      <c r="X38" s="43">
        <v>36</v>
      </c>
      <c r="Y38" s="43" t="s">
        <v>2460</v>
      </c>
      <c r="Z38" s="43" t="s">
        <v>2467</v>
      </c>
      <c r="AF38" s="43">
        <v>36</v>
      </c>
      <c r="AG38" s="43" t="s">
        <v>2468</v>
      </c>
      <c r="AH38" s="43" t="s">
        <v>2469</v>
      </c>
      <c r="AJ38" s="43">
        <v>36</v>
      </c>
      <c r="AK38" s="43" t="s">
        <v>2230</v>
      </c>
      <c r="AL38" s="43" t="s">
        <v>2470</v>
      </c>
      <c r="AN38" s="43">
        <v>36</v>
      </c>
      <c r="AO38" s="43" t="s">
        <v>2322</v>
      </c>
      <c r="AP38" s="43" t="s">
        <v>2471</v>
      </c>
      <c r="AR38" s="16">
        <v>36</v>
      </c>
      <c r="AS38" s="17" t="s">
        <v>11523</v>
      </c>
      <c r="AT38" s="17" t="s">
        <v>11591</v>
      </c>
    </row>
    <row r="39" spans="4:46" ht="16" x14ac:dyDescent="0.2">
      <c r="D39" s="43">
        <v>37</v>
      </c>
      <c r="E39" s="43" t="s">
        <v>11678</v>
      </c>
      <c r="F39" s="43" t="s">
        <v>11680</v>
      </c>
      <c r="L39" s="43">
        <v>37</v>
      </c>
      <c r="M39" s="43" t="s">
        <v>2474</v>
      </c>
      <c r="N39" s="43" t="s">
        <v>2475</v>
      </c>
      <c r="X39" s="43">
        <v>37</v>
      </c>
      <c r="Y39" s="43" t="s">
        <v>2460</v>
      </c>
      <c r="Z39" s="43" t="s">
        <v>2476</v>
      </c>
      <c r="AF39" s="43">
        <v>37</v>
      </c>
      <c r="AG39" s="43" t="s">
        <v>2468</v>
      </c>
      <c r="AH39" s="43" t="s">
        <v>2477</v>
      </c>
      <c r="AJ39" s="43">
        <v>37</v>
      </c>
      <c r="AK39" s="43" t="s">
        <v>2230</v>
      </c>
      <c r="AL39" s="43" t="s">
        <v>2478</v>
      </c>
      <c r="AN39" s="43">
        <v>37</v>
      </c>
      <c r="AO39" s="43" t="s">
        <v>2322</v>
      </c>
      <c r="AP39" s="43" t="s">
        <v>2479</v>
      </c>
      <c r="AR39" s="16">
        <v>37</v>
      </c>
      <c r="AS39" s="17" t="s">
        <v>11524</v>
      </c>
      <c r="AT39" s="17" t="s">
        <v>11592</v>
      </c>
    </row>
    <row r="40" spans="4:46" ht="16" x14ac:dyDescent="0.2">
      <c r="D40" s="43">
        <v>38</v>
      </c>
      <c r="E40" s="43" t="s">
        <v>11681</v>
      </c>
      <c r="F40" s="43" t="s">
        <v>11679</v>
      </c>
      <c r="L40" s="43">
        <v>38</v>
      </c>
      <c r="M40" s="43" t="s">
        <v>2474</v>
      </c>
      <c r="N40" s="43" t="s">
        <v>2482</v>
      </c>
      <c r="X40" s="43">
        <v>38</v>
      </c>
      <c r="Y40" s="43" t="s">
        <v>2460</v>
      </c>
      <c r="Z40" s="43" t="s">
        <v>2483</v>
      </c>
      <c r="AF40" s="43">
        <v>38</v>
      </c>
      <c r="AG40" s="43" t="s">
        <v>2484</v>
      </c>
      <c r="AH40" s="43" t="s">
        <v>2485</v>
      </c>
      <c r="AJ40" s="43">
        <v>38</v>
      </c>
      <c r="AK40" s="43" t="s">
        <v>2486</v>
      </c>
      <c r="AL40" s="43" t="s">
        <v>2487</v>
      </c>
      <c r="AN40" s="43">
        <v>38</v>
      </c>
      <c r="AO40" s="43" t="s">
        <v>2488</v>
      </c>
      <c r="AP40" s="43" t="s">
        <v>2489</v>
      </c>
      <c r="AR40" s="16">
        <v>38</v>
      </c>
      <c r="AS40" s="17" t="s">
        <v>11525</v>
      </c>
      <c r="AT40" s="17" t="s">
        <v>11722</v>
      </c>
    </row>
    <row r="41" spans="4:46" ht="16" x14ac:dyDescent="0.2">
      <c r="D41" s="43">
        <v>39</v>
      </c>
      <c r="E41" s="43" t="s">
        <v>11549</v>
      </c>
      <c r="F41" s="17" t="s">
        <v>11580</v>
      </c>
      <c r="L41" s="43">
        <v>39</v>
      </c>
      <c r="M41" s="43" t="s">
        <v>2228</v>
      </c>
      <c r="N41" s="43" t="s">
        <v>2491</v>
      </c>
      <c r="X41" s="43">
        <v>39</v>
      </c>
      <c r="Y41" s="43" t="s">
        <v>2460</v>
      </c>
      <c r="Z41" s="43" t="s">
        <v>2492</v>
      </c>
      <c r="AF41" s="43">
        <v>39</v>
      </c>
      <c r="AG41" s="43" t="s">
        <v>2484</v>
      </c>
      <c r="AH41" s="43" t="s">
        <v>2493</v>
      </c>
      <c r="AJ41" s="43">
        <v>39</v>
      </c>
      <c r="AK41" s="43" t="s">
        <v>2486</v>
      </c>
      <c r="AL41" s="43" t="s">
        <v>2494</v>
      </c>
      <c r="AN41" s="43">
        <v>39</v>
      </c>
      <c r="AO41" s="43" t="s">
        <v>2376</v>
      </c>
      <c r="AP41" s="43" t="s">
        <v>2389</v>
      </c>
      <c r="AR41" s="16">
        <v>39</v>
      </c>
      <c r="AS41" s="17" t="s">
        <v>11526</v>
      </c>
      <c r="AT41" s="17" t="s">
        <v>11723</v>
      </c>
    </row>
    <row r="42" spans="4:46" ht="16" x14ac:dyDescent="0.2">
      <c r="D42" s="43">
        <v>40</v>
      </c>
      <c r="E42" s="43" t="s">
        <v>11550</v>
      </c>
      <c r="F42" s="17" t="s">
        <v>11581</v>
      </c>
      <c r="L42" s="43">
        <v>40</v>
      </c>
      <c r="M42" s="43" t="s">
        <v>2228</v>
      </c>
      <c r="N42" s="43" t="s">
        <v>2497</v>
      </c>
      <c r="X42" s="43">
        <v>40</v>
      </c>
      <c r="Y42" s="43" t="s">
        <v>2460</v>
      </c>
      <c r="Z42" s="43" t="s">
        <v>2498</v>
      </c>
      <c r="AF42" s="43">
        <v>40</v>
      </c>
      <c r="AG42" s="43" t="s">
        <v>2484</v>
      </c>
      <c r="AH42" s="43" t="s">
        <v>2499</v>
      </c>
      <c r="AJ42" s="43">
        <v>40</v>
      </c>
      <c r="AK42" s="43" t="s">
        <v>2486</v>
      </c>
      <c r="AL42" s="43" t="s">
        <v>2500</v>
      </c>
      <c r="AN42" s="43">
        <v>40</v>
      </c>
      <c r="AO42" s="43" t="s">
        <v>2376</v>
      </c>
      <c r="AP42" s="43" t="s">
        <v>2416</v>
      </c>
      <c r="AR42" s="16">
        <v>40</v>
      </c>
      <c r="AS42" s="17" t="s">
        <v>11527</v>
      </c>
      <c r="AT42" s="17" t="s">
        <v>11724</v>
      </c>
    </row>
    <row r="43" spans="4:46" ht="16" x14ac:dyDescent="0.2">
      <c r="D43" s="43">
        <v>41</v>
      </c>
      <c r="E43" s="43" t="s">
        <v>11551</v>
      </c>
      <c r="F43" s="17" t="s">
        <v>11582</v>
      </c>
      <c r="L43" s="43">
        <v>41</v>
      </c>
      <c r="M43" s="43" t="s">
        <v>2228</v>
      </c>
      <c r="N43" s="43" t="s">
        <v>2247</v>
      </c>
      <c r="X43" s="43">
        <v>41</v>
      </c>
      <c r="Y43" s="43" t="s">
        <v>2460</v>
      </c>
      <c r="Z43" s="43" t="s">
        <v>2502</v>
      </c>
      <c r="AF43" s="43">
        <v>41</v>
      </c>
      <c r="AG43" s="43" t="s">
        <v>2503</v>
      </c>
      <c r="AH43" s="43" t="s">
        <v>2504</v>
      </c>
      <c r="AJ43" s="43">
        <v>41</v>
      </c>
      <c r="AK43" s="43" t="s">
        <v>2486</v>
      </c>
      <c r="AL43" s="43" t="s">
        <v>2505</v>
      </c>
      <c r="AN43" s="43">
        <v>41</v>
      </c>
      <c r="AO43" s="43" t="s">
        <v>2376</v>
      </c>
      <c r="AP43" s="43" t="s">
        <v>2424</v>
      </c>
      <c r="AR43" s="16">
        <v>41</v>
      </c>
      <c r="AS43" s="17" t="s">
        <v>11528</v>
      </c>
      <c r="AT43" s="17" t="s">
        <v>11725</v>
      </c>
    </row>
    <row r="44" spans="4:46" ht="16" x14ac:dyDescent="0.2">
      <c r="D44" s="43">
        <v>42</v>
      </c>
      <c r="E44" s="43" t="s">
        <v>11552</v>
      </c>
      <c r="F44" s="17" t="s">
        <v>11583</v>
      </c>
      <c r="L44" s="43">
        <v>42</v>
      </c>
      <c r="M44" s="43" t="s">
        <v>2228</v>
      </c>
      <c r="N44" s="43" t="s">
        <v>2255</v>
      </c>
      <c r="X44" s="43">
        <v>42</v>
      </c>
      <c r="Y44" s="43" t="s">
        <v>2508</v>
      </c>
      <c r="Z44" s="43" t="s">
        <v>2509</v>
      </c>
      <c r="AF44" s="43">
        <v>42</v>
      </c>
      <c r="AG44" s="43" t="s">
        <v>2503</v>
      </c>
      <c r="AH44" s="43" t="s">
        <v>2510</v>
      </c>
      <c r="AJ44" s="43">
        <v>42</v>
      </c>
      <c r="AK44" s="43" t="s">
        <v>2486</v>
      </c>
      <c r="AL44" s="43" t="s">
        <v>2511</v>
      </c>
      <c r="AN44" s="43">
        <v>42</v>
      </c>
      <c r="AO44" s="43" t="s">
        <v>2376</v>
      </c>
      <c r="AP44" s="43" t="s">
        <v>2396</v>
      </c>
      <c r="AR44" s="16">
        <v>42</v>
      </c>
      <c r="AS44" s="17" t="s">
        <v>11529</v>
      </c>
      <c r="AT44" s="17" t="s">
        <v>11726</v>
      </c>
    </row>
    <row r="45" spans="4:46" ht="16" x14ac:dyDescent="0.2">
      <c r="D45" s="43">
        <v>43</v>
      </c>
      <c r="E45" s="43" t="s">
        <v>11553</v>
      </c>
      <c r="F45" s="17" t="s">
        <v>11667</v>
      </c>
      <c r="L45" s="43">
        <v>43</v>
      </c>
      <c r="M45" s="43" t="s">
        <v>2228</v>
      </c>
      <c r="N45" s="43" t="s">
        <v>2513</v>
      </c>
      <c r="X45" s="43">
        <v>43</v>
      </c>
      <c r="Y45" s="43" t="s">
        <v>2233</v>
      </c>
      <c r="AF45" s="43">
        <v>43</v>
      </c>
      <c r="AG45" s="43" t="s">
        <v>2514</v>
      </c>
      <c r="AH45" s="43" t="s">
        <v>2515</v>
      </c>
      <c r="AJ45" s="43">
        <v>43</v>
      </c>
      <c r="AK45" s="43" t="s">
        <v>2516</v>
      </c>
      <c r="AL45" s="43" t="s">
        <v>2517</v>
      </c>
      <c r="AN45" s="43">
        <v>43</v>
      </c>
      <c r="AO45" s="43" t="s">
        <v>2376</v>
      </c>
      <c r="AP45" s="43" t="s">
        <v>2437</v>
      </c>
      <c r="AS45" s="17"/>
    </row>
    <row r="46" spans="4:46" ht="16" x14ac:dyDescent="0.2">
      <c r="D46" s="43">
        <v>44</v>
      </c>
      <c r="E46" s="43" t="s">
        <v>11554</v>
      </c>
      <c r="F46" s="17" t="s">
        <v>11584</v>
      </c>
      <c r="L46" s="43">
        <v>44</v>
      </c>
      <c r="M46" s="43" t="s">
        <v>2519</v>
      </c>
      <c r="N46" s="43" t="s">
        <v>2520</v>
      </c>
      <c r="X46" s="43">
        <v>44</v>
      </c>
      <c r="Y46" s="43" t="s">
        <v>2521</v>
      </c>
      <c r="AF46" s="43">
        <v>44</v>
      </c>
      <c r="AG46" s="43" t="s">
        <v>2514</v>
      </c>
      <c r="AH46" s="43" t="s">
        <v>2522</v>
      </c>
      <c r="AJ46" s="43">
        <v>44</v>
      </c>
      <c r="AK46" s="43" t="s">
        <v>2516</v>
      </c>
      <c r="AL46" s="43" t="s">
        <v>2523</v>
      </c>
      <c r="AN46" s="43">
        <v>44</v>
      </c>
      <c r="AO46" s="43" t="s">
        <v>2230</v>
      </c>
      <c r="AP46" s="43" t="s">
        <v>2444</v>
      </c>
      <c r="AS46" s="17"/>
    </row>
    <row r="47" spans="4:46" ht="16" x14ac:dyDescent="0.2">
      <c r="D47" s="43">
        <v>45</v>
      </c>
      <c r="E47" s="43" t="s">
        <v>11555</v>
      </c>
      <c r="F47" s="17" t="s">
        <v>11668</v>
      </c>
      <c r="L47" s="43">
        <v>45</v>
      </c>
      <c r="M47" s="43" t="s">
        <v>2519</v>
      </c>
      <c r="N47" s="43" t="s">
        <v>2525</v>
      </c>
      <c r="AF47" s="43">
        <v>45</v>
      </c>
      <c r="AG47" s="43" t="s">
        <v>2514</v>
      </c>
      <c r="AH47" s="43" t="s">
        <v>2526</v>
      </c>
      <c r="AJ47" s="43">
        <v>45</v>
      </c>
      <c r="AK47" s="43" t="s">
        <v>2516</v>
      </c>
      <c r="AL47" s="43" t="s">
        <v>2527</v>
      </c>
      <c r="AN47" s="43">
        <v>45</v>
      </c>
      <c r="AO47" s="43" t="s">
        <v>2230</v>
      </c>
      <c r="AP47" s="43" t="s">
        <v>2451</v>
      </c>
      <c r="AS47" s="17"/>
    </row>
    <row r="48" spans="4:46" ht="16" x14ac:dyDescent="0.2">
      <c r="D48" s="43">
        <v>46</v>
      </c>
      <c r="E48" s="43" t="s">
        <v>11556</v>
      </c>
      <c r="F48" s="17" t="s">
        <v>11585</v>
      </c>
      <c r="L48" s="43">
        <v>46</v>
      </c>
      <c r="M48" s="43" t="s">
        <v>2519</v>
      </c>
      <c r="N48" s="43" t="s">
        <v>2530</v>
      </c>
      <c r="AF48" s="43">
        <v>46</v>
      </c>
      <c r="AG48" s="43" t="s">
        <v>2514</v>
      </c>
      <c r="AH48" s="43" t="s">
        <v>2531</v>
      </c>
      <c r="AJ48" s="43">
        <v>46</v>
      </c>
      <c r="AK48" s="43" t="s">
        <v>2516</v>
      </c>
      <c r="AL48" s="43" t="s">
        <v>2532</v>
      </c>
      <c r="AN48" s="43">
        <v>46</v>
      </c>
      <c r="AO48" s="43" t="s">
        <v>2230</v>
      </c>
      <c r="AP48" s="43" t="s">
        <v>2456</v>
      </c>
      <c r="AS48" s="17"/>
    </row>
    <row r="49" spans="4:45" ht="16" x14ac:dyDescent="0.2">
      <c r="D49" s="43">
        <v>47</v>
      </c>
      <c r="E49" s="43" t="s">
        <v>11557</v>
      </c>
      <c r="F49" s="17" t="s">
        <v>11586</v>
      </c>
      <c r="L49" s="43">
        <v>47</v>
      </c>
      <c r="M49" s="43" t="s">
        <v>2535</v>
      </c>
      <c r="N49" s="43" t="s">
        <v>2536</v>
      </c>
      <c r="AF49" s="43">
        <v>47</v>
      </c>
      <c r="AG49" s="43" t="s">
        <v>2537</v>
      </c>
      <c r="AH49" s="43" t="s">
        <v>2538</v>
      </c>
      <c r="AJ49" s="43">
        <v>47</v>
      </c>
      <c r="AK49" s="43" t="s">
        <v>2516</v>
      </c>
      <c r="AL49" s="43" t="s">
        <v>2539</v>
      </c>
      <c r="AN49" s="43">
        <v>47</v>
      </c>
      <c r="AO49" s="43" t="s">
        <v>2230</v>
      </c>
      <c r="AP49" s="43" t="s">
        <v>2463</v>
      </c>
      <c r="AS49" s="17"/>
    </row>
    <row r="50" spans="4:45" ht="16" x14ac:dyDescent="0.2">
      <c r="D50" s="43">
        <v>48</v>
      </c>
      <c r="E50" s="43" t="s">
        <v>2616</v>
      </c>
      <c r="F50" s="43" t="s">
        <v>2617</v>
      </c>
      <c r="L50" s="43">
        <v>48</v>
      </c>
      <c r="M50" s="43" t="s">
        <v>2535</v>
      </c>
      <c r="N50" s="43" t="s">
        <v>2543</v>
      </c>
      <c r="AF50" s="43">
        <v>48</v>
      </c>
      <c r="AG50" s="43" t="s">
        <v>2537</v>
      </c>
      <c r="AH50" s="43" t="s">
        <v>2544</v>
      </c>
      <c r="AJ50" s="43">
        <v>48</v>
      </c>
      <c r="AK50" s="43" t="s">
        <v>2516</v>
      </c>
      <c r="AL50" s="43" t="s">
        <v>2545</v>
      </c>
      <c r="AN50" s="43">
        <v>48</v>
      </c>
      <c r="AO50" s="43" t="s">
        <v>2230</v>
      </c>
      <c r="AP50" s="43" t="s">
        <v>2470</v>
      </c>
      <c r="AS50" s="17"/>
    </row>
    <row r="51" spans="4:45" ht="16" x14ac:dyDescent="0.2">
      <c r="AF51" s="43">
        <v>49</v>
      </c>
      <c r="AG51" s="43" t="s">
        <v>2537</v>
      </c>
      <c r="AH51" s="43" t="s">
        <v>2548</v>
      </c>
      <c r="AJ51" s="43">
        <v>49</v>
      </c>
      <c r="AK51" s="43" t="s">
        <v>2516</v>
      </c>
      <c r="AL51" s="43" t="s">
        <v>2549</v>
      </c>
      <c r="AN51" s="43">
        <v>49</v>
      </c>
      <c r="AO51" s="43" t="s">
        <v>2230</v>
      </c>
      <c r="AP51" s="43" t="s">
        <v>2478</v>
      </c>
      <c r="AS51" s="17"/>
    </row>
    <row r="52" spans="4:45" ht="16" x14ac:dyDescent="0.2">
      <c r="AF52" s="43">
        <v>50</v>
      </c>
      <c r="AG52" s="43" t="s">
        <v>2537</v>
      </c>
      <c r="AH52" s="43" t="s">
        <v>2552</v>
      </c>
      <c r="AJ52" s="43">
        <v>50</v>
      </c>
      <c r="AK52" s="43" t="s">
        <v>2516</v>
      </c>
      <c r="AL52" s="43" t="s">
        <v>2553</v>
      </c>
      <c r="AN52" s="43">
        <v>50</v>
      </c>
      <c r="AO52" s="43" t="s">
        <v>2486</v>
      </c>
      <c r="AP52" s="43" t="s">
        <v>2487</v>
      </c>
      <c r="AS52" s="17"/>
    </row>
    <row r="53" spans="4:45" ht="16" x14ac:dyDescent="0.2">
      <c r="AF53" s="43">
        <v>51</v>
      </c>
      <c r="AG53" s="43" t="s">
        <v>2537</v>
      </c>
      <c r="AH53" s="43" t="s">
        <v>2556</v>
      </c>
      <c r="AJ53" s="43">
        <v>51</v>
      </c>
      <c r="AK53" s="43" t="s">
        <v>2516</v>
      </c>
      <c r="AL53" s="43" t="s">
        <v>2557</v>
      </c>
      <c r="AN53" s="43">
        <v>51</v>
      </c>
      <c r="AO53" s="43" t="s">
        <v>2486</v>
      </c>
      <c r="AP53" s="43" t="s">
        <v>2494</v>
      </c>
      <c r="AS53" s="17"/>
    </row>
    <row r="54" spans="4:45" ht="16" x14ac:dyDescent="0.2">
      <c r="AF54" s="43">
        <v>52</v>
      </c>
      <c r="AG54" s="43" t="s">
        <v>2537</v>
      </c>
      <c r="AH54" s="43" t="s">
        <v>2559</v>
      </c>
      <c r="AJ54" s="43">
        <v>52</v>
      </c>
      <c r="AK54" s="43" t="s">
        <v>2560</v>
      </c>
      <c r="AL54" s="43" t="s">
        <v>2561</v>
      </c>
      <c r="AN54" s="43">
        <v>52</v>
      </c>
      <c r="AO54" s="43" t="s">
        <v>2486</v>
      </c>
      <c r="AP54" s="43" t="s">
        <v>2500</v>
      </c>
      <c r="AS54" s="17"/>
    </row>
    <row r="55" spans="4:45" ht="16" x14ac:dyDescent="0.2">
      <c r="AF55" s="43">
        <v>53</v>
      </c>
      <c r="AG55" s="43" t="s">
        <v>2563</v>
      </c>
      <c r="AH55" s="43" t="s">
        <v>2564</v>
      </c>
      <c r="AJ55" s="43">
        <v>53</v>
      </c>
      <c r="AK55" s="43" t="s">
        <v>2560</v>
      </c>
      <c r="AL55" s="43" t="s">
        <v>2565</v>
      </c>
      <c r="AN55" s="43">
        <v>53</v>
      </c>
      <c r="AO55" s="43" t="s">
        <v>2486</v>
      </c>
      <c r="AP55" s="43" t="s">
        <v>2505</v>
      </c>
      <c r="AS55" s="17"/>
    </row>
    <row r="56" spans="4:45" ht="16" x14ac:dyDescent="0.2">
      <c r="AF56" s="43">
        <v>54</v>
      </c>
      <c r="AG56" s="43" t="s">
        <v>2563</v>
      </c>
      <c r="AH56" s="43" t="s">
        <v>2567</v>
      </c>
      <c r="AJ56" s="43">
        <v>54</v>
      </c>
      <c r="AK56" s="43" t="s">
        <v>2560</v>
      </c>
      <c r="AL56" s="43" t="s">
        <v>2568</v>
      </c>
      <c r="AN56" s="43">
        <v>54</v>
      </c>
      <c r="AO56" s="43" t="s">
        <v>2486</v>
      </c>
      <c r="AP56" s="43" t="s">
        <v>2511</v>
      </c>
      <c r="AS56" s="17"/>
    </row>
    <row r="57" spans="4:45" ht="16" x14ac:dyDescent="0.2">
      <c r="AF57" s="43">
        <v>55</v>
      </c>
      <c r="AG57" s="43" t="s">
        <v>2563</v>
      </c>
      <c r="AH57" s="43" t="s">
        <v>2570</v>
      </c>
      <c r="AJ57" s="43">
        <v>55</v>
      </c>
      <c r="AK57" s="43" t="s">
        <v>2560</v>
      </c>
      <c r="AL57" s="43" t="s">
        <v>2571</v>
      </c>
      <c r="AN57" s="43">
        <v>55</v>
      </c>
      <c r="AO57" s="43" t="s">
        <v>2516</v>
      </c>
      <c r="AP57" s="43" t="s">
        <v>2517</v>
      </c>
      <c r="AS57" s="17"/>
    </row>
    <row r="58" spans="4:45" ht="16" x14ac:dyDescent="0.2">
      <c r="AF58" s="43">
        <v>56</v>
      </c>
      <c r="AG58" s="43" t="s">
        <v>2575</v>
      </c>
      <c r="AH58" s="43" t="s">
        <v>2576</v>
      </c>
      <c r="AJ58" s="43">
        <v>56</v>
      </c>
      <c r="AK58" s="43" t="s">
        <v>2560</v>
      </c>
      <c r="AL58" s="43" t="s">
        <v>2577</v>
      </c>
      <c r="AN58" s="43">
        <v>56</v>
      </c>
      <c r="AO58" s="43" t="s">
        <v>2516</v>
      </c>
      <c r="AP58" s="43" t="s">
        <v>2523</v>
      </c>
      <c r="AS58" s="17"/>
    </row>
    <row r="59" spans="4:45" ht="16" x14ac:dyDescent="0.2">
      <c r="AF59" s="43">
        <v>57</v>
      </c>
      <c r="AG59" s="43" t="s">
        <v>2537</v>
      </c>
      <c r="AH59" s="43" t="s">
        <v>2580</v>
      </c>
      <c r="AJ59" s="43">
        <v>57</v>
      </c>
      <c r="AK59" s="43" t="s">
        <v>2560</v>
      </c>
      <c r="AL59" s="43" t="s">
        <v>2581</v>
      </c>
      <c r="AN59" s="43">
        <v>57</v>
      </c>
      <c r="AO59" s="43" t="s">
        <v>2516</v>
      </c>
      <c r="AP59" s="43" t="s">
        <v>2527</v>
      </c>
    </row>
    <row r="60" spans="4:45" ht="16" x14ac:dyDescent="0.2">
      <c r="AF60" s="43">
        <v>58</v>
      </c>
      <c r="AG60" s="43" t="s">
        <v>2537</v>
      </c>
      <c r="AH60" s="43" t="s">
        <v>2584</v>
      </c>
      <c r="AJ60" s="43">
        <v>58</v>
      </c>
      <c r="AK60" s="43" t="s">
        <v>2560</v>
      </c>
      <c r="AL60" s="43" t="s">
        <v>2585</v>
      </c>
      <c r="AN60" s="43">
        <v>58</v>
      </c>
      <c r="AO60" s="43" t="s">
        <v>2516</v>
      </c>
      <c r="AP60" s="43" t="s">
        <v>2532</v>
      </c>
    </row>
    <row r="61" spans="4:45" ht="16" x14ac:dyDescent="0.2">
      <c r="AF61" s="43">
        <v>59</v>
      </c>
      <c r="AG61" s="43" t="s">
        <v>2537</v>
      </c>
      <c r="AH61" s="43" t="s">
        <v>2587</v>
      </c>
      <c r="AJ61" s="43">
        <v>59</v>
      </c>
      <c r="AK61" s="43" t="s">
        <v>2560</v>
      </c>
      <c r="AL61" s="43" t="s">
        <v>2588</v>
      </c>
      <c r="AN61" s="43">
        <v>59</v>
      </c>
      <c r="AO61" s="43" t="s">
        <v>2516</v>
      </c>
      <c r="AP61" s="43" t="s">
        <v>2539</v>
      </c>
    </row>
    <row r="62" spans="4:45" ht="16" x14ac:dyDescent="0.2">
      <c r="AF62" s="43">
        <v>60</v>
      </c>
      <c r="AG62" s="43" t="s">
        <v>2591</v>
      </c>
      <c r="AH62" s="43" t="s">
        <v>2592</v>
      </c>
      <c r="AJ62" s="43">
        <v>60</v>
      </c>
      <c r="AK62" s="43" t="s">
        <v>2560</v>
      </c>
      <c r="AL62" s="43" t="s">
        <v>2593</v>
      </c>
      <c r="AN62" s="43">
        <v>60</v>
      </c>
      <c r="AO62" s="43" t="s">
        <v>2516</v>
      </c>
      <c r="AP62" s="43" t="s">
        <v>2545</v>
      </c>
    </row>
    <row r="63" spans="4:45" ht="16" x14ac:dyDescent="0.2">
      <c r="AF63" s="43">
        <v>61</v>
      </c>
      <c r="AG63" s="43" t="s">
        <v>2591</v>
      </c>
      <c r="AH63" s="43" t="s">
        <v>2598</v>
      </c>
      <c r="AJ63" s="43">
        <v>61</v>
      </c>
      <c r="AK63" s="43" t="s">
        <v>2599</v>
      </c>
      <c r="AL63" s="43" t="s">
        <v>2600</v>
      </c>
      <c r="AN63" s="43">
        <v>61</v>
      </c>
      <c r="AO63" s="43" t="s">
        <v>2516</v>
      </c>
      <c r="AP63" s="43" t="s">
        <v>2549</v>
      </c>
    </row>
    <row r="64" spans="4:45" ht="16" x14ac:dyDescent="0.2">
      <c r="AF64" s="43">
        <v>62</v>
      </c>
      <c r="AG64" s="43" t="s">
        <v>2516</v>
      </c>
      <c r="AH64" s="43" t="s">
        <v>2603</v>
      </c>
      <c r="AJ64" s="43">
        <v>62</v>
      </c>
      <c r="AK64" s="43" t="s">
        <v>2599</v>
      </c>
      <c r="AL64" s="43" t="s">
        <v>2604</v>
      </c>
      <c r="AN64" s="43">
        <v>62</v>
      </c>
      <c r="AO64" s="43" t="s">
        <v>2516</v>
      </c>
      <c r="AP64" s="43" t="s">
        <v>2553</v>
      </c>
    </row>
    <row r="65" spans="32:42" ht="16" x14ac:dyDescent="0.2">
      <c r="AF65" s="43">
        <v>63</v>
      </c>
      <c r="AG65" s="43" t="s">
        <v>2516</v>
      </c>
      <c r="AH65" s="43" t="s">
        <v>2608</v>
      </c>
      <c r="AJ65" s="43">
        <v>63</v>
      </c>
      <c r="AK65" s="43" t="s">
        <v>2599</v>
      </c>
      <c r="AL65" s="43" t="s">
        <v>2609</v>
      </c>
      <c r="AN65" s="43">
        <v>63</v>
      </c>
      <c r="AO65" s="43" t="s">
        <v>2516</v>
      </c>
      <c r="AP65" s="43" t="s">
        <v>2557</v>
      </c>
    </row>
    <row r="66" spans="32:42" ht="16" x14ac:dyDescent="0.2">
      <c r="AF66" s="43">
        <v>64</v>
      </c>
      <c r="AG66" s="43" t="s">
        <v>2516</v>
      </c>
      <c r="AH66" s="43" t="s">
        <v>2613</v>
      </c>
      <c r="AJ66" s="43">
        <v>64</v>
      </c>
      <c r="AK66" s="43" t="s">
        <v>2599</v>
      </c>
      <c r="AL66" s="43" t="s">
        <v>2614</v>
      </c>
      <c r="AN66" s="43">
        <v>64</v>
      </c>
      <c r="AO66" s="43" t="s">
        <v>2560</v>
      </c>
      <c r="AP66" s="43" t="s">
        <v>2561</v>
      </c>
    </row>
    <row r="67" spans="32:42" ht="16" x14ac:dyDescent="0.2">
      <c r="AF67" s="43">
        <v>65</v>
      </c>
      <c r="AG67" s="43" t="s">
        <v>2516</v>
      </c>
      <c r="AH67" s="43" t="s">
        <v>2618</v>
      </c>
      <c r="AJ67" s="43">
        <v>65</v>
      </c>
      <c r="AK67" s="43" t="s">
        <v>2599</v>
      </c>
      <c r="AL67" s="43" t="s">
        <v>2619</v>
      </c>
      <c r="AN67" s="43">
        <v>65</v>
      </c>
      <c r="AO67" s="43" t="s">
        <v>2560</v>
      </c>
      <c r="AP67" s="43" t="s">
        <v>2565</v>
      </c>
    </row>
    <row r="68" spans="32:42" ht="16" x14ac:dyDescent="0.2">
      <c r="AF68" s="43">
        <v>66</v>
      </c>
      <c r="AG68" s="43" t="s">
        <v>2516</v>
      </c>
      <c r="AH68" s="43" t="s">
        <v>2620</v>
      </c>
      <c r="AJ68" s="43">
        <v>66</v>
      </c>
      <c r="AK68" s="43" t="s">
        <v>2621</v>
      </c>
      <c r="AL68" s="43" t="s">
        <v>2622</v>
      </c>
      <c r="AN68" s="43">
        <v>66</v>
      </c>
      <c r="AO68" s="43" t="s">
        <v>2560</v>
      </c>
      <c r="AP68" s="43" t="s">
        <v>2568</v>
      </c>
    </row>
    <row r="69" spans="32:42" ht="16" x14ac:dyDescent="0.2">
      <c r="AF69" s="43">
        <v>67</v>
      </c>
      <c r="AG69" s="43" t="s">
        <v>2516</v>
      </c>
      <c r="AH69" s="43" t="s">
        <v>2623</v>
      </c>
      <c r="AJ69" s="43">
        <v>67</v>
      </c>
      <c r="AK69" s="43" t="s">
        <v>2621</v>
      </c>
      <c r="AL69" s="43" t="s">
        <v>2624</v>
      </c>
      <c r="AN69" s="43">
        <v>67</v>
      </c>
      <c r="AO69" s="43" t="s">
        <v>2560</v>
      </c>
      <c r="AP69" s="43" t="s">
        <v>2571</v>
      </c>
    </row>
    <row r="70" spans="32:42" ht="16" x14ac:dyDescent="0.2">
      <c r="AF70" s="43">
        <v>68</v>
      </c>
      <c r="AG70" s="43" t="s">
        <v>2516</v>
      </c>
      <c r="AH70" s="43" t="s">
        <v>2626</v>
      </c>
      <c r="AJ70" s="43">
        <v>68</v>
      </c>
      <c r="AK70" s="43" t="s">
        <v>2621</v>
      </c>
      <c r="AL70" s="43" t="s">
        <v>2627</v>
      </c>
      <c r="AN70" s="43">
        <v>68</v>
      </c>
      <c r="AO70" s="43" t="s">
        <v>2560</v>
      </c>
      <c r="AP70" s="43" t="s">
        <v>2577</v>
      </c>
    </row>
    <row r="71" spans="32:42" ht="16" x14ac:dyDescent="0.2">
      <c r="AF71" s="43">
        <v>69</v>
      </c>
      <c r="AG71" s="43" t="s">
        <v>2516</v>
      </c>
      <c r="AH71" s="43" t="s">
        <v>2557</v>
      </c>
      <c r="AJ71" s="43">
        <v>69</v>
      </c>
      <c r="AK71" s="43" t="s">
        <v>2621</v>
      </c>
      <c r="AL71" s="43" t="s">
        <v>2629</v>
      </c>
      <c r="AN71" s="43">
        <v>69</v>
      </c>
      <c r="AO71" s="43" t="s">
        <v>2560</v>
      </c>
      <c r="AP71" s="43" t="s">
        <v>2581</v>
      </c>
    </row>
    <row r="72" spans="32:42" ht="16" x14ac:dyDescent="0.2">
      <c r="AF72" s="43">
        <v>70</v>
      </c>
      <c r="AG72" s="43" t="s">
        <v>2631</v>
      </c>
      <c r="AH72" s="43" t="s">
        <v>2632</v>
      </c>
      <c r="AJ72" s="43">
        <v>70</v>
      </c>
      <c r="AK72" s="43" t="s">
        <v>2621</v>
      </c>
      <c r="AL72" s="43" t="s">
        <v>2633</v>
      </c>
      <c r="AN72" s="43">
        <v>70</v>
      </c>
      <c r="AO72" s="43" t="s">
        <v>2560</v>
      </c>
      <c r="AP72" s="43" t="s">
        <v>2585</v>
      </c>
    </row>
    <row r="73" spans="32:42" ht="16" x14ac:dyDescent="0.2">
      <c r="AF73" s="43">
        <v>71</v>
      </c>
      <c r="AG73" s="43" t="s">
        <v>2631</v>
      </c>
      <c r="AH73" s="43" t="s">
        <v>2561</v>
      </c>
      <c r="AJ73" s="43">
        <v>71</v>
      </c>
      <c r="AK73" s="43" t="s">
        <v>2621</v>
      </c>
      <c r="AL73" s="43" t="s">
        <v>2635</v>
      </c>
      <c r="AN73" s="43">
        <v>71</v>
      </c>
      <c r="AO73" s="43" t="s">
        <v>2560</v>
      </c>
      <c r="AP73" s="43" t="s">
        <v>2588</v>
      </c>
    </row>
    <row r="74" spans="32:42" ht="16" x14ac:dyDescent="0.2">
      <c r="AF74" s="43">
        <v>72</v>
      </c>
      <c r="AG74" s="43" t="s">
        <v>2631</v>
      </c>
      <c r="AH74" s="43" t="s">
        <v>2637</v>
      </c>
      <c r="AJ74" s="43">
        <v>72</v>
      </c>
      <c r="AK74" s="43" t="s">
        <v>2621</v>
      </c>
      <c r="AL74" s="43" t="s">
        <v>2638</v>
      </c>
      <c r="AN74" s="43">
        <v>72</v>
      </c>
      <c r="AO74" s="43" t="s">
        <v>2560</v>
      </c>
      <c r="AP74" s="43" t="s">
        <v>2639</v>
      </c>
    </row>
    <row r="75" spans="32:42" ht="16" x14ac:dyDescent="0.2">
      <c r="AF75" s="43">
        <v>73</v>
      </c>
      <c r="AG75" s="43" t="s">
        <v>2631</v>
      </c>
      <c r="AH75" s="43" t="s">
        <v>2641</v>
      </c>
      <c r="AJ75" s="43">
        <v>73</v>
      </c>
      <c r="AK75" s="43" t="s">
        <v>2621</v>
      </c>
      <c r="AL75" s="43" t="s">
        <v>2642</v>
      </c>
      <c r="AN75" s="43">
        <v>73</v>
      </c>
      <c r="AO75" s="43" t="s">
        <v>2599</v>
      </c>
      <c r="AP75" s="43" t="s">
        <v>2600</v>
      </c>
    </row>
    <row r="76" spans="32:42" ht="16" x14ac:dyDescent="0.2">
      <c r="AF76" s="43">
        <v>74</v>
      </c>
      <c r="AG76" s="43" t="s">
        <v>2631</v>
      </c>
      <c r="AH76" s="43" t="s">
        <v>2644</v>
      </c>
      <c r="AJ76" s="43">
        <v>74</v>
      </c>
      <c r="AK76" s="43" t="s">
        <v>2460</v>
      </c>
      <c r="AL76" s="43" t="s">
        <v>2645</v>
      </c>
      <c r="AN76" s="43">
        <v>74</v>
      </c>
      <c r="AO76" s="43" t="s">
        <v>2599</v>
      </c>
      <c r="AP76" s="43" t="s">
        <v>2604</v>
      </c>
    </row>
    <row r="77" spans="32:42" ht="16" x14ac:dyDescent="0.2">
      <c r="AF77" s="43">
        <v>75</v>
      </c>
      <c r="AG77" s="43" t="s">
        <v>2631</v>
      </c>
      <c r="AH77" s="43" t="s">
        <v>2647</v>
      </c>
      <c r="AJ77" s="43">
        <v>75</v>
      </c>
      <c r="AK77" s="43" t="s">
        <v>2460</v>
      </c>
      <c r="AL77" s="43" t="s">
        <v>2648</v>
      </c>
      <c r="AN77" s="43">
        <v>75</v>
      </c>
      <c r="AO77" s="43" t="s">
        <v>2599</v>
      </c>
      <c r="AP77" s="43" t="s">
        <v>2609</v>
      </c>
    </row>
    <row r="78" spans="32:42" ht="16" x14ac:dyDescent="0.2">
      <c r="AF78" s="43">
        <v>76</v>
      </c>
      <c r="AG78" s="43" t="s">
        <v>2631</v>
      </c>
      <c r="AH78" s="43" t="s">
        <v>2650</v>
      </c>
      <c r="AJ78" s="43">
        <v>76</v>
      </c>
      <c r="AK78" s="43" t="s">
        <v>2651</v>
      </c>
      <c r="AL78" s="43" t="s">
        <v>2652</v>
      </c>
      <c r="AN78" s="43">
        <v>76</v>
      </c>
      <c r="AO78" s="43" t="s">
        <v>2599</v>
      </c>
      <c r="AP78" s="43" t="s">
        <v>2614</v>
      </c>
    </row>
    <row r="79" spans="32:42" ht="16" x14ac:dyDescent="0.2">
      <c r="AF79" s="43">
        <v>77</v>
      </c>
      <c r="AG79" s="43" t="s">
        <v>2631</v>
      </c>
      <c r="AH79" s="43" t="s">
        <v>2654</v>
      </c>
      <c r="AJ79" s="43">
        <v>77</v>
      </c>
      <c r="AK79" s="43" t="s">
        <v>2651</v>
      </c>
      <c r="AL79" s="43" t="s">
        <v>2655</v>
      </c>
      <c r="AN79" s="43">
        <v>77</v>
      </c>
      <c r="AO79" s="43" t="s">
        <v>2621</v>
      </c>
      <c r="AP79" s="43" t="s">
        <v>2656</v>
      </c>
    </row>
    <row r="80" spans="32:42" ht="16" x14ac:dyDescent="0.2">
      <c r="AF80" s="43">
        <v>78</v>
      </c>
      <c r="AG80" s="43" t="s">
        <v>2631</v>
      </c>
      <c r="AH80" s="43" t="s">
        <v>2658</v>
      </c>
      <c r="AJ80" s="43">
        <v>78</v>
      </c>
      <c r="AK80" s="43" t="s">
        <v>2651</v>
      </c>
      <c r="AL80" s="43" t="s">
        <v>2659</v>
      </c>
      <c r="AN80" s="43">
        <v>78</v>
      </c>
      <c r="AO80" s="43" t="s">
        <v>2621</v>
      </c>
      <c r="AP80" s="43" t="s">
        <v>2660</v>
      </c>
    </row>
    <row r="81" spans="32:42" ht="16" x14ac:dyDescent="0.2">
      <c r="AF81" s="43">
        <v>79</v>
      </c>
      <c r="AG81" s="43" t="s">
        <v>2631</v>
      </c>
      <c r="AH81" s="43" t="s">
        <v>2662</v>
      </c>
      <c r="AJ81" s="43">
        <v>79</v>
      </c>
      <c r="AK81" s="43" t="s">
        <v>2663</v>
      </c>
      <c r="AL81" s="43" t="s">
        <v>2664</v>
      </c>
      <c r="AN81" s="43">
        <v>79</v>
      </c>
      <c r="AO81" s="43" t="s">
        <v>2621</v>
      </c>
      <c r="AP81" s="43" t="s">
        <v>2665</v>
      </c>
    </row>
    <row r="82" spans="32:42" ht="16" x14ac:dyDescent="0.2">
      <c r="AF82" s="43">
        <v>80</v>
      </c>
      <c r="AG82" s="43" t="s">
        <v>2631</v>
      </c>
      <c r="AH82" s="43" t="s">
        <v>2585</v>
      </c>
      <c r="AJ82" s="43">
        <v>80</v>
      </c>
      <c r="AK82" s="43" t="s">
        <v>2663</v>
      </c>
      <c r="AL82" s="43" t="s">
        <v>2667</v>
      </c>
      <c r="AN82" s="43">
        <v>80</v>
      </c>
      <c r="AO82" s="43" t="s">
        <v>2651</v>
      </c>
      <c r="AP82" s="43" t="s">
        <v>2652</v>
      </c>
    </row>
    <row r="83" spans="32:42" ht="16" x14ac:dyDescent="0.2">
      <c r="AF83" s="43">
        <v>81</v>
      </c>
      <c r="AG83" s="43" t="s">
        <v>2631</v>
      </c>
      <c r="AH83" s="43" t="s">
        <v>2670</v>
      </c>
      <c r="AJ83" s="43">
        <v>81</v>
      </c>
      <c r="AK83" s="43" t="s">
        <v>2663</v>
      </c>
      <c r="AL83" s="43" t="s">
        <v>2671</v>
      </c>
      <c r="AN83" s="43">
        <v>81</v>
      </c>
      <c r="AO83" s="43" t="s">
        <v>2651</v>
      </c>
      <c r="AP83" s="43" t="s">
        <v>2672</v>
      </c>
    </row>
    <row r="84" spans="32:42" ht="16" x14ac:dyDescent="0.2">
      <c r="AF84" s="43">
        <v>82</v>
      </c>
      <c r="AG84" s="43" t="s">
        <v>2674</v>
      </c>
      <c r="AH84" s="43" t="s">
        <v>2675</v>
      </c>
      <c r="AJ84" s="43">
        <v>82</v>
      </c>
      <c r="AK84" s="43" t="s">
        <v>2676</v>
      </c>
      <c r="AL84" s="43" t="s">
        <v>2677</v>
      </c>
      <c r="AN84" s="43">
        <v>82</v>
      </c>
      <c r="AO84" s="43" t="s">
        <v>2651</v>
      </c>
      <c r="AP84" s="43" t="s">
        <v>2678</v>
      </c>
    </row>
    <row r="85" spans="32:42" ht="16" x14ac:dyDescent="0.2">
      <c r="AF85" s="43">
        <v>83</v>
      </c>
      <c r="AG85" s="43" t="s">
        <v>2674</v>
      </c>
      <c r="AH85" s="43" t="s">
        <v>2627</v>
      </c>
      <c r="AJ85" s="43">
        <v>83</v>
      </c>
      <c r="AK85" s="43" t="s">
        <v>2676</v>
      </c>
      <c r="AL85" s="43" t="s">
        <v>2680</v>
      </c>
      <c r="AN85" s="43">
        <v>83</v>
      </c>
      <c r="AO85" s="43" t="s">
        <v>2651</v>
      </c>
      <c r="AP85" s="43" t="s">
        <v>2681</v>
      </c>
    </row>
    <row r="86" spans="32:42" ht="16" x14ac:dyDescent="0.2">
      <c r="AF86" s="43">
        <v>84</v>
      </c>
      <c r="AG86" s="43" t="s">
        <v>2674</v>
      </c>
      <c r="AH86" s="43" t="s">
        <v>2624</v>
      </c>
      <c r="AJ86" s="43">
        <v>84</v>
      </c>
      <c r="AK86" s="43" t="s">
        <v>2683</v>
      </c>
      <c r="AL86" s="43" t="s">
        <v>2684</v>
      </c>
      <c r="AN86" s="43">
        <v>84</v>
      </c>
      <c r="AO86" s="43" t="s">
        <v>2651</v>
      </c>
      <c r="AP86" s="43" t="s">
        <v>2659</v>
      </c>
    </row>
    <row r="87" spans="32:42" ht="16" x14ac:dyDescent="0.2">
      <c r="AF87" s="43">
        <v>85</v>
      </c>
      <c r="AG87" s="43" t="s">
        <v>2674</v>
      </c>
      <c r="AH87" s="43" t="s">
        <v>2629</v>
      </c>
      <c r="AJ87" s="43">
        <v>85</v>
      </c>
      <c r="AK87" s="43" t="s">
        <v>2683</v>
      </c>
      <c r="AL87" s="43" t="s">
        <v>2686</v>
      </c>
      <c r="AN87" s="43">
        <v>85</v>
      </c>
      <c r="AO87" s="43" t="s">
        <v>2687</v>
      </c>
      <c r="AP87" s="43" t="s">
        <v>2688</v>
      </c>
    </row>
    <row r="88" spans="32:42" ht="16" x14ac:dyDescent="0.2">
      <c r="AF88" s="43">
        <v>86</v>
      </c>
      <c r="AG88" s="43" t="s">
        <v>2674</v>
      </c>
      <c r="AH88" s="43" t="s">
        <v>2689</v>
      </c>
      <c r="AJ88" s="43">
        <v>86</v>
      </c>
      <c r="AK88" s="43" t="s">
        <v>2690</v>
      </c>
      <c r="AL88" s="43" t="s">
        <v>2691</v>
      </c>
      <c r="AN88" s="43">
        <v>86</v>
      </c>
      <c r="AO88" s="43" t="s">
        <v>2687</v>
      </c>
      <c r="AP88" s="43" t="s">
        <v>2692</v>
      </c>
    </row>
    <row r="89" spans="32:42" ht="16" x14ac:dyDescent="0.2">
      <c r="AF89" s="43">
        <v>87</v>
      </c>
      <c r="AG89" s="43" t="s">
        <v>2674</v>
      </c>
      <c r="AH89" s="43" t="s">
        <v>2693</v>
      </c>
      <c r="AJ89" s="43">
        <v>87</v>
      </c>
      <c r="AK89" s="43" t="s">
        <v>1175</v>
      </c>
      <c r="AL89" s="43" t="s">
        <v>2694</v>
      </c>
      <c r="AN89" s="43">
        <v>87</v>
      </c>
      <c r="AO89" s="43" t="s">
        <v>2687</v>
      </c>
      <c r="AP89" s="43" t="s">
        <v>2695</v>
      </c>
    </row>
    <row r="90" spans="32:42" ht="16" x14ac:dyDescent="0.2">
      <c r="AF90" s="43">
        <v>88</v>
      </c>
      <c r="AG90" s="43" t="s">
        <v>2674</v>
      </c>
      <c r="AH90" s="43" t="s">
        <v>2696</v>
      </c>
      <c r="AJ90" s="43">
        <v>88</v>
      </c>
      <c r="AK90" s="43" t="s">
        <v>1175</v>
      </c>
      <c r="AL90" s="43" t="s">
        <v>2697</v>
      </c>
      <c r="AN90" s="43">
        <v>88</v>
      </c>
      <c r="AO90" s="43" t="s">
        <v>2687</v>
      </c>
      <c r="AP90" s="43" t="s">
        <v>2698</v>
      </c>
    </row>
    <row r="91" spans="32:42" ht="16" x14ac:dyDescent="0.2">
      <c r="AF91" s="43">
        <v>89</v>
      </c>
      <c r="AG91" s="43" t="s">
        <v>2674</v>
      </c>
      <c r="AH91" s="43" t="s">
        <v>2699</v>
      </c>
      <c r="AJ91" s="43">
        <v>89</v>
      </c>
      <c r="AK91" s="43" t="s">
        <v>1175</v>
      </c>
      <c r="AL91" s="43" t="s">
        <v>2700</v>
      </c>
      <c r="AN91" s="43">
        <v>89</v>
      </c>
      <c r="AO91" s="43" t="s">
        <v>2687</v>
      </c>
      <c r="AP91" s="43" t="s">
        <v>2701</v>
      </c>
    </row>
    <row r="92" spans="32:42" ht="16" x14ac:dyDescent="0.2">
      <c r="AF92" s="43">
        <v>90</v>
      </c>
      <c r="AG92" s="43" t="s">
        <v>2674</v>
      </c>
      <c r="AH92" s="43" t="s">
        <v>2702</v>
      </c>
      <c r="AJ92" s="43">
        <v>90</v>
      </c>
      <c r="AK92" s="43" t="s">
        <v>2703</v>
      </c>
      <c r="AL92" s="43" t="s">
        <v>2704</v>
      </c>
      <c r="AN92" s="43">
        <v>90</v>
      </c>
      <c r="AO92" s="43" t="s">
        <v>2676</v>
      </c>
      <c r="AP92" s="43" t="s">
        <v>2677</v>
      </c>
    </row>
    <row r="93" spans="32:42" ht="16" x14ac:dyDescent="0.2">
      <c r="AF93" s="43">
        <v>91</v>
      </c>
      <c r="AG93" s="43" t="s">
        <v>2674</v>
      </c>
      <c r="AH93" s="43" t="s">
        <v>2705</v>
      </c>
      <c r="AJ93" s="43">
        <v>91</v>
      </c>
      <c r="AK93" s="43" t="s">
        <v>2703</v>
      </c>
      <c r="AL93" s="43" t="s">
        <v>2706</v>
      </c>
      <c r="AN93" s="43">
        <v>91</v>
      </c>
      <c r="AO93" s="43" t="s">
        <v>2676</v>
      </c>
      <c r="AP93" s="43" t="s">
        <v>2680</v>
      </c>
    </row>
    <row r="94" spans="32:42" ht="16" x14ac:dyDescent="0.2">
      <c r="AF94" s="43">
        <v>92</v>
      </c>
      <c r="AG94" s="43" t="s">
        <v>2674</v>
      </c>
      <c r="AH94" s="43" t="s">
        <v>2707</v>
      </c>
      <c r="AJ94" s="43">
        <v>92</v>
      </c>
      <c r="AK94" s="43" t="s">
        <v>2594</v>
      </c>
      <c r="AL94" s="43" t="s">
        <v>2708</v>
      </c>
      <c r="AN94" s="43">
        <v>92</v>
      </c>
      <c r="AO94" s="43" t="s">
        <v>2683</v>
      </c>
      <c r="AP94" s="43" t="s">
        <v>2709</v>
      </c>
    </row>
    <row r="95" spans="32:42" ht="16" x14ac:dyDescent="0.2">
      <c r="AF95" s="43">
        <v>93</v>
      </c>
      <c r="AG95" s="43" t="s">
        <v>2710</v>
      </c>
      <c r="AH95" s="43" t="s">
        <v>2711</v>
      </c>
      <c r="AJ95" s="43">
        <v>93</v>
      </c>
      <c r="AK95" s="43" t="s">
        <v>2594</v>
      </c>
      <c r="AL95" s="43" t="s">
        <v>2712</v>
      </c>
      <c r="AN95" s="43">
        <v>93</v>
      </c>
      <c r="AO95" s="43" t="s">
        <v>2683</v>
      </c>
      <c r="AP95" s="43" t="s">
        <v>2686</v>
      </c>
    </row>
    <row r="96" spans="32:42" ht="16" x14ac:dyDescent="0.2">
      <c r="AF96" s="43">
        <v>94</v>
      </c>
      <c r="AG96" s="43" t="s">
        <v>2710</v>
      </c>
      <c r="AH96" s="43" t="s">
        <v>2713</v>
      </c>
      <c r="AJ96" s="43">
        <v>94</v>
      </c>
      <c r="AK96" s="43" t="s">
        <v>2594</v>
      </c>
      <c r="AL96" s="43" t="s">
        <v>2714</v>
      </c>
      <c r="AN96" s="43">
        <v>94</v>
      </c>
      <c r="AO96" s="43" t="s">
        <v>2690</v>
      </c>
      <c r="AP96" s="43" t="s">
        <v>2691</v>
      </c>
    </row>
    <row r="97" spans="4:46" ht="16" x14ac:dyDescent="0.2">
      <c r="AF97" s="43">
        <v>95</v>
      </c>
      <c r="AG97" s="43" t="s">
        <v>2710</v>
      </c>
      <c r="AH97" s="43" t="s">
        <v>2609</v>
      </c>
      <c r="AJ97" s="43">
        <v>95</v>
      </c>
      <c r="AK97" s="43" t="s">
        <v>2594</v>
      </c>
      <c r="AL97" s="43" t="s">
        <v>2715</v>
      </c>
      <c r="AN97" s="43">
        <v>95</v>
      </c>
      <c r="AO97" s="43" t="s">
        <v>1175</v>
      </c>
      <c r="AP97" s="43" t="s">
        <v>2694</v>
      </c>
    </row>
    <row r="98" spans="4:46" ht="16" x14ac:dyDescent="0.2">
      <c r="AF98" s="43">
        <v>96</v>
      </c>
      <c r="AG98" s="43" t="s">
        <v>2716</v>
      </c>
      <c r="AH98" s="43" t="s">
        <v>2717</v>
      </c>
      <c r="AJ98" s="43">
        <v>96</v>
      </c>
      <c r="AK98" s="43" t="s">
        <v>2431</v>
      </c>
      <c r="AL98" s="43" t="s">
        <v>2653</v>
      </c>
      <c r="AN98" s="43">
        <v>96</v>
      </c>
      <c r="AO98" s="43" t="s">
        <v>1175</v>
      </c>
      <c r="AP98" s="43" t="s">
        <v>2697</v>
      </c>
    </row>
    <row r="99" spans="4:46" ht="16" x14ac:dyDescent="0.2">
      <c r="AF99" s="43">
        <v>97</v>
      </c>
      <c r="AG99" s="43" t="s">
        <v>2718</v>
      </c>
      <c r="AH99" s="43" t="s">
        <v>2719</v>
      </c>
      <c r="AJ99" s="43">
        <v>97</v>
      </c>
      <c r="AK99" s="43" t="s">
        <v>2431</v>
      </c>
      <c r="AL99" s="43" t="s">
        <v>2720</v>
      </c>
      <c r="AN99" s="43">
        <v>97</v>
      </c>
      <c r="AO99" s="43" t="s">
        <v>1175</v>
      </c>
      <c r="AP99" s="43" t="s">
        <v>2700</v>
      </c>
    </row>
    <row r="100" spans="4:46" ht="16" x14ac:dyDescent="0.2">
      <c r="D100" s="43">
        <v>1</v>
      </c>
      <c r="E100" s="43" t="s">
        <v>2217</v>
      </c>
      <c r="F100" s="43" t="s">
        <v>2218</v>
      </c>
      <c r="AF100" s="43">
        <v>98</v>
      </c>
      <c r="AG100" s="43" t="s">
        <v>2718</v>
      </c>
      <c r="AH100" s="43" t="s">
        <v>2721</v>
      </c>
      <c r="AJ100" s="43">
        <v>98</v>
      </c>
      <c r="AK100" s="43" t="s">
        <v>2431</v>
      </c>
      <c r="AL100" s="43" t="s">
        <v>2722</v>
      </c>
      <c r="AN100" s="43">
        <v>98</v>
      </c>
      <c r="AO100" s="43" t="s">
        <v>2703</v>
      </c>
      <c r="AP100" s="43" t="s">
        <v>2704</v>
      </c>
    </row>
    <row r="101" spans="4:46" ht="32" x14ac:dyDescent="0.2">
      <c r="D101" s="43">
        <v>2</v>
      </c>
      <c r="E101" s="43" t="s">
        <v>2219</v>
      </c>
      <c r="F101" s="43" t="s">
        <v>2220</v>
      </c>
      <c r="AF101" s="43">
        <v>99</v>
      </c>
      <c r="AG101" s="43" t="s">
        <v>2594</v>
      </c>
      <c r="AH101" s="43" t="s">
        <v>2708</v>
      </c>
      <c r="AJ101" s="43">
        <v>99</v>
      </c>
      <c r="AK101" s="43" t="s">
        <v>2431</v>
      </c>
      <c r="AL101" s="43" t="s">
        <v>2723</v>
      </c>
      <c r="AN101" s="43">
        <v>99</v>
      </c>
      <c r="AO101" s="43" t="s">
        <v>2703</v>
      </c>
      <c r="AP101" s="43" t="s">
        <v>2724</v>
      </c>
      <c r="AR101" s="43">
        <v>1</v>
      </c>
      <c r="AS101" s="43" t="s">
        <v>2217</v>
      </c>
    </row>
    <row r="102" spans="4:46" ht="16" x14ac:dyDescent="0.2">
      <c r="D102" s="43">
        <v>3</v>
      </c>
      <c r="E102" s="43" t="s">
        <v>2233</v>
      </c>
      <c r="F102" s="43" t="s">
        <v>2234</v>
      </c>
      <c r="AF102" s="43">
        <v>100</v>
      </c>
      <c r="AG102" s="43" t="s">
        <v>2594</v>
      </c>
      <c r="AH102" s="43" t="s">
        <v>2712</v>
      </c>
      <c r="AJ102" s="43">
        <v>100</v>
      </c>
      <c r="AK102" s="43" t="s">
        <v>2668</v>
      </c>
      <c r="AL102" s="43" t="s">
        <v>2669</v>
      </c>
      <c r="AN102" s="43">
        <v>100</v>
      </c>
      <c r="AO102" s="43" t="s">
        <v>2594</v>
      </c>
      <c r="AP102" s="43" t="s">
        <v>2708</v>
      </c>
      <c r="AR102" s="43">
        <v>2</v>
      </c>
      <c r="AS102" s="43" t="s">
        <v>2230</v>
      </c>
      <c r="AT102" s="43" t="s">
        <v>2231</v>
      </c>
    </row>
    <row r="103" spans="4:46" ht="16" x14ac:dyDescent="0.2">
      <c r="D103" s="43">
        <v>4</v>
      </c>
      <c r="E103" s="43" t="s">
        <v>2233</v>
      </c>
      <c r="F103" s="43" t="s">
        <v>2241</v>
      </c>
      <c r="AF103" s="43">
        <v>101</v>
      </c>
      <c r="AG103" s="43" t="s">
        <v>2594</v>
      </c>
      <c r="AH103" s="43" t="s">
        <v>2714</v>
      </c>
      <c r="AJ103" s="43">
        <v>101</v>
      </c>
      <c r="AK103" s="43" t="s">
        <v>2668</v>
      </c>
      <c r="AL103" s="43" t="s">
        <v>2673</v>
      </c>
      <c r="AN103" s="43">
        <v>101</v>
      </c>
      <c r="AO103" s="43" t="s">
        <v>2594</v>
      </c>
      <c r="AP103" s="43" t="s">
        <v>2712</v>
      </c>
      <c r="AR103" s="43">
        <v>3</v>
      </c>
      <c r="AS103" s="43" t="s">
        <v>2230</v>
      </c>
      <c r="AT103" s="43" t="s">
        <v>2239</v>
      </c>
    </row>
    <row r="104" spans="4:46" ht="16" x14ac:dyDescent="0.2">
      <c r="D104" s="43">
        <v>5</v>
      </c>
      <c r="E104" s="43" t="s">
        <v>2233</v>
      </c>
      <c r="F104" s="43" t="s">
        <v>2250</v>
      </c>
      <c r="AF104" s="43">
        <v>102</v>
      </c>
      <c r="AG104" s="43" t="s">
        <v>2594</v>
      </c>
      <c r="AH104" s="43" t="s">
        <v>2725</v>
      </c>
      <c r="AJ104" s="43">
        <v>102</v>
      </c>
      <c r="AK104" s="43" t="s">
        <v>2668</v>
      </c>
      <c r="AL104" s="43" t="s">
        <v>2679</v>
      </c>
      <c r="AN104" s="43">
        <v>102</v>
      </c>
      <c r="AO104" s="43" t="s">
        <v>2594</v>
      </c>
      <c r="AP104" s="43" t="s">
        <v>2714</v>
      </c>
      <c r="AR104" s="43">
        <v>4</v>
      </c>
      <c r="AS104" s="43" t="s">
        <v>2230</v>
      </c>
      <c r="AT104" s="43" t="s">
        <v>2248</v>
      </c>
    </row>
    <row r="105" spans="4:46" ht="16" x14ac:dyDescent="0.2">
      <c r="D105" s="43">
        <v>6</v>
      </c>
      <c r="E105" s="43" t="s">
        <v>2233</v>
      </c>
      <c r="F105" s="43" t="s">
        <v>2258</v>
      </c>
      <c r="AF105" s="43">
        <v>103</v>
      </c>
      <c r="AG105" s="43" t="s">
        <v>2431</v>
      </c>
      <c r="AH105" s="43" t="s">
        <v>2653</v>
      </c>
      <c r="AJ105" s="43">
        <v>103</v>
      </c>
      <c r="AK105" s="43" t="s">
        <v>2668</v>
      </c>
      <c r="AL105" s="43" t="s">
        <v>2682</v>
      </c>
      <c r="AN105" s="43">
        <v>103</v>
      </c>
      <c r="AO105" s="43" t="s">
        <v>2594</v>
      </c>
      <c r="AP105" s="43" t="s">
        <v>2726</v>
      </c>
      <c r="AR105" s="43">
        <v>5</v>
      </c>
      <c r="AS105" s="43" t="s">
        <v>2230</v>
      </c>
      <c r="AT105" s="43" t="s">
        <v>2256</v>
      </c>
    </row>
    <row r="106" spans="4:46" ht="16" x14ac:dyDescent="0.2">
      <c r="D106" s="43">
        <v>7</v>
      </c>
      <c r="E106" s="44" t="s">
        <v>2233</v>
      </c>
      <c r="F106" s="44" t="s">
        <v>2268</v>
      </c>
      <c r="AF106" s="43">
        <v>104</v>
      </c>
      <c r="AG106" s="43" t="s">
        <v>2431</v>
      </c>
      <c r="AH106" s="43" t="s">
        <v>2720</v>
      </c>
      <c r="AJ106" s="43">
        <v>104</v>
      </c>
      <c r="AK106" s="43" t="s">
        <v>2668</v>
      </c>
      <c r="AL106" s="43" t="s">
        <v>2685</v>
      </c>
      <c r="AN106" s="43">
        <v>104</v>
      </c>
      <c r="AO106" s="43" t="s">
        <v>2594</v>
      </c>
      <c r="AP106" s="43" t="s">
        <v>2715</v>
      </c>
      <c r="AR106" s="43">
        <v>6</v>
      </c>
      <c r="AS106" s="43" t="s">
        <v>2265</v>
      </c>
      <c r="AT106" s="43" t="s">
        <v>2266</v>
      </c>
    </row>
    <row r="107" spans="4:46" ht="16" x14ac:dyDescent="0.2">
      <c r="D107" s="43">
        <v>8</v>
      </c>
      <c r="E107" s="43" t="s">
        <v>2233</v>
      </c>
      <c r="F107" s="43" t="s">
        <v>2275</v>
      </c>
      <c r="AF107" s="43">
        <v>105</v>
      </c>
      <c r="AG107" s="43" t="s">
        <v>2431</v>
      </c>
      <c r="AH107" s="43" t="s">
        <v>2722</v>
      </c>
      <c r="AJ107" s="43">
        <v>105</v>
      </c>
      <c r="AK107" s="43" t="s">
        <v>2727</v>
      </c>
      <c r="AL107" s="43" t="s">
        <v>2728</v>
      </c>
      <c r="AN107" s="43">
        <v>105</v>
      </c>
      <c r="AO107" s="43" t="s">
        <v>2420</v>
      </c>
      <c r="AP107" s="43" t="s">
        <v>2421</v>
      </c>
      <c r="AR107" s="43">
        <v>7</v>
      </c>
      <c r="AS107" s="43" t="s">
        <v>2265</v>
      </c>
      <c r="AT107" s="43" t="s">
        <v>2273</v>
      </c>
    </row>
    <row r="108" spans="4:46" ht="16" x14ac:dyDescent="0.2">
      <c r="D108" s="43">
        <v>9</v>
      </c>
      <c r="E108" s="43" t="s">
        <v>2233</v>
      </c>
      <c r="F108" s="43" t="s">
        <v>2280</v>
      </c>
      <c r="AF108" s="43">
        <v>106</v>
      </c>
      <c r="AG108" s="43" t="s">
        <v>2431</v>
      </c>
      <c r="AH108" s="43" t="s">
        <v>2723</v>
      </c>
      <c r="AJ108" s="43">
        <v>106</v>
      </c>
      <c r="AK108" s="43" t="s">
        <v>2727</v>
      </c>
      <c r="AL108" s="43" t="s">
        <v>2729</v>
      </c>
      <c r="AN108" s="43">
        <v>106</v>
      </c>
      <c r="AO108" s="43" t="s">
        <v>2420</v>
      </c>
      <c r="AP108" s="43" t="s">
        <v>2426</v>
      </c>
      <c r="AR108" s="43">
        <v>8</v>
      </c>
      <c r="AS108" s="43" t="s">
        <v>2265</v>
      </c>
      <c r="AT108" s="43" t="s">
        <v>2279</v>
      </c>
    </row>
    <row r="109" spans="4:46" ht="16" x14ac:dyDescent="0.2">
      <c r="D109" s="43">
        <v>10</v>
      </c>
      <c r="E109" s="43" t="s">
        <v>2233</v>
      </c>
      <c r="F109" s="43" t="s">
        <v>2285</v>
      </c>
      <c r="AF109" s="43">
        <v>107</v>
      </c>
      <c r="AG109" s="43" t="s">
        <v>2668</v>
      </c>
      <c r="AH109" s="43" t="s">
        <v>2669</v>
      </c>
      <c r="AJ109" s="43">
        <v>107</v>
      </c>
      <c r="AK109" s="43" t="s">
        <v>2727</v>
      </c>
      <c r="AL109" s="43" t="s">
        <v>2730</v>
      </c>
      <c r="AN109" s="43">
        <v>107</v>
      </c>
      <c r="AO109" s="43" t="s">
        <v>2420</v>
      </c>
      <c r="AP109" s="43" t="s">
        <v>2433</v>
      </c>
      <c r="AR109" s="43">
        <v>9</v>
      </c>
      <c r="AS109" s="43" t="s">
        <v>2265</v>
      </c>
      <c r="AT109" s="43" t="s">
        <v>2284</v>
      </c>
    </row>
    <row r="110" spans="4:46" ht="16" x14ac:dyDescent="0.2">
      <c r="D110" s="43">
        <v>11</v>
      </c>
      <c r="E110" s="43" t="s">
        <v>2291</v>
      </c>
      <c r="F110" s="43" t="s">
        <v>2292</v>
      </c>
      <c r="AF110" s="43">
        <v>108</v>
      </c>
      <c r="AG110" s="43" t="s">
        <v>2668</v>
      </c>
      <c r="AH110" s="43" t="s">
        <v>2673</v>
      </c>
      <c r="AJ110" s="43">
        <v>108</v>
      </c>
      <c r="AK110" s="43" t="s">
        <v>2573</v>
      </c>
      <c r="AL110" s="43" t="s">
        <v>2731</v>
      </c>
      <c r="AN110" s="43">
        <v>108</v>
      </c>
      <c r="AO110" s="43" t="s">
        <v>2420</v>
      </c>
      <c r="AP110" s="43" t="s">
        <v>2441</v>
      </c>
      <c r="AR110" s="43">
        <v>10</v>
      </c>
      <c r="AS110" s="43" t="s">
        <v>2265</v>
      </c>
      <c r="AT110" s="43" t="s">
        <v>2290</v>
      </c>
    </row>
    <row r="111" spans="4:46" ht="32" x14ac:dyDescent="0.2">
      <c r="D111" s="43">
        <v>12</v>
      </c>
      <c r="E111" s="43" t="s">
        <v>2291</v>
      </c>
      <c r="F111" s="43" t="s">
        <v>2302</v>
      </c>
      <c r="AF111" s="43">
        <v>109</v>
      </c>
      <c r="AG111" s="43" t="s">
        <v>2668</v>
      </c>
      <c r="AH111" s="43" t="s">
        <v>2679</v>
      </c>
      <c r="AJ111" s="43">
        <v>109</v>
      </c>
      <c r="AK111" s="43" t="s">
        <v>2573</v>
      </c>
      <c r="AL111" s="43" t="s">
        <v>2732</v>
      </c>
      <c r="AN111" s="43">
        <v>109</v>
      </c>
      <c r="AO111" s="43" t="s">
        <v>2733</v>
      </c>
      <c r="AP111" s="43" t="s">
        <v>2734</v>
      </c>
      <c r="AR111" s="43">
        <v>11</v>
      </c>
      <c r="AS111" s="43" t="s">
        <v>2300</v>
      </c>
      <c r="AT111" s="43" t="s">
        <v>2301</v>
      </c>
    </row>
    <row r="112" spans="4:46" ht="16" x14ac:dyDescent="0.2">
      <c r="D112" s="43">
        <v>13</v>
      </c>
      <c r="E112" s="43" t="s">
        <v>2291</v>
      </c>
      <c r="F112" s="43" t="s">
        <v>2258</v>
      </c>
      <c r="AF112" s="43">
        <v>110</v>
      </c>
      <c r="AG112" s="43" t="s">
        <v>2668</v>
      </c>
      <c r="AH112" s="43" t="s">
        <v>2682</v>
      </c>
      <c r="AJ112" s="43">
        <v>110</v>
      </c>
      <c r="AK112" s="43" t="s">
        <v>2573</v>
      </c>
      <c r="AL112" s="43" t="s">
        <v>2735</v>
      </c>
      <c r="AN112" s="43">
        <v>110</v>
      </c>
      <c r="AO112" s="43" t="s">
        <v>2736</v>
      </c>
      <c r="AP112" s="43" t="s">
        <v>2737</v>
      </c>
      <c r="AR112" s="43">
        <v>12</v>
      </c>
      <c r="AS112" s="43" t="s">
        <v>2300</v>
      </c>
      <c r="AT112" s="43" t="s">
        <v>2309</v>
      </c>
    </row>
    <row r="113" spans="4:46" ht="16" x14ac:dyDescent="0.2">
      <c r="D113" s="43">
        <v>14</v>
      </c>
      <c r="E113" s="43" t="s">
        <v>2291</v>
      </c>
      <c r="F113" s="43" t="s">
        <v>2318</v>
      </c>
      <c r="AF113" s="43">
        <v>111</v>
      </c>
      <c r="AG113" s="43" t="s">
        <v>2668</v>
      </c>
      <c r="AH113" s="43" t="s">
        <v>2685</v>
      </c>
      <c r="AJ113" s="43">
        <v>111</v>
      </c>
      <c r="AK113" s="43" t="s">
        <v>2573</v>
      </c>
      <c r="AL113" s="43" t="s">
        <v>2738</v>
      </c>
      <c r="AN113" s="43">
        <v>111</v>
      </c>
      <c r="AO113" s="43" t="s">
        <v>2739</v>
      </c>
      <c r="AP113" s="43" t="s">
        <v>2740</v>
      </c>
      <c r="AR113" s="43">
        <v>13</v>
      </c>
      <c r="AS113" s="43" t="s">
        <v>2300</v>
      </c>
      <c r="AT113" s="43" t="s">
        <v>2317</v>
      </c>
    </row>
    <row r="114" spans="4:46" ht="16" x14ac:dyDescent="0.2">
      <c r="D114" s="43">
        <v>15</v>
      </c>
      <c r="E114" s="43" t="s">
        <v>2291</v>
      </c>
      <c r="F114" s="43" t="s">
        <v>2327</v>
      </c>
      <c r="AF114" s="43">
        <v>112</v>
      </c>
      <c r="AG114" s="43" t="s">
        <v>2727</v>
      </c>
      <c r="AH114" s="43" t="s">
        <v>2741</v>
      </c>
      <c r="AJ114" s="43">
        <v>112</v>
      </c>
      <c r="AK114" s="43" t="s">
        <v>2420</v>
      </c>
      <c r="AL114" s="43" t="s">
        <v>2421</v>
      </c>
      <c r="AN114" s="43">
        <v>112</v>
      </c>
      <c r="AO114" s="43" t="s">
        <v>2739</v>
      </c>
      <c r="AP114" s="43" t="s">
        <v>2742</v>
      </c>
      <c r="AR114" s="43">
        <v>14</v>
      </c>
      <c r="AS114" s="43" t="s">
        <v>2325</v>
      </c>
      <c r="AT114" s="43" t="s">
        <v>2326</v>
      </c>
    </row>
    <row r="115" spans="4:46" ht="32" x14ac:dyDescent="0.2">
      <c r="D115" s="43">
        <v>16</v>
      </c>
      <c r="E115" s="43" t="s">
        <v>2291</v>
      </c>
      <c r="F115" s="43" t="s">
        <v>2334</v>
      </c>
      <c r="AF115" s="43">
        <v>113</v>
      </c>
      <c r="AG115" s="43" t="s">
        <v>2727</v>
      </c>
      <c r="AH115" s="43" t="s">
        <v>2730</v>
      </c>
      <c r="AJ115" s="43">
        <v>113</v>
      </c>
      <c r="AK115" s="43" t="s">
        <v>2420</v>
      </c>
      <c r="AL115" s="43" t="s">
        <v>2426</v>
      </c>
      <c r="AN115" s="43">
        <v>113</v>
      </c>
      <c r="AO115" s="43" t="s">
        <v>2739</v>
      </c>
      <c r="AP115" s="43" t="s">
        <v>2743</v>
      </c>
      <c r="AR115" s="43">
        <v>15</v>
      </c>
      <c r="AS115" s="43" t="s">
        <v>2325</v>
      </c>
      <c r="AT115" s="43" t="s">
        <v>2333</v>
      </c>
    </row>
    <row r="116" spans="4:46" ht="16" x14ac:dyDescent="0.2">
      <c r="D116" s="43">
        <v>17</v>
      </c>
      <c r="E116" s="43" t="s">
        <v>2291</v>
      </c>
      <c r="F116" s="43" t="s">
        <v>2341</v>
      </c>
      <c r="AF116" s="43">
        <v>114</v>
      </c>
      <c r="AG116" s="43" t="s">
        <v>2727</v>
      </c>
      <c r="AH116" s="43" t="s">
        <v>2744</v>
      </c>
      <c r="AJ116" s="43">
        <v>114</v>
      </c>
      <c r="AK116" s="43" t="s">
        <v>2420</v>
      </c>
      <c r="AL116" s="43" t="s">
        <v>2433</v>
      </c>
      <c r="AN116" s="43">
        <v>114</v>
      </c>
      <c r="AO116" s="43" t="s">
        <v>2745</v>
      </c>
      <c r="AP116" s="43" t="s">
        <v>2746</v>
      </c>
      <c r="AR116" s="43">
        <v>16</v>
      </c>
      <c r="AS116" s="43" t="s">
        <v>2325</v>
      </c>
      <c r="AT116" s="43" t="s">
        <v>2340</v>
      </c>
    </row>
    <row r="117" spans="4:46" ht="16" x14ac:dyDescent="0.2">
      <c r="D117" s="43">
        <v>18</v>
      </c>
      <c r="E117" s="43" t="s">
        <v>2291</v>
      </c>
      <c r="F117" s="43" t="s">
        <v>2349</v>
      </c>
      <c r="AF117" s="43">
        <v>115</v>
      </c>
      <c r="AG117" s="43" t="s">
        <v>2727</v>
      </c>
      <c r="AH117" s="43" t="s">
        <v>2747</v>
      </c>
      <c r="AJ117" s="43">
        <v>113</v>
      </c>
      <c r="AK117" s="43" t="s">
        <v>2420</v>
      </c>
      <c r="AL117" s="43" t="s">
        <v>2441</v>
      </c>
      <c r="AN117" s="43">
        <v>115</v>
      </c>
      <c r="AO117" s="43" t="s">
        <v>2745</v>
      </c>
      <c r="AP117" s="43" t="s">
        <v>2748</v>
      </c>
      <c r="AR117" s="43">
        <v>17</v>
      </c>
      <c r="AS117" s="43" t="s">
        <v>2347</v>
      </c>
      <c r="AT117" s="43" t="s">
        <v>2348</v>
      </c>
    </row>
    <row r="118" spans="4:46" ht="16" x14ac:dyDescent="0.2">
      <c r="D118" s="43">
        <v>19</v>
      </c>
      <c r="E118" s="43" t="s">
        <v>2357</v>
      </c>
      <c r="F118" s="43" t="s">
        <v>2358</v>
      </c>
      <c r="AF118" s="43">
        <v>116</v>
      </c>
      <c r="AG118" s="43" t="s">
        <v>2573</v>
      </c>
      <c r="AH118" s="43" t="s">
        <v>2749</v>
      </c>
      <c r="AN118" s="43">
        <v>116</v>
      </c>
      <c r="AO118" s="43" t="s">
        <v>2745</v>
      </c>
      <c r="AP118" s="43" t="s">
        <v>2750</v>
      </c>
      <c r="AR118" s="43">
        <v>18</v>
      </c>
      <c r="AS118" s="43" t="s">
        <v>2355</v>
      </c>
      <c r="AT118" s="43" t="s">
        <v>2356</v>
      </c>
    </row>
    <row r="119" spans="4:46" ht="16" x14ac:dyDescent="0.2">
      <c r="D119" s="43">
        <v>20</v>
      </c>
      <c r="E119" s="43" t="s">
        <v>2357</v>
      </c>
      <c r="F119" s="43" t="s">
        <v>2365</v>
      </c>
      <c r="AF119" s="43">
        <v>117</v>
      </c>
      <c r="AG119" s="43" t="s">
        <v>2573</v>
      </c>
      <c r="AH119" s="43" t="s">
        <v>2751</v>
      </c>
      <c r="AN119" s="43">
        <v>117</v>
      </c>
      <c r="AO119" s="43" t="s">
        <v>2745</v>
      </c>
      <c r="AP119" s="43" t="s">
        <v>2752</v>
      </c>
      <c r="AR119" s="43">
        <v>19</v>
      </c>
      <c r="AS119" s="43" t="s">
        <v>2363</v>
      </c>
      <c r="AT119" s="43" t="s">
        <v>2364</v>
      </c>
    </row>
    <row r="120" spans="4:46" ht="16" x14ac:dyDescent="0.2">
      <c r="D120" s="43">
        <v>21</v>
      </c>
      <c r="E120" s="43" t="s">
        <v>2357</v>
      </c>
      <c r="F120" s="43" t="s">
        <v>2369</v>
      </c>
      <c r="AF120" s="43">
        <v>118</v>
      </c>
      <c r="AG120" s="43" t="s">
        <v>2573</v>
      </c>
      <c r="AH120" s="43" t="s">
        <v>2753</v>
      </c>
      <c r="AN120" s="43">
        <v>118</v>
      </c>
      <c r="AO120" s="43" t="s">
        <v>2745</v>
      </c>
      <c r="AP120" s="43" t="s">
        <v>2754</v>
      </c>
      <c r="AR120" s="43">
        <v>20</v>
      </c>
      <c r="AS120" s="43" t="s">
        <v>2363</v>
      </c>
      <c r="AT120" s="43" t="s">
        <v>2323</v>
      </c>
    </row>
    <row r="121" spans="4:46" ht="16" x14ac:dyDescent="0.2">
      <c r="D121" s="43">
        <v>22</v>
      </c>
      <c r="E121" s="43" t="s">
        <v>2357</v>
      </c>
      <c r="F121" s="43" t="s">
        <v>2375</v>
      </c>
      <c r="AF121" s="43">
        <v>119</v>
      </c>
      <c r="AG121" s="43" t="s">
        <v>2573</v>
      </c>
      <c r="AH121" s="43" t="s">
        <v>2755</v>
      </c>
      <c r="AN121" s="43">
        <v>119</v>
      </c>
      <c r="AO121" s="43" t="s">
        <v>2745</v>
      </c>
      <c r="AP121" s="43" t="s">
        <v>2756</v>
      </c>
      <c r="AR121" s="43">
        <v>21</v>
      </c>
      <c r="AS121" s="43" t="s">
        <v>2363</v>
      </c>
      <c r="AT121" s="43" t="s">
        <v>2332</v>
      </c>
    </row>
    <row r="122" spans="4:46" ht="16" x14ac:dyDescent="0.2">
      <c r="D122" s="43">
        <v>23</v>
      </c>
      <c r="E122" s="43" t="s">
        <v>1153</v>
      </c>
      <c r="F122" s="43" t="s">
        <v>2382</v>
      </c>
      <c r="AN122" s="43">
        <v>120</v>
      </c>
      <c r="AO122" s="43" t="s">
        <v>2745</v>
      </c>
      <c r="AP122" s="43" t="s">
        <v>2757</v>
      </c>
      <c r="AR122" s="43">
        <v>22</v>
      </c>
      <c r="AS122" s="43" t="s">
        <v>2363</v>
      </c>
      <c r="AT122" s="43" t="s">
        <v>2381</v>
      </c>
    </row>
    <row r="123" spans="4:46" ht="32" x14ac:dyDescent="0.2">
      <c r="D123" s="43">
        <v>24</v>
      </c>
      <c r="E123" s="43" t="s">
        <v>1153</v>
      </c>
      <c r="F123" s="43" t="s">
        <v>2388</v>
      </c>
      <c r="AN123" s="43">
        <v>121</v>
      </c>
      <c r="AO123" s="43" t="s">
        <v>2758</v>
      </c>
      <c r="AP123" s="43" t="s">
        <v>2759</v>
      </c>
      <c r="AR123" s="43">
        <v>23</v>
      </c>
      <c r="AS123" s="43" t="s">
        <v>2363</v>
      </c>
      <c r="AT123" s="43" t="s">
        <v>2387</v>
      </c>
    </row>
    <row r="124" spans="4:46" ht="16" x14ac:dyDescent="0.2">
      <c r="D124" s="43">
        <v>25</v>
      </c>
      <c r="E124" s="43" t="s">
        <v>1153</v>
      </c>
      <c r="F124" s="43" t="s">
        <v>2395</v>
      </c>
      <c r="AN124" s="43">
        <v>122</v>
      </c>
      <c r="AO124" s="43" t="s">
        <v>2758</v>
      </c>
      <c r="AP124" s="43" t="s">
        <v>2760</v>
      </c>
      <c r="AR124" s="43">
        <v>24</v>
      </c>
      <c r="AS124" s="43" t="s">
        <v>2393</v>
      </c>
      <c r="AT124" s="43" t="s">
        <v>2394</v>
      </c>
    </row>
    <row r="125" spans="4:46" ht="16" x14ac:dyDescent="0.2">
      <c r="D125" s="43">
        <v>26</v>
      </c>
      <c r="E125" s="43" t="s">
        <v>1153</v>
      </c>
      <c r="F125" s="43" t="s">
        <v>2402</v>
      </c>
      <c r="AN125" s="43">
        <v>123</v>
      </c>
      <c r="AO125" s="43" t="s">
        <v>2758</v>
      </c>
      <c r="AP125" s="43" t="s">
        <v>2761</v>
      </c>
      <c r="AR125" s="43">
        <v>25</v>
      </c>
      <c r="AS125" s="43" t="s">
        <v>2393</v>
      </c>
      <c r="AT125" s="43" t="s">
        <v>2401</v>
      </c>
    </row>
    <row r="126" spans="4:46" ht="16" x14ac:dyDescent="0.2">
      <c r="D126" s="43">
        <v>27</v>
      </c>
      <c r="E126" s="43" t="s">
        <v>1153</v>
      </c>
      <c r="F126" s="43" t="s">
        <v>2409</v>
      </c>
      <c r="AN126" s="43">
        <v>124</v>
      </c>
      <c r="AO126" s="43" t="s">
        <v>2762</v>
      </c>
      <c r="AP126" s="43" t="s">
        <v>2763</v>
      </c>
      <c r="AR126" s="43">
        <v>26</v>
      </c>
      <c r="AS126" s="43" t="s">
        <v>2393</v>
      </c>
      <c r="AT126" s="43" t="s">
        <v>2408</v>
      </c>
    </row>
    <row r="127" spans="4:46" ht="16" x14ac:dyDescent="0.2">
      <c r="D127" s="43">
        <v>28</v>
      </c>
      <c r="E127" s="43" t="s">
        <v>1153</v>
      </c>
      <c r="F127" s="43" t="s">
        <v>2413</v>
      </c>
      <c r="AN127" s="43">
        <v>125</v>
      </c>
      <c r="AO127" s="43" t="s">
        <v>2762</v>
      </c>
      <c r="AP127" s="43" t="s">
        <v>2764</v>
      </c>
      <c r="AR127" s="43">
        <v>27</v>
      </c>
      <c r="AS127" s="43" t="s">
        <v>2393</v>
      </c>
      <c r="AT127" s="43" t="s">
        <v>2412</v>
      </c>
    </row>
    <row r="128" spans="4:46" ht="16" x14ac:dyDescent="0.2">
      <c r="D128" s="43">
        <v>29</v>
      </c>
      <c r="E128" s="43" t="s">
        <v>2418</v>
      </c>
      <c r="F128" s="43" t="s">
        <v>2419</v>
      </c>
      <c r="AN128" s="43">
        <v>126</v>
      </c>
      <c r="AO128" s="43" t="s">
        <v>2762</v>
      </c>
      <c r="AP128" s="43" t="s">
        <v>2765</v>
      </c>
      <c r="AR128" s="43">
        <v>28</v>
      </c>
      <c r="AS128" s="43" t="s">
        <v>2393</v>
      </c>
      <c r="AT128" s="43" t="s">
        <v>2417</v>
      </c>
    </row>
    <row r="129" spans="4:46" ht="16" x14ac:dyDescent="0.2">
      <c r="D129" s="43">
        <v>30</v>
      </c>
      <c r="E129" s="43" t="s">
        <v>2418</v>
      </c>
      <c r="F129" s="43" t="s">
        <v>2425</v>
      </c>
      <c r="AN129" s="43">
        <v>127</v>
      </c>
      <c r="AO129" s="43" t="s">
        <v>2762</v>
      </c>
      <c r="AP129" s="43" t="s">
        <v>2766</v>
      </c>
      <c r="AR129" s="43">
        <v>29</v>
      </c>
      <c r="AS129" s="43" t="s">
        <v>2376</v>
      </c>
      <c r="AT129" s="43" t="s">
        <v>2389</v>
      </c>
    </row>
    <row r="130" spans="4:46" ht="16" x14ac:dyDescent="0.2">
      <c r="D130" s="43">
        <v>31</v>
      </c>
      <c r="E130" s="43" t="s">
        <v>2431</v>
      </c>
      <c r="F130" s="43" t="s">
        <v>2432</v>
      </c>
      <c r="AN130" s="43">
        <v>128</v>
      </c>
      <c r="AO130" s="43" t="s">
        <v>2767</v>
      </c>
      <c r="AP130" s="43" t="s">
        <v>2768</v>
      </c>
      <c r="AR130" s="43">
        <v>30</v>
      </c>
      <c r="AS130" s="43" t="s">
        <v>2376</v>
      </c>
      <c r="AT130" s="43" t="s">
        <v>2396</v>
      </c>
    </row>
    <row r="131" spans="4:46" ht="16" x14ac:dyDescent="0.2">
      <c r="D131" s="43">
        <v>32</v>
      </c>
      <c r="E131" s="43" t="s">
        <v>2431</v>
      </c>
      <c r="F131" s="43" t="s">
        <v>2440</v>
      </c>
      <c r="AN131" s="43">
        <v>129</v>
      </c>
      <c r="AO131" s="43" t="s">
        <v>2767</v>
      </c>
      <c r="AP131" s="43" t="s">
        <v>2769</v>
      </c>
      <c r="AR131" s="43">
        <v>31</v>
      </c>
      <c r="AS131" s="43" t="s">
        <v>2376</v>
      </c>
      <c r="AT131" s="43" t="s">
        <v>2439</v>
      </c>
    </row>
    <row r="132" spans="4:46" ht="16" x14ac:dyDescent="0.2">
      <c r="D132" s="43">
        <v>33</v>
      </c>
      <c r="E132" s="43" t="s">
        <v>2226</v>
      </c>
      <c r="F132" s="43" t="s">
        <v>2446</v>
      </c>
      <c r="AN132" s="43">
        <v>130</v>
      </c>
      <c r="AO132" s="43" t="s">
        <v>2770</v>
      </c>
      <c r="AP132" s="43" t="s">
        <v>2771</v>
      </c>
      <c r="AR132" s="43">
        <v>32</v>
      </c>
      <c r="AS132" s="43" t="s">
        <v>2420</v>
      </c>
      <c r="AT132" s="43" t="s">
        <v>2421</v>
      </c>
    </row>
    <row r="133" spans="4:46" ht="16" x14ac:dyDescent="0.2">
      <c r="D133" s="43">
        <v>34</v>
      </c>
      <c r="E133" s="43" t="s">
        <v>2376</v>
      </c>
      <c r="F133" s="43" t="s">
        <v>2389</v>
      </c>
      <c r="AN133" s="43">
        <v>131</v>
      </c>
      <c r="AO133" s="43" t="s">
        <v>2772</v>
      </c>
      <c r="AP133" s="43" t="s">
        <v>2773</v>
      </c>
      <c r="AR133" s="43">
        <v>33</v>
      </c>
      <c r="AS133" s="43" t="s">
        <v>2420</v>
      </c>
      <c r="AT133" s="43" t="s">
        <v>2426</v>
      </c>
    </row>
    <row r="134" spans="4:46" ht="16" x14ac:dyDescent="0.2">
      <c r="D134" s="43">
        <v>35</v>
      </c>
      <c r="E134" s="43" t="s">
        <v>2376</v>
      </c>
      <c r="F134" s="43" t="s">
        <v>2396</v>
      </c>
      <c r="AN134" s="43">
        <v>132</v>
      </c>
      <c r="AO134" s="43" t="s">
        <v>2774</v>
      </c>
      <c r="AP134" s="43" t="s">
        <v>2775</v>
      </c>
      <c r="AR134" s="43">
        <v>34</v>
      </c>
      <c r="AS134" s="43" t="s">
        <v>2420</v>
      </c>
      <c r="AT134" s="43" t="s">
        <v>2433</v>
      </c>
    </row>
    <row r="135" spans="4:46" ht="16" x14ac:dyDescent="0.2">
      <c r="D135" s="43">
        <v>36</v>
      </c>
      <c r="E135" s="43" t="s">
        <v>2376</v>
      </c>
      <c r="F135" s="43" t="s">
        <v>2465</v>
      </c>
      <c r="AN135" s="43">
        <v>133</v>
      </c>
      <c r="AO135" s="43" t="s">
        <v>2431</v>
      </c>
      <c r="AP135" s="43" t="s">
        <v>2653</v>
      </c>
      <c r="AR135" s="43">
        <v>35</v>
      </c>
      <c r="AS135" s="43" t="s">
        <v>2420</v>
      </c>
      <c r="AT135" s="43" t="s">
        <v>2441</v>
      </c>
    </row>
    <row r="136" spans="4:46" ht="16" x14ac:dyDescent="0.2">
      <c r="D136" s="43">
        <v>37</v>
      </c>
      <c r="E136" s="43" t="s">
        <v>2403</v>
      </c>
      <c r="F136" s="43" t="s">
        <v>2404</v>
      </c>
      <c r="AN136" s="43">
        <v>134</v>
      </c>
      <c r="AO136" s="43" t="s">
        <v>2431</v>
      </c>
      <c r="AP136" s="43" t="s">
        <v>2720</v>
      </c>
      <c r="AR136" s="43">
        <v>36</v>
      </c>
      <c r="AS136" s="43" t="s">
        <v>2472</v>
      </c>
      <c r="AT136" s="43" t="s">
        <v>2473</v>
      </c>
    </row>
    <row r="137" spans="4:46" ht="16" x14ac:dyDescent="0.2">
      <c r="D137" s="43">
        <v>38</v>
      </c>
      <c r="E137" s="43" t="s">
        <v>2403</v>
      </c>
      <c r="F137" s="43" t="s">
        <v>2481</v>
      </c>
      <c r="AN137" s="43">
        <v>135</v>
      </c>
      <c r="AO137" s="43" t="s">
        <v>2431</v>
      </c>
      <c r="AP137" s="43" t="s">
        <v>2722</v>
      </c>
      <c r="AR137" s="43">
        <v>37</v>
      </c>
      <c r="AS137" s="43" t="s">
        <v>2472</v>
      </c>
      <c r="AT137" s="43" t="s">
        <v>2480</v>
      </c>
    </row>
    <row r="138" spans="4:46" ht="16" x14ac:dyDescent="0.2">
      <c r="D138" s="43">
        <v>39</v>
      </c>
      <c r="E138" s="43" t="s">
        <v>2403</v>
      </c>
      <c r="F138" s="43" t="s">
        <v>2392</v>
      </c>
      <c r="AN138" s="43">
        <v>136</v>
      </c>
      <c r="AO138" s="43" t="s">
        <v>2431</v>
      </c>
      <c r="AP138" s="43" t="s">
        <v>2723</v>
      </c>
      <c r="AR138" s="43">
        <v>38</v>
      </c>
      <c r="AS138" s="43" t="s">
        <v>2472</v>
      </c>
      <c r="AT138" s="43" t="s">
        <v>2490</v>
      </c>
    </row>
    <row r="139" spans="4:46" ht="16" x14ac:dyDescent="0.2">
      <c r="D139" s="43">
        <v>40</v>
      </c>
      <c r="E139" s="43" t="s">
        <v>2311</v>
      </c>
      <c r="F139" s="43" t="s">
        <v>2496</v>
      </c>
      <c r="AN139" s="43">
        <v>137</v>
      </c>
      <c r="AO139" s="43" t="s">
        <v>2668</v>
      </c>
      <c r="AP139" s="43" t="s">
        <v>2669</v>
      </c>
      <c r="AR139" s="43">
        <v>39</v>
      </c>
      <c r="AS139" s="43" t="s">
        <v>2472</v>
      </c>
      <c r="AT139" s="43" t="s">
        <v>2495</v>
      </c>
    </row>
    <row r="140" spans="4:46" ht="16" x14ac:dyDescent="0.2">
      <c r="D140" s="43">
        <v>41</v>
      </c>
      <c r="E140" s="43" t="s">
        <v>2311</v>
      </c>
      <c r="F140" s="43" t="s">
        <v>2362</v>
      </c>
      <c r="AN140" s="43">
        <v>138</v>
      </c>
      <c r="AO140" s="43" t="s">
        <v>2668</v>
      </c>
      <c r="AP140" s="43" t="s">
        <v>2673</v>
      </c>
      <c r="AR140" s="43">
        <v>40</v>
      </c>
      <c r="AS140" s="43" t="s">
        <v>2472</v>
      </c>
      <c r="AT140" s="43" t="s">
        <v>2501</v>
      </c>
    </row>
    <row r="141" spans="4:46" ht="16" x14ac:dyDescent="0.2">
      <c r="D141" s="43">
        <v>42</v>
      </c>
      <c r="E141" s="43" t="s">
        <v>2311</v>
      </c>
      <c r="F141" s="43" t="s">
        <v>2507</v>
      </c>
      <c r="AN141" s="43">
        <v>139</v>
      </c>
      <c r="AO141" s="43" t="s">
        <v>2668</v>
      </c>
      <c r="AP141" s="43" t="s">
        <v>2679</v>
      </c>
      <c r="AR141" s="43">
        <v>41</v>
      </c>
      <c r="AS141" s="43" t="s">
        <v>2472</v>
      </c>
      <c r="AT141" s="43" t="s">
        <v>2506</v>
      </c>
    </row>
    <row r="142" spans="4:46" ht="16" x14ac:dyDescent="0.2">
      <c r="D142" s="43">
        <v>43</v>
      </c>
      <c r="E142" s="43" t="s">
        <v>2228</v>
      </c>
      <c r="F142" s="43" t="s">
        <v>2247</v>
      </c>
      <c r="AN142" s="43">
        <v>140</v>
      </c>
      <c r="AO142" s="43" t="s">
        <v>2668</v>
      </c>
      <c r="AP142" s="43" t="s">
        <v>2682</v>
      </c>
      <c r="AR142" s="43">
        <v>42</v>
      </c>
      <c r="AS142" s="43" t="s">
        <v>2472</v>
      </c>
      <c r="AT142" s="43" t="s">
        <v>2512</v>
      </c>
    </row>
    <row r="143" spans="4:46" ht="16" x14ac:dyDescent="0.2">
      <c r="D143" s="43">
        <v>44</v>
      </c>
      <c r="E143" s="43" t="s">
        <v>2228</v>
      </c>
      <c r="F143" s="43" t="s">
        <v>2255</v>
      </c>
      <c r="AN143" s="43">
        <v>141</v>
      </c>
      <c r="AO143" s="43" t="s">
        <v>2668</v>
      </c>
      <c r="AP143" s="43" t="s">
        <v>2685</v>
      </c>
      <c r="AR143" s="43">
        <v>43</v>
      </c>
      <c r="AS143" s="43" t="s">
        <v>2472</v>
      </c>
      <c r="AT143" s="43" t="s">
        <v>2518</v>
      </c>
    </row>
    <row r="144" spans="4:46" ht="16" x14ac:dyDescent="0.2">
      <c r="D144" s="43">
        <v>45</v>
      </c>
      <c r="E144" s="43" t="s">
        <v>2228</v>
      </c>
      <c r="F144" s="43" t="s">
        <v>2513</v>
      </c>
      <c r="AN144" s="43">
        <v>142</v>
      </c>
      <c r="AO144" s="43" t="s">
        <v>2727</v>
      </c>
      <c r="AP144" s="43" t="s">
        <v>2728</v>
      </c>
      <c r="AR144" s="43">
        <v>44</v>
      </c>
      <c r="AS144" s="43" t="s">
        <v>2472</v>
      </c>
      <c r="AT144" s="43" t="s">
        <v>2524</v>
      </c>
    </row>
    <row r="145" spans="4:46" ht="16" x14ac:dyDescent="0.2">
      <c r="D145" s="43">
        <v>46</v>
      </c>
      <c r="E145" s="43" t="s">
        <v>2519</v>
      </c>
      <c r="F145" s="43" t="s">
        <v>2529</v>
      </c>
      <c r="AN145" s="43">
        <v>143</v>
      </c>
      <c r="AO145" s="43" t="s">
        <v>2727</v>
      </c>
      <c r="AP145" s="43" t="s">
        <v>2729</v>
      </c>
      <c r="AR145" s="43">
        <v>45</v>
      </c>
      <c r="AS145" s="43" t="s">
        <v>2460</v>
      </c>
      <c r="AT145" s="43" t="s">
        <v>2528</v>
      </c>
    </row>
    <row r="146" spans="4:46" ht="16" x14ac:dyDescent="0.2">
      <c r="D146" s="43">
        <v>47</v>
      </c>
      <c r="E146" s="43" t="s">
        <v>2224</v>
      </c>
      <c r="F146" s="43" t="s">
        <v>2534</v>
      </c>
      <c r="AN146" s="43">
        <v>144</v>
      </c>
      <c r="AO146" s="43" t="s">
        <v>2727</v>
      </c>
      <c r="AP146" s="43" t="s">
        <v>2730</v>
      </c>
      <c r="AR146" s="43">
        <v>46</v>
      </c>
      <c r="AS146" s="43" t="s">
        <v>2460</v>
      </c>
      <c r="AT146" s="43" t="s">
        <v>2533</v>
      </c>
    </row>
    <row r="147" spans="4:46" ht="16" x14ac:dyDescent="0.2">
      <c r="D147" s="43">
        <v>48</v>
      </c>
      <c r="E147" s="43" t="s">
        <v>2541</v>
      </c>
      <c r="F147" s="43" t="s">
        <v>2542</v>
      </c>
      <c r="AN147" s="43">
        <v>145</v>
      </c>
      <c r="AO147" s="43" t="s">
        <v>2573</v>
      </c>
      <c r="AP147" s="43" t="s">
        <v>2731</v>
      </c>
      <c r="AR147" s="43">
        <v>47</v>
      </c>
      <c r="AS147" s="43" t="s">
        <v>2460</v>
      </c>
      <c r="AT147" s="43" t="s">
        <v>2540</v>
      </c>
    </row>
    <row r="148" spans="4:46" ht="16" x14ac:dyDescent="0.2">
      <c r="D148" s="43">
        <v>49</v>
      </c>
      <c r="E148" s="43" t="s">
        <v>2541</v>
      </c>
      <c r="F148" s="43" t="s">
        <v>2547</v>
      </c>
      <c r="AN148" s="43">
        <v>146</v>
      </c>
      <c r="AO148" s="43" t="s">
        <v>2573</v>
      </c>
      <c r="AP148" s="43" t="s">
        <v>2732</v>
      </c>
      <c r="AR148" s="43">
        <v>48</v>
      </c>
      <c r="AS148" s="43" t="s">
        <v>2460</v>
      </c>
      <c r="AT148" s="43" t="s">
        <v>2546</v>
      </c>
    </row>
    <row r="149" spans="4:46" ht="16" x14ac:dyDescent="0.2">
      <c r="D149" s="43">
        <v>50</v>
      </c>
      <c r="E149" s="43" t="s">
        <v>2541</v>
      </c>
      <c r="F149" s="43" t="s">
        <v>2551</v>
      </c>
      <c r="AN149" s="43">
        <v>147</v>
      </c>
      <c r="AO149" s="43" t="s">
        <v>2573</v>
      </c>
      <c r="AP149" s="43" t="s">
        <v>2735</v>
      </c>
      <c r="AR149" s="43">
        <v>49</v>
      </c>
      <c r="AS149" s="43" t="s">
        <v>2460</v>
      </c>
      <c r="AT149" s="43" t="s">
        <v>2550</v>
      </c>
    </row>
    <row r="150" spans="4:46" ht="16" x14ac:dyDescent="0.2">
      <c r="D150" s="43">
        <v>51</v>
      </c>
      <c r="E150" s="43" t="s">
        <v>2541</v>
      </c>
      <c r="F150" s="43" t="s">
        <v>2555</v>
      </c>
      <c r="AN150" s="43">
        <v>148</v>
      </c>
      <c r="AO150" s="43" t="s">
        <v>2573</v>
      </c>
      <c r="AP150" s="43" t="s">
        <v>2738</v>
      </c>
      <c r="AR150" s="43">
        <v>50</v>
      </c>
      <c r="AS150" s="43" t="s">
        <v>2460</v>
      </c>
      <c r="AT150" s="43" t="s">
        <v>2554</v>
      </c>
    </row>
    <row r="151" spans="4:46" ht="16" x14ac:dyDescent="0.2">
      <c r="D151" s="43">
        <v>52</v>
      </c>
      <c r="E151" s="43" t="s">
        <v>2420</v>
      </c>
      <c r="F151" s="43" t="s">
        <v>2421</v>
      </c>
      <c r="AR151" s="43">
        <v>51</v>
      </c>
      <c r="AS151" s="43" t="s">
        <v>2460</v>
      </c>
      <c r="AT151" s="43" t="s">
        <v>2558</v>
      </c>
    </row>
    <row r="152" spans="4:46" ht="16" x14ac:dyDescent="0.2">
      <c r="D152" s="43">
        <v>53</v>
      </c>
      <c r="E152" s="43" t="s">
        <v>2420</v>
      </c>
      <c r="F152" s="43" t="s">
        <v>2426</v>
      </c>
      <c r="AR152" s="43">
        <v>52</v>
      </c>
      <c r="AS152" s="43" t="s">
        <v>2460</v>
      </c>
      <c r="AT152" s="43" t="s">
        <v>2562</v>
      </c>
    </row>
    <row r="153" spans="4:46" ht="16" x14ac:dyDescent="0.2">
      <c r="D153" s="43">
        <v>54</v>
      </c>
      <c r="E153" s="43" t="s">
        <v>2420</v>
      </c>
      <c r="F153" s="43" t="s">
        <v>2433</v>
      </c>
      <c r="AR153" s="43">
        <v>53</v>
      </c>
      <c r="AS153" s="43" t="s">
        <v>2460</v>
      </c>
      <c r="AT153" s="43" t="s">
        <v>2566</v>
      </c>
    </row>
    <row r="154" spans="4:46" ht="16" x14ac:dyDescent="0.2">
      <c r="D154" s="43">
        <v>55</v>
      </c>
      <c r="E154" s="43" t="s">
        <v>2420</v>
      </c>
      <c r="F154" s="43" t="s">
        <v>2441</v>
      </c>
      <c r="AR154" s="43">
        <v>54</v>
      </c>
      <c r="AS154" s="43" t="s">
        <v>2460</v>
      </c>
      <c r="AT154" s="43" t="s">
        <v>2569</v>
      </c>
    </row>
    <row r="155" spans="4:46" ht="16" x14ac:dyDescent="0.2">
      <c r="D155" s="43">
        <v>56</v>
      </c>
      <c r="E155" s="43" t="s">
        <v>2573</v>
      </c>
      <c r="F155" s="43" t="s">
        <v>2574</v>
      </c>
      <c r="AR155" s="43">
        <v>55</v>
      </c>
      <c r="AS155" s="43" t="s">
        <v>2460</v>
      </c>
      <c r="AT155" s="43" t="s">
        <v>2572</v>
      </c>
    </row>
    <row r="156" spans="4:46" ht="16" x14ac:dyDescent="0.2">
      <c r="D156" s="43">
        <v>57</v>
      </c>
      <c r="E156" s="43" t="s">
        <v>2573</v>
      </c>
      <c r="F156" s="43" t="s">
        <v>2579</v>
      </c>
      <c r="AR156" s="43">
        <v>56</v>
      </c>
      <c r="AS156" s="43" t="s">
        <v>2460</v>
      </c>
      <c r="AT156" s="43" t="s">
        <v>2578</v>
      </c>
    </row>
    <row r="157" spans="4:46" ht="16" x14ac:dyDescent="0.2">
      <c r="D157" s="43">
        <v>58</v>
      </c>
      <c r="E157" s="43" t="s">
        <v>2573</v>
      </c>
      <c r="F157" s="43" t="s">
        <v>2583</v>
      </c>
      <c r="AR157" s="43">
        <v>57</v>
      </c>
      <c r="AS157" s="43" t="s">
        <v>2460</v>
      </c>
      <c r="AT157" s="43" t="s">
        <v>2582</v>
      </c>
    </row>
    <row r="158" spans="4:46" ht="16" x14ac:dyDescent="0.2">
      <c r="D158" s="43">
        <v>59</v>
      </c>
      <c r="E158" s="43" t="s">
        <v>2573</v>
      </c>
      <c r="F158" s="43" t="s">
        <v>2586</v>
      </c>
      <c r="AR158" s="43">
        <v>58</v>
      </c>
      <c r="AS158" s="43" t="s">
        <v>2460</v>
      </c>
      <c r="AT158" s="43" t="s">
        <v>2582</v>
      </c>
    </row>
    <row r="159" spans="4:46" ht="16" x14ac:dyDescent="0.2">
      <c r="D159" s="43">
        <v>60</v>
      </c>
      <c r="E159" s="43" t="s">
        <v>2573</v>
      </c>
      <c r="F159" s="43" t="s">
        <v>2590</v>
      </c>
      <c r="AR159" s="43">
        <v>59</v>
      </c>
      <c r="AS159" s="43" t="s">
        <v>2460</v>
      </c>
      <c r="AT159" s="43" t="s">
        <v>2589</v>
      </c>
    </row>
    <row r="160" spans="4:46" ht="16" x14ac:dyDescent="0.2">
      <c r="D160" s="43">
        <v>61</v>
      </c>
      <c r="E160" s="43" t="s">
        <v>2596</v>
      </c>
      <c r="F160" s="43" t="s">
        <v>2597</v>
      </c>
      <c r="AR160" s="43">
        <v>60</v>
      </c>
      <c r="AS160" s="43" t="s">
        <v>2594</v>
      </c>
      <c r="AT160" s="43" t="s">
        <v>2595</v>
      </c>
    </row>
    <row r="161" spans="4:46" ht="16" x14ac:dyDescent="0.2">
      <c r="D161" s="43">
        <v>62</v>
      </c>
      <c r="E161" s="43" t="s">
        <v>2596</v>
      </c>
      <c r="F161" s="43" t="s">
        <v>2602</v>
      </c>
      <c r="AR161" s="43">
        <v>61</v>
      </c>
      <c r="AS161" s="43" t="s">
        <v>2594</v>
      </c>
      <c r="AT161" s="43" t="s">
        <v>2601</v>
      </c>
    </row>
    <row r="162" spans="4:46" ht="16" x14ac:dyDescent="0.2">
      <c r="D162" s="43">
        <v>63</v>
      </c>
      <c r="E162" s="43" t="s">
        <v>2596</v>
      </c>
      <c r="F162" s="43" t="s">
        <v>2607</v>
      </c>
      <c r="AR162" s="43">
        <v>62</v>
      </c>
      <c r="AS162" s="43" t="s">
        <v>2605</v>
      </c>
      <c r="AT162" s="43" t="s">
        <v>2606</v>
      </c>
    </row>
    <row r="163" spans="4:46" ht="16" x14ac:dyDescent="0.2">
      <c r="D163" s="43">
        <v>64</v>
      </c>
      <c r="E163" s="43" t="s">
        <v>2596</v>
      </c>
      <c r="F163" s="43" t="s">
        <v>2612</v>
      </c>
      <c r="AR163" s="43">
        <v>63</v>
      </c>
      <c r="AS163" s="43" t="s">
        <v>2610</v>
      </c>
      <c r="AT163" s="43" t="s">
        <v>2611</v>
      </c>
    </row>
    <row r="164" spans="4:46" ht="16" x14ac:dyDescent="0.2">
      <c r="D164" s="43">
        <v>65</v>
      </c>
      <c r="E164" s="43" t="s">
        <v>2616</v>
      </c>
      <c r="F164" s="43" t="s">
        <v>2617</v>
      </c>
      <c r="AR164" s="43">
        <v>64</v>
      </c>
      <c r="AS164" s="43" t="s">
        <v>2516</v>
      </c>
      <c r="AT164" s="43" t="s">
        <v>2615</v>
      </c>
    </row>
    <row r="165" spans="4:46" ht="16" x14ac:dyDescent="0.2">
      <c r="AR165" s="43">
        <v>65</v>
      </c>
      <c r="AS165" s="43" t="s">
        <v>2516</v>
      </c>
      <c r="AT165" s="43" t="s">
        <v>2603</v>
      </c>
    </row>
    <row r="166" spans="4:46" ht="16" x14ac:dyDescent="0.2">
      <c r="AR166" s="43">
        <v>66</v>
      </c>
      <c r="AS166" s="43" t="s">
        <v>2516</v>
      </c>
      <c r="AT166" s="43" t="s">
        <v>2608</v>
      </c>
    </row>
    <row r="167" spans="4:46" ht="16" x14ac:dyDescent="0.2">
      <c r="AR167" s="43">
        <v>67</v>
      </c>
      <c r="AS167" s="43" t="s">
        <v>2516</v>
      </c>
      <c r="AT167" s="43" t="s">
        <v>2625</v>
      </c>
    </row>
    <row r="168" spans="4:46" ht="16" x14ac:dyDescent="0.2">
      <c r="AR168" s="43">
        <v>68</v>
      </c>
      <c r="AS168" s="43" t="s">
        <v>2516</v>
      </c>
      <c r="AT168" s="43" t="s">
        <v>2628</v>
      </c>
    </row>
    <row r="169" spans="4:46" ht="16" x14ac:dyDescent="0.2">
      <c r="AR169" s="43">
        <v>69</v>
      </c>
      <c r="AS169" s="43" t="s">
        <v>2573</v>
      </c>
      <c r="AT169" s="43" t="s">
        <v>2630</v>
      </c>
    </row>
    <row r="170" spans="4:46" ht="16" x14ac:dyDescent="0.2">
      <c r="AR170" s="43">
        <v>70</v>
      </c>
      <c r="AS170" s="43" t="s">
        <v>2573</v>
      </c>
      <c r="AT170" s="43" t="s">
        <v>2634</v>
      </c>
    </row>
    <row r="171" spans="4:46" ht="16" x14ac:dyDescent="0.2">
      <c r="AR171" s="43">
        <v>71</v>
      </c>
      <c r="AS171" s="43" t="s">
        <v>2573</v>
      </c>
      <c r="AT171" s="43" t="s">
        <v>2636</v>
      </c>
    </row>
    <row r="172" spans="4:46" ht="16" x14ac:dyDescent="0.2">
      <c r="AR172" s="43">
        <v>72</v>
      </c>
      <c r="AS172" s="43" t="s">
        <v>2573</v>
      </c>
      <c r="AT172" s="43" t="s">
        <v>2640</v>
      </c>
    </row>
    <row r="173" spans="4:46" ht="16" x14ac:dyDescent="0.2">
      <c r="AR173" s="43">
        <v>73</v>
      </c>
      <c r="AS173" s="43" t="s">
        <v>2573</v>
      </c>
      <c r="AT173" s="43" t="s">
        <v>2643</v>
      </c>
    </row>
    <row r="174" spans="4:46" ht="16" x14ac:dyDescent="0.2">
      <c r="AR174" s="43">
        <v>74</v>
      </c>
      <c r="AS174" s="43" t="s">
        <v>2573</v>
      </c>
      <c r="AT174" s="43" t="s">
        <v>2646</v>
      </c>
    </row>
    <row r="175" spans="4:46" ht="16" x14ac:dyDescent="0.2">
      <c r="AR175" s="43">
        <v>75</v>
      </c>
      <c r="AS175" s="43" t="s">
        <v>2573</v>
      </c>
      <c r="AT175" s="43" t="s">
        <v>2649</v>
      </c>
    </row>
    <row r="176" spans="4:46" ht="16" x14ac:dyDescent="0.2">
      <c r="AR176" s="43">
        <v>76</v>
      </c>
      <c r="AS176" s="43" t="s">
        <v>2431</v>
      </c>
      <c r="AT176" s="43" t="s">
        <v>2653</v>
      </c>
    </row>
    <row r="177" spans="44:46" ht="16" x14ac:dyDescent="0.2">
      <c r="AR177" s="43">
        <v>77</v>
      </c>
      <c r="AS177" s="43" t="s">
        <v>2431</v>
      </c>
      <c r="AT177" s="43" t="s">
        <v>2657</v>
      </c>
    </row>
    <row r="178" spans="44:46" ht="16" x14ac:dyDescent="0.2">
      <c r="AR178" s="43">
        <v>78</v>
      </c>
      <c r="AS178" s="43" t="s">
        <v>2431</v>
      </c>
      <c r="AT178" s="43" t="s">
        <v>2661</v>
      </c>
    </row>
    <row r="179" spans="44:46" ht="16" x14ac:dyDescent="0.2">
      <c r="AR179" s="43">
        <v>79</v>
      </c>
      <c r="AS179" s="43" t="s">
        <v>2431</v>
      </c>
      <c r="AT179" s="43" t="s">
        <v>2666</v>
      </c>
    </row>
    <row r="180" spans="44:46" ht="16" x14ac:dyDescent="0.2">
      <c r="AR180" s="43">
        <v>80</v>
      </c>
      <c r="AS180" s="43" t="s">
        <v>2668</v>
      </c>
      <c r="AT180" s="43" t="s">
        <v>2669</v>
      </c>
    </row>
    <row r="181" spans="44:46" ht="16" x14ac:dyDescent="0.2">
      <c r="AR181" s="43">
        <v>81</v>
      </c>
      <c r="AS181" s="43" t="s">
        <v>2668</v>
      </c>
      <c r="AT181" s="43" t="s">
        <v>2673</v>
      </c>
    </row>
    <row r="182" spans="44:46" ht="16" x14ac:dyDescent="0.2">
      <c r="AR182" s="43">
        <v>82</v>
      </c>
      <c r="AS182" s="43" t="s">
        <v>2668</v>
      </c>
      <c r="AT182" s="43" t="s">
        <v>2679</v>
      </c>
    </row>
    <row r="183" spans="44:46" ht="16" x14ac:dyDescent="0.2">
      <c r="AR183" s="43">
        <v>83</v>
      </c>
      <c r="AS183" s="43" t="s">
        <v>2668</v>
      </c>
      <c r="AT183" s="43" t="s">
        <v>2682</v>
      </c>
    </row>
    <row r="184" spans="44:46" ht="16" x14ac:dyDescent="0.2">
      <c r="AR184" s="43">
        <v>84</v>
      </c>
      <c r="AS184" s="43" t="s">
        <v>2668</v>
      </c>
      <c r="AT184" s="43" t="s">
        <v>2685</v>
      </c>
    </row>
  </sheetData>
  <pageMargins left="0.7" right="0.7" top="0.75" bottom="0.75" header="0.3" footer="0.3"/>
  <pageSetup scale="73" orientation="landscape" horizontalDpi="0" verticalDpi="0" copies="3"/>
  <colBreaks count="2" manualBreakCount="2">
    <brk id="3" max="183" man="1"/>
    <brk id="6" max="183" man="1"/>
  </colBreaks>
  <tableParts count="1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B39DF-1CC5-4F6D-8B7F-2926A26C71A4}">
  <sheetPr codeName="Hoja5"/>
  <dimension ref="B2:AJ112"/>
  <sheetViews>
    <sheetView topLeftCell="Z32" zoomScale="110" zoomScaleNormal="110" workbookViewId="0">
      <selection activeCell="A41" sqref="A41"/>
    </sheetView>
  </sheetViews>
  <sheetFormatPr baseColWidth="10" defaultRowHeight="15" x14ac:dyDescent="0.2"/>
  <cols>
    <col min="2" max="2" width="25.33203125" bestFit="1" customWidth="1"/>
    <col min="3" max="3" width="25.6640625" customWidth="1"/>
    <col min="5" max="5" width="25.33203125" bestFit="1" customWidth="1"/>
    <col min="6" max="6" width="25.6640625" customWidth="1"/>
    <col min="8" max="8" width="35.33203125" bestFit="1" customWidth="1"/>
    <col min="9" max="9" width="26.1640625" customWidth="1"/>
    <col min="11" max="11" width="38.1640625" bestFit="1" customWidth="1"/>
    <col min="12" max="12" width="25.6640625" customWidth="1"/>
    <col min="14" max="14" width="33" bestFit="1" customWidth="1"/>
    <col min="15" max="15" width="28" customWidth="1"/>
    <col min="17" max="17" width="35.33203125" bestFit="1" customWidth="1"/>
    <col min="18" max="18" width="24.5" bestFit="1" customWidth="1"/>
    <col min="20" max="20" width="24.33203125" bestFit="1" customWidth="1"/>
    <col min="21" max="21" width="24.5" bestFit="1" customWidth="1"/>
    <col min="23" max="23" width="31.1640625" customWidth="1"/>
    <col min="24" max="24" width="25.5" bestFit="1" customWidth="1"/>
    <col min="26" max="26" width="30" bestFit="1" customWidth="1"/>
    <col min="27" max="27" width="24.5" bestFit="1" customWidth="1"/>
    <col min="29" max="29" width="31.1640625" bestFit="1" customWidth="1"/>
    <col min="30" max="30" width="24.5" bestFit="1" customWidth="1"/>
    <col min="32" max="32" width="30" bestFit="1" customWidth="1"/>
    <col min="33" max="33" width="24.5" bestFit="1" customWidth="1"/>
    <col min="35" max="35" width="25.33203125" bestFit="1" customWidth="1"/>
    <col min="36" max="36" width="24.5" bestFit="1" customWidth="1"/>
    <col min="38" max="38" width="27" bestFit="1" customWidth="1"/>
    <col min="39" max="39" width="19.5" bestFit="1" customWidth="1"/>
    <col min="41" max="41" width="25" bestFit="1" customWidth="1"/>
    <col min="42" max="42" width="19.5" bestFit="1" customWidth="1"/>
    <col min="44" max="44" width="27" bestFit="1" customWidth="1"/>
    <col min="45" max="45" width="19.5" bestFit="1" customWidth="1"/>
    <col min="47" max="47" width="25" bestFit="1" customWidth="1"/>
    <col min="48" max="48" width="19.5" bestFit="1" customWidth="1"/>
    <col min="51" max="51" width="19.5" bestFit="1" customWidth="1"/>
  </cols>
  <sheetData>
    <row r="2" spans="2:36" x14ac:dyDescent="0.2">
      <c r="B2" t="s">
        <v>1408</v>
      </c>
      <c r="C2" t="s">
        <v>137</v>
      </c>
      <c r="E2" t="s">
        <v>1415</v>
      </c>
      <c r="F2" t="s">
        <v>138</v>
      </c>
      <c r="H2" t="s">
        <v>11344</v>
      </c>
      <c r="I2" t="s">
        <v>139</v>
      </c>
      <c r="K2" t="s">
        <v>1428</v>
      </c>
      <c r="L2" t="s">
        <v>140</v>
      </c>
      <c r="N2" t="s">
        <v>1439</v>
      </c>
      <c r="O2" t="s">
        <v>141</v>
      </c>
      <c r="Q2" t="s">
        <v>1440</v>
      </c>
      <c r="R2" t="s">
        <v>142</v>
      </c>
      <c r="T2" t="s">
        <v>1461</v>
      </c>
      <c r="U2" t="s">
        <v>143</v>
      </c>
      <c r="W2" t="s">
        <v>1460</v>
      </c>
      <c r="X2" t="s">
        <v>144</v>
      </c>
      <c r="Z2" t="s">
        <v>1463</v>
      </c>
      <c r="AA2" t="s">
        <v>145</v>
      </c>
      <c r="AC2" t="s">
        <v>1464</v>
      </c>
      <c r="AD2" t="s">
        <v>146</v>
      </c>
      <c r="AF2" t="s">
        <v>1465</v>
      </c>
      <c r="AG2" t="s">
        <v>147</v>
      </c>
      <c r="AI2" t="s">
        <v>1466</v>
      </c>
      <c r="AJ2" t="s">
        <v>148</v>
      </c>
    </row>
    <row r="3" spans="2:36" x14ac:dyDescent="0.2">
      <c r="B3" t="s">
        <v>222</v>
      </c>
      <c r="C3" s="1" t="s">
        <v>150</v>
      </c>
      <c r="E3" t="s">
        <v>222</v>
      </c>
      <c r="F3" t="s">
        <v>150</v>
      </c>
      <c r="H3" t="s">
        <v>222</v>
      </c>
      <c r="I3" t="s">
        <v>151</v>
      </c>
      <c r="K3" t="s">
        <v>222</v>
      </c>
      <c r="L3" t="s">
        <v>152</v>
      </c>
      <c r="N3" t="s">
        <v>222</v>
      </c>
      <c r="O3" t="s">
        <v>153</v>
      </c>
      <c r="Q3" t="s">
        <v>222</v>
      </c>
      <c r="R3" t="s">
        <v>154</v>
      </c>
      <c r="T3" t="s">
        <v>155</v>
      </c>
      <c r="U3" t="s">
        <v>1448</v>
      </c>
      <c r="W3" t="s">
        <v>222</v>
      </c>
      <c r="X3" t="s">
        <v>150</v>
      </c>
      <c r="Z3" t="s">
        <v>222</v>
      </c>
      <c r="AA3" t="s">
        <v>156</v>
      </c>
      <c r="AC3" t="s">
        <v>222</v>
      </c>
      <c r="AD3" t="s">
        <v>157</v>
      </c>
      <c r="AF3" t="s">
        <v>222</v>
      </c>
      <c r="AG3" t="s">
        <v>158</v>
      </c>
      <c r="AI3" t="s">
        <v>222</v>
      </c>
      <c r="AJ3" t="s">
        <v>159</v>
      </c>
    </row>
    <row r="4" spans="2:36" x14ac:dyDescent="0.2">
      <c r="B4" t="s">
        <v>162</v>
      </c>
      <c r="C4" s="1" t="s">
        <v>163</v>
      </c>
      <c r="E4" t="s">
        <v>162</v>
      </c>
      <c r="F4" t="s">
        <v>163</v>
      </c>
      <c r="H4" t="s">
        <v>162</v>
      </c>
      <c r="I4" t="s">
        <v>164</v>
      </c>
      <c r="K4" t="s">
        <v>162</v>
      </c>
      <c r="L4" t="s">
        <v>165</v>
      </c>
      <c r="N4" t="s">
        <v>162</v>
      </c>
      <c r="O4" t="s">
        <v>165</v>
      </c>
      <c r="Q4" t="s">
        <v>162</v>
      </c>
      <c r="R4" t="s">
        <v>166</v>
      </c>
      <c r="T4" t="s">
        <v>162</v>
      </c>
      <c r="U4" t="s">
        <v>1449</v>
      </c>
      <c r="W4" t="s">
        <v>162</v>
      </c>
      <c r="X4" t="s">
        <v>167</v>
      </c>
      <c r="Z4" t="s">
        <v>162</v>
      </c>
      <c r="AA4" t="s">
        <v>168</v>
      </c>
      <c r="AC4" t="s">
        <v>162</v>
      </c>
      <c r="AD4" t="s">
        <v>163</v>
      </c>
      <c r="AF4" t="s">
        <v>162</v>
      </c>
      <c r="AG4" t="s">
        <v>163</v>
      </c>
      <c r="AI4" t="s">
        <v>162</v>
      </c>
      <c r="AJ4" t="s">
        <v>163</v>
      </c>
    </row>
    <row r="5" spans="2:36" x14ac:dyDescent="0.2">
      <c r="B5" t="s">
        <v>1409</v>
      </c>
      <c r="C5" s="1" t="s">
        <v>1414</v>
      </c>
      <c r="E5" t="s">
        <v>1409</v>
      </c>
      <c r="F5" t="s">
        <v>1414</v>
      </c>
      <c r="H5" t="s">
        <v>172</v>
      </c>
      <c r="I5" t="s">
        <v>173</v>
      </c>
      <c r="K5" t="s">
        <v>172</v>
      </c>
      <c r="L5" t="s">
        <v>174</v>
      </c>
      <c r="N5" t="s">
        <v>172</v>
      </c>
      <c r="O5" t="s">
        <v>175</v>
      </c>
      <c r="Q5" t="s">
        <v>1409</v>
      </c>
      <c r="R5" t="s">
        <v>1414</v>
      </c>
      <c r="T5" t="s">
        <v>176</v>
      </c>
      <c r="U5" t="s">
        <v>1447</v>
      </c>
      <c r="W5" t="s">
        <v>1409</v>
      </c>
      <c r="X5" t="s">
        <v>1414</v>
      </c>
      <c r="Z5" t="s">
        <v>1409</v>
      </c>
      <c r="AA5" t="s">
        <v>1414</v>
      </c>
      <c r="AC5" t="s">
        <v>1409</v>
      </c>
      <c r="AD5" t="s">
        <v>1414</v>
      </c>
      <c r="AF5" t="s">
        <v>1409</v>
      </c>
      <c r="AG5" t="s">
        <v>1414</v>
      </c>
      <c r="AI5" t="s">
        <v>1409</v>
      </c>
      <c r="AJ5" t="s">
        <v>1414</v>
      </c>
    </row>
    <row r="6" spans="2:36" x14ac:dyDescent="0.2">
      <c r="B6" t="s">
        <v>1410</v>
      </c>
      <c r="C6" s="1" t="s">
        <v>1411</v>
      </c>
      <c r="E6" t="s">
        <v>1410</v>
      </c>
      <c r="F6" t="s">
        <v>1411</v>
      </c>
      <c r="H6" t="s">
        <v>1410</v>
      </c>
      <c r="I6" t="s">
        <v>1411</v>
      </c>
      <c r="K6" t="s">
        <v>1410</v>
      </c>
      <c r="L6" t="s">
        <v>1411</v>
      </c>
      <c r="N6" t="s">
        <v>1410</v>
      </c>
      <c r="O6" t="s">
        <v>1411</v>
      </c>
      <c r="Q6" t="s">
        <v>1410</v>
      </c>
      <c r="R6" t="s">
        <v>1411</v>
      </c>
      <c r="T6" t="s">
        <v>191</v>
      </c>
      <c r="U6" t="s">
        <v>1450</v>
      </c>
      <c r="W6" t="s">
        <v>1410</v>
      </c>
      <c r="X6" t="s">
        <v>1411</v>
      </c>
      <c r="Z6" t="s">
        <v>1410</v>
      </c>
      <c r="AA6" t="s">
        <v>1411</v>
      </c>
      <c r="AC6" t="s">
        <v>1410</v>
      </c>
      <c r="AD6" t="s">
        <v>1411</v>
      </c>
      <c r="AF6" t="s">
        <v>1410</v>
      </c>
      <c r="AG6" t="s">
        <v>1411</v>
      </c>
      <c r="AI6" t="s">
        <v>1410</v>
      </c>
      <c r="AJ6" t="s">
        <v>1411</v>
      </c>
    </row>
    <row r="7" spans="2:36" x14ac:dyDescent="0.2">
      <c r="B7" t="s">
        <v>180</v>
      </c>
      <c r="C7" s="1" t="s">
        <v>181</v>
      </c>
      <c r="E7" t="s">
        <v>180</v>
      </c>
      <c r="F7" t="s">
        <v>181</v>
      </c>
      <c r="H7" t="s">
        <v>186</v>
      </c>
      <c r="I7" t="s">
        <v>187</v>
      </c>
      <c r="K7" t="s">
        <v>186</v>
      </c>
      <c r="L7" t="s">
        <v>188</v>
      </c>
      <c r="N7" t="s">
        <v>186</v>
      </c>
      <c r="O7" t="s">
        <v>188</v>
      </c>
      <c r="Q7" t="s">
        <v>176</v>
      </c>
      <c r="R7" t="s">
        <v>177</v>
      </c>
      <c r="T7" t="s">
        <v>207</v>
      </c>
      <c r="U7" t="s">
        <v>1451</v>
      </c>
      <c r="W7" t="s">
        <v>176</v>
      </c>
      <c r="X7" t="s">
        <v>178</v>
      </c>
      <c r="Z7" t="s">
        <v>170</v>
      </c>
      <c r="AA7" t="s">
        <v>179</v>
      </c>
      <c r="AC7" t="s">
        <v>170</v>
      </c>
      <c r="AD7" t="s">
        <v>171</v>
      </c>
      <c r="AF7" t="s">
        <v>180</v>
      </c>
      <c r="AG7" t="s">
        <v>181</v>
      </c>
      <c r="AI7" t="s">
        <v>180</v>
      </c>
      <c r="AJ7" t="s">
        <v>181</v>
      </c>
    </row>
    <row r="8" spans="2:36" x14ac:dyDescent="0.2">
      <c r="B8" t="s">
        <v>253</v>
      </c>
      <c r="C8" s="1" t="s">
        <v>249</v>
      </c>
      <c r="E8" t="s">
        <v>253</v>
      </c>
      <c r="F8" t="s">
        <v>249</v>
      </c>
      <c r="H8" t="s">
        <v>1422</v>
      </c>
      <c r="I8" t="s">
        <v>1419</v>
      </c>
      <c r="K8" t="s">
        <v>218</v>
      </c>
      <c r="L8" t="s">
        <v>219</v>
      </c>
      <c r="N8" t="s">
        <v>218</v>
      </c>
      <c r="O8" t="s">
        <v>219</v>
      </c>
      <c r="Q8" t="s">
        <v>189</v>
      </c>
      <c r="R8" t="s">
        <v>190</v>
      </c>
      <c r="T8" t="s">
        <v>222</v>
      </c>
      <c r="U8" t="s">
        <v>1452</v>
      </c>
      <c r="W8" t="s">
        <v>192</v>
      </c>
      <c r="X8" t="s">
        <v>193</v>
      </c>
      <c r="Z8" t="s">
        <v>194</v>
      </c>
      <c r="AA8" t="s">
        <v>195</v>
      </c>
      <c r="AC8" t="s">
        <v>196</v>
      </c>
      <c r="AD8" t="s">
        <v>197</v>
      </c>
      <c r="AF8" t="s">
        <v>196</v>
      </c>
      <c r="AG8" t="s">
        <v>198</v>
      </c>
      <c r="AI8" t="s">
        <v>196</v>
      </c>
      <c r="AJ8" t="s">
        <v>198</v>
      </c>
    </row>
    <row r="9" spans="2:36" x14ac:dyDescent="0.2">
      <c r="B9" t="s">
        <v>196</v>
      </c>
      <c r="C9" s="1" t="s">
        <v>197</v>
      </c>
      <c r="E9" t="s">
        <v>196</v>
      </c>
      <c r="F9" t="s">
        <v>198</v>
      </c>
      <c r="H9" t="s">
        <v>1423</v>
      </c>
      <c r="I9" t="s">
        <v>202</v>
      </c>
      <c r="K9" t="s">
        <v>205</v>
      </c>
      <c r="L9" t="s">
        <v>233</v>
      </c>
      <c r="N9" t="s">
        <v>234</v>
      </c>
      <c r="O9" t="s">
        <v>235</v>
      </c>
      <c r="Q9" t="s">
        <v>1443</v>
      </c>
      <c r="R9" t="s">
        <v>271</v>
      </c>
      <c r="T9" t="s">
        <v>205</v>
      </c>
      <c r="U9" t="s">
        <v>1453</v>
      </c>
      <c r="W9" t="s">
        <v>189</v>
      </c>
      <c r="X9" t="s">
        <v>208</v>
      </c>
      <c r="Z9" t="s">
        <v>196</v>
      </c>
      <c r="AA9" t="s">
        <v>209</v>
      </c>
      <c r="AC9" t="s">
        <v>205</v>
      </c>
      <c r="AD9" t="s">
        <v>210</v>
      </c>
      <c r="AF9" t="s">
        <v>205</v>
      </c>
      <c r="AG9" t="s">
        <v>211</v>
      </c>
      <c r="AI9" t="s">
        <v>205</v>
      </c>
      <c r="AJ9" t="s">
        <v>212</v>
      </c>
    </row>
    <row r="10" spans="2:36" x14ac:dyDescent="0.2">
      <c r="B10" t="s">
        <v>170</v>
      </c>
      <c r="C10" s="1" t="s">
        <v>171</v>
      </c>
      <c r="E10" t="s">
        <v>170</v>
      </c>
      <c r="F10" t="s">
        <v>171</v>
      </c>
      <c r="H10" t="s">
        <v>218</v>
      </c>
      <c r="I10" t="s">
        <v>219</v>
      </c>
      <c r="K10" t="s">
        <v>220</v>
      </c>
      <c r="L10" t="s">
        <v>243</v>
      </c>
      <c r="N10" t="s">
        <v>205</v>
      </c>
      <c r="O10" t="s">
        <v>233</v>
      </c>
      <c r="Q10" t="s">
        <v>1442</v>
      </c>
      <c r="R10" t="s">
        <v>1441</v>
      </c>
      <c r="T10" t="s">
        <v>220</v>
      </c>
      <c r="U10" t="s">
        <v>1454</v>
      </c>
      <c r="W10" t="s">
        <v>205</v>
      </c>
      <c r="X10" t="s">
        <v>217</v>
      </c>
      <c r="Z10" t="s">
        <v>205</v>
      </c>
      <c r="AA10" t="s">
        <v>223</v>
      </c>
      <c r="AC10" t="s">
        <v>224</v>
      </c>
      <c r="AD10" t="s">
        <v>225</v>
      </c>
      <c r="AF10" t="s">
        <v>224</v>
      </c>
      <c r="AG10" t="s">
        <v>226</v>
      </c>
      <c r="AI10" t="s">
        <v>224</v>
      </c>
      <c r="AJ10" t="s">
        <v>227</v>
      </c>
    </row>
    <row r="11" spans="2:36" x14ac:dyDescent="0.2">
      <c r="B11" t="s">
        <v>205</v>
      </c>
      <c r="C11" s="1" t="s">
        <v>212</v>
      </c>
      <c r="E11" t="s">
        <v>205</v>
      </c>
      <c r="F11" t="s">
        <v>217</v>
      </c>
      <c r="H11" t="s">
        <v>205</v>
      </c>
      <c r="I11" t="s">
        <v>232</v>
      </c>
      <c r="K11" t="s">
        <v>236</v>
      </c>
      <c r="L11" t="s">
        <v>240</v>
      </c>
      <c r="N11" t="s">
        <v>220</v>
      </c>
      <c r="O11" t="s">
        <v>243</v>
      </c>
      <c r="Q11" t="s">
        <v>1446</v>
      </c>
      <c r="R11" t="s">
        <v>206</v>
      </c>
      <c r="T11" t="s">
        <v>236</v>
      </c>
      <c r="U11" t="s">
        <v>1455</v>
      </c>
      <c r="W11" t="s">
        <v>220</v>
      </c>
      <c r="X11" t="s">
        <v>238</v>
      </c>
      <c r="Z11" t="s">
        <v>220</v>
      </c>
      <c r="AA11" t="s">
        <v>239</v>
      </c>
      <c r="AC11" t="s">
        <v>236</v>
      </c>
      <c r="AD11" t="s">
        <v>240</v>
      </c>
      <c r="AF11" t="s">
        <v>236</v>
      </c>
      <c r="AG11" t="s">
        <v>240</v>
      </c>
      <c r="AI11" t="s">
        <v>236</v>
      </c>
      <c r="AJ11" t="s">
        <v>240</v>
      </c>
    </row>
    <row r="12" spans="2:36" x14ac:dyDescent="0.2">
      <c r="B12" t="s">
        <v>220</v>
      </c>
      <c r="C12" s="1" t="s">
        <v>231</v>
      </c>
      <c r="E12" t="s">
        <v>220</v>
      </c>
      <c r="F12" t="s">
        <v>231</v>
      </c>
      <c r="H12" t="s">
        <v>220</v>
      </c>
      <c r="I12" t="s">
        <v>243</v>
      </c>
      <c r="K12" t="s">
        <v>269</v>
      </c>
      <c r="L12" t="s">
        <v>270</v>
      </c>
      <c r="N12" t="s">
        <v>236</v>
      </c>
      <c r="O12" t="s">
        <v>254</v>
      </c>
      <c r="Q12" t="s">
        <v>220</v>
      </c>
      <c r="R12" t="s">
        <v>221</v>
      </c>
      <c r="T12" t="s">
        <v>143</v>
      </c>
      <c r="U12" t="s">
        <v>256</v>
      </c>
      <c r="W12" t="s">
        <v>236</v>
      </c>
      <c r="X12" t="s">
        <v>240</v>
      </c>
      <c r="Z12" t="s">
        <v>236</v>
      </c>
      <c r="AA12" t="s">
        <v>246</v>
      </c>
      <c r="AC12" t="s">
        <v>247</v>
      </c>
      <c r="AD12" t="s">
        <v>248</v>
      </c>
      <c r="AF12" t="s">
        <v>215</v>
      </c>
      <c r="AG12" t="s">
        <v>249</v>
      </c>
      <c r="AI12" t="s">
        <v>215</v>
      </c>
      <c r="AJ12" t="s">
        <v>249</v>
      </c>
    </row>
    <row r="13" spans="2:36" x14ac:dyDescent="0.2">
      <c r="B13" t="s">
        <v>236</v>
      </c>
      <c r="C13" s="1" t="s">
        <v>240</v>
      </c>
      <c r="E13" t="s">
        <v>236</v>
      </c>
      <c r="F13" t="s">
        <v>240</v>
      </c>
      <c r="H13" t="s">
        <v>236</v>
      </c>
      <c r="I13" t="s">
        <v>254</v>
      </c>
      <c r="K13" t="s">
        <v>279</v>
      </c>
      <c r="L13" t="s">
        <v>281</v>
      </c>
      <c r="N13" t="s">
        <v>269</v>
      </c>
      <c r="O13" t="s">
        <v>270</v>
      </c>
      <c r="Q13" t="s">
        <v>236</v>
      </c>
      <c r="R13" t="s">
        <v>237</v>
      </c>
      <c r="W13" t="s">
        <v>1413</v>
      </c>
      <c r="X13" t="s">
        <v>1412</v>
      </c>
      <c r="Z13" t="s">
        <v>257</v>
      </c>
      <c r="AA13" t="s">
        <v>258</v>
      </c>
      <c r="AC13" t="s">
        <v>257</v>
      </c>
      <c r="AD13" t="s">
        <v>259</v>
      </c>
      <c r="AF13" t="s">
        <v>260</v>
      </c>
      <c r="AG13" t="s">
        <v>261</v>
      </c>
      <c r="AI13" t="s">
        <v>257</v>
      </c>
      <c r="AJ13" t="s">
        <v>262</v>
      </c>
    </row>
    <row r="14" spans="2:36" x14ac:dyDescent="0.2">
      <c r="B14" t="s">
        <v>1413</v>
      </c>
      <c r="C14" s="1" t="s">
        <v>1412</v>
      </c>
      <c r="E14" t="s">
        <v>1413</v>
      </c>
      <c r="F14" t="s">
        <v>1412</v>
      </c>
      <c r="H14" t="s">
        <v>269</v>
      </c>
      <c r="I14" t="s">
        <v>270</v>
      </c>
      <c r="K14" t="s">
        <v>203</v>
      </c>
      <c r="L14" t="s">
        <v>204</v>
      </c>
      <c r="N14" t="s">
        <v>279</v>
      </c>
      <c r="O14" t="s">
        <v>289</v>
      </c>
      <c r="Q14" t="s">
        <v>244</v>
      </c>
      <c r="R14" t="s">
        <v>245</v>
      </c>
      <c r="W14" t="s">
        <v>251</v>
      </c>
      <c r="X14" t="s">
        <v>1456</v>
      </c>
      <c r="Z14" t="s">
        <v>272</v>
      </c>
      <c r="AA14" t="s">
        <v>273</v>
      </c>
      <c r="AC14" t="s">
        <v>272</v>
      </c>
      <c r="AD14" t="s">
        <v>274</v>
      </c>
      <c r="AF14" t="s">
        <v>257</v>
      </c>
      <c r="AG14" t="s">
        <v>262</v>
      </c>
      <c r="AI14" t="s">
        <v>272</v>
      </c>
      <c r="AJ14" t="s">
        <v>275</v>
      </c>
    </row>
    <row r="15" spans="2:36" x14ac:dyDescent="0.2">
      <c r="B15" t="s">
        <v>272</v>
      </c>
      <c r="C15" s="1" t="s">
        <v>274</v>
      </c>
      <c r="E15" t="s">
        <v>272</v>
      </c>
      <c r="F15" t="s">
        <v>278</v>
      </c>
      <c r="H15" t="s">
        <v>279</v>
      </c>
      <c r="I15" t="s">
        <v>280</v>
      </c>
      <c r="K15" t="s">
        <v>1424</v>
      </c>
      <c r="L15" t="s">
        <v>1429</v>
      </c>
      <c r="N15" t="s">
        <v>203</v>
      </c>
      <c r="O15" t="s">
        <v>204</v>
      </c>
      <c r="Q15" t="s">
        <v>1413</v>
      </c>
      <c r="R15" t="s">
        <v>1445</v>
      </c>
      <c r="W15" t="s">
        <v>272</v>
      </c>
      <c r="X15" t="s">
        <v>1457</v>
      </c>
      <c r="Z15" t="s">
        <v>265</v>
      </c>
      <c r="AA15" t="s">
        <v>283</v>
      </c>
      <c r="AC15" t="s">
        <v>265</v>
      </c>
      <c r="AD15" t="s">
        <v>266</v>
      </c>
      <c r="AF15" t="s">
        <v>272</v>
      </c>
      <c r="AG15" t="s">
        <v>284</v>
      </c>
      <c r="AI15" t="s">
        <v>265</v>
      </c>
      <c r="AJ15" t="s">
        <v>285</v>
      </c>
    </row>
    <row r="16" spans="2:36" x14ac:dyDescent="0.2">
      <c r="B16" t="s">
        <v>265</v>
      </c>
      <c r="C16" s="1" t="s">
        <v>266</v>
      </c>
      <c r="E16" t="s">
        <v>1416</v>
      </c>
      <c r="F16" t="s">
        <v>1417</v>
      </c>
      <c r="H16" t="s">
        <v>1420</v>
      </c>
      <c r="I16" t="s">
        <v>1421</v>
      </c>
      <c r="K16" t="s">
        <v>1430</v>
      </c>
      <c r="L16" t="s">
        <v>1432</v>
      </c>
      <c r="N16" t="s">
        <v>251</v>
      </c>
      <c r="O16" t="s">
        <v>1436</v>
      </c>
      <c r="Q16" t="s">
        <v>251</v>
      </c>
      <c r="R16" t="s">
        <v>255</v>
      </c>
      <c r="W16" t="s">
        <v>1458</v>
      </c>
      <c r="X16" t="s">
        <v>1459</v>
      </c>
      <c r="Z16" t="s">
        <v>267</v>
      </c>
      <c r="AA16" t="s">
        <v>1462</v>
      </c>
      <c r="AC16" t="s">
        <v>267</v>
      </c>
      <c r="AD16" t="s">
        <v>268</v>
      </c>
      <c r="AF16" t="s">
        <v>265</v>
      </c>
      <c r="AG16" t="s">
        <v>285</v>
      </c>
      <c r="AI16" t="s">
        <v>267</v>
      </c>
      <c r="AJ16" t="s">
        <v>268</v>
      </c>
    </row>
    <row r="17" spans="2:36" x14ac:dyDescent="0.2">
      <c r="B17" t="s">
        <v>267</v>
      </c>
      <c r="C17" s="1" t="s">
        <v>268</v>
      </c>
      <c r="E17" t="s">
        <v>267</v>
      </c>
      <c r="F17" t="s">
        <v>268</v>
      </c>
      <c r="H17" t="s">
        <v>1424</v>
      </c>
      <c r="I17" t="s">
        <v>1426</v>
      </c>
      <c r="K17" t="s">
        <v>1431</v>
      </c>
      <c r="L17" t="s">
        <v>1433</v>
      </c>
      <c r="N17" t="s">
        <v>1435</v>
      </c>
      <c r="O17" t="s">
        <v>1434</v>
      </c>
      <c r="Q17" t="s">
        <v>265</v>
      </c>
      <c r="R17" t="s">
        <v>282</v>
      </c>
      <c r="W17" t="s">
        <v>267</v>
      </c>
      <c r="X17" t="s">
        <v>268</v>
      </c>
      <c r="Z17" t="s">
        <v>145</v>
      </c>
      <c r="AA17" t="s">
        <v>256</v>
      </c>
      <c r="AC17" t="s">
        <v>146</v>
      </c>
      <c r="AD17" t="s">
        <v>256</v>
      </c>
      <c r="AF17" t="s">
        <v>267</v>
      </c>
      <c r="AG17" t="s">
        <v>268</v>
      </c>
      <c r="AI17" t="s">
        <v>148</v>
      </c>
      <c r="AJ17" t="s">
        <v>256</v>
      </c>
    </row>
    <row r="18" spans="2:36" x14ac:dyDescent="0.2">
      <c r="B18" t="s">
        <v>294</v>
      </c>
      <c r="C18" s="1" t="s">
        <v>298</v>
      </c>
      <c r="E18" t="s">
        <v>294</v>
      </c>
      <c r="F18" t="s">
        <v>295</v>
      </c>
      <c r="H18" t="s">
        <v>1425</v>
      </c>
      <c r="I18" t="s">
        <v>1427</v>
      </c>
      <c r="K18" t="s">
        <v>140</v>
      </c>
      <c r="L18" t="s">
        <v>256</v>
      </c>
      <c r="N18" t="s">
        <v>1437</v>
      </c>
      <c r="O18" t="s">
        <v>1438</v>
      </c>
      <c r="Q18" t="s">
        <v>272</v>
      </c>
      <c r="R18" t="s">
        <v>290</v>
      </c>
      <c r="W18" t="s">
        <v>144</v>
      </c>
      <c r="X18" t="s">
        <v>256</v>
      </c>
      <c r="AF18" t="s">
        <v>147</v>
      </c>
      <c r="AG18" t="s">
        <v>256</v>
      </c>
    </row>
    <row r="19" spans="2:36" x14ac:dyDescent="0.2">
      <c r="B19" t="s">
        <v>247</v>
      </c>
      <c r="C19" s="1" t="s">
        <v>248</v>
      </c>
      <c r="E19" t="s">
        <v>247</v>
      </c>
      <c r="F19" t="s">
        <v>1418</v>
      </c>
      <c r="H19" t="s">
        <v>139</v>
      </c>
      <c r="I19" t="s">
        <v>256</v>
      </c>
      <c r="N19" t="s">
        <v>1424</v>
      </c>
      <c r="O19" t="s">
        <v>1429</v>
      </c>
      <c r="Q19" t="s">
        <v>267</v>
      </c>
      <c r="R19" t="s">
        <v>1444</v>
      </c>
    </row>
    <row r="20" spans="2:36" x14ac:dyDescent="0.2">
      <c r="B20" t="s">
        <v>137</v>
      </c>
      <c r="C20" s="1" t="s">
        <v>256</v>
      </c>
      <c r="E20" t="s">
        <v>138</v>
      </c>
      <c r="F20" t="s">
        <v>256</v>
      </c>
      <c r="N20" t="s">
        <v>1430</v>
      </c>
      <c r="O20" t="s">
        <v>1432</v>
      </c>
      <c r="Q20" t="s">
        <v>142</v>
      </c>
      <c r="R20" t="s">
        <v>256</v>
      </c>
    </row>
    <row r="21" spans="2:36" x14ac:dyDescent="0.2">
      <c r="N21" t="s">
        <v>1431</v>
      </c>
      <c r="O21" t="s">
        <v>1433</v>
      </c>
    </row>
    <row r="22" spans="2:36" x14ac:dyDescent="0.2">
      <c r="N22" t="s">
        <v>141</v>
      </c>
      <c r="O22" t="s">
        <v>256</v>
      </c>
    </row>
    <row r="40" spans="2:36" x14ac:dyDescent="0.2">
      <c r="B40" t="s">
        <v>1473</v>
      </c>
      <c r="C40" t="s">
        <v>1474</v>
      </c>
      <c r="E40" t="s">
        <v>1475</v>
      </c>
      <c r="F40" t="s">
        <v>1476</v>
      </c>
      <c r="H40" t="s">
        <v>1486</v>
      </c>
      <c r="I40" t="s">
        <v>1487</v>
      </c>
      <c r="K40" t="s">
        <v>1488</v>
      </c>
      <c r="L40" t="s">
        <v>1489</v>
      </c>
      <c r="N40" t="s">
        <v>1490</v>
      </c>
      <c r="O40" t="s">
        <v>1615</v>
      </c>
      <c r="Q40" t="s">
        <v>1491</v>
      </c>
      <c r="R40" t="s">
        <v>1492</v>
      </c>
      <c r="T40" t="s">
        <v>1469</v>
      </c>
      <c r="U40" t="s">
        <v>1470</v>
      </c>
      <c r="W40" t="s">
        <v>1493</v>
      </c>
      <c r="X40" t="s">
        <v>1494</v>
      </c>
      <c r="Z40" t="s">
        <v>1468</v>
      </c>
      <c r="AA40" t="s">
        <v>1472</v>
      </c>
      <c r="AC40" t="s">
        <v>1467</v>
      </c>
      <c r="AD40" t="s">
        <v>1471</v>
      </c>
      <c r="AF40" t="s">
        <v>1495</v>
      </c>
      <c r="AG40" t="s">
        <v>1496</v>
      </c>
      <c r="AI40" t="s">
        <v>1497</v>
      </c>
      <c r="AJ40" t="s">
        <v>1498</v>
      </c>
    </row>
    <row r="41" spans="2:36" x14ac:dyDescent="0.2">
      <c r="B41" t="s">
        <v>222</v>
      </c>
      <c r="C41" t="s">
        <v>1510</v>
      </c>
      <c r="E41" t="s">
        <v>222</v>
      </c>
      <c r="F41" t="s">
        <v>154</v>
      </c>
      <c r="H41" t="s">
        <v>222</v>
      </c>
      <c r="I41" t="s">
        <v>1570</v>
      </c>
      <c r="K41" t="s">
        <v>162</v>
      </c>
      <c r="L41" t="s">
        <v>1591</v>
      </c>
      <c r="N41" t="s">
        <v>162</v>
      </c>
      <c r="O41" t="s">
        <v>166</v>
      </c>
      <c r="Q41" t="s">
        <v>222</v>
      </c>
      <c r="R41" t="s">
        <v>1637</v>
      </c>
      <c r="T41" t="s">
        <v>222</v>
      </c>
      <c r="U41" t="s">
        <v>1657</v>
      </c>
      <c r="W41" t="s">
        <v>222</v>
      </c>
      <c r="X41" t="s">
        <v>160</v>
      </c>
      <c r="Z41" t="s">
        <v>222</v>
      </c>
      <c r="AA41" t="s">
        <v>161</v>
      </c>
      <c r="AC41" t="s">
        <v>222</v>
      </c>
      <c r="AD41" t="s">
        <v>160</v>
      </c>
      <c r="AF41" t="s">
        <v>222</v>
      </c>
      <c r="AG41" t="s">
        <v>161</v>
      </c>
      <c r="AI41" t="s">
        <v>222</v>
      </c>
      <c r="AJ41" t="s">
        <v>154</v>
      </c>
    </row>
    <row r="42" spans="2:36" x14ac:dyDescent="0.2">
      <c r="B42" t="s">
        <v>162</v>
      </c>
      <c r="C42" t="s">
        <v>1507</v>
      </c>
      <c r="E42" t="s">
        <v>162</v>
      </c>
      <c r="F42" t="s">
        <v>166</v>
      </c>
      <c r="H42" t="s">
        <v>162</v>
      </c>
      <c r="I42" t="s">
        <v>1548</v>
      </c>
      <c r="K42" t="s">
        <v>222</v>
      </c>
      <c r="L42" t="s">
        <v>1597</v>
      </c>
      <c r="N42" t="s">
        <v>1617</v>
      </c>
      <c r="O42" t="s">
        <v>1618</v>
      </c>
      <c r="Q42" t="s">
        <v>162</v>
      </c>
      <c r="R42" t="s">
        <v>169</v>
      </c>
      <c r="T42" t="s">
        <v>162</v>
      </c>
      <c r="U42" t="s">
        <v>165</v>
      </c>
      <c r="W42" t="s">
        <v>1409</v>
      </c>
      <c r="X42" t="s">
        <v>1538</v>
      </c>
      <c r="Z42" t="s">
        <v>1479</v>
      </c>
      <c r="AA42" t="s">
        <v>1696</v>
      </c>
      <c r="AC42" t="s">
        <v>162</v>
      </c>
      <c r="AD42" t="s">
        <v>166</v>
      </c>
      <c r="AF42" t="s">
        <v>1479</v>
      </c>
      <c r="AG42" t="s">
        <v>1696</v>
      </c>
      <c r="AI42" t="s">
        <v>162</v>
      </c>
      <c r="AJ42" t="s">
        <v>165</v>
      </c>
    </row>
    <row r="43" spans="2:36" x14ac:dyDescent="0.2">
      <c r="B43" t="s">
        <v>1478</v>
      </c>
      <c r="C43" t="s">
        <v>1484</v>
      </c>
      <c r="E43" t="s">
        <v>1409</v>
      </c>
      <c r="F43" t="s">
        <v>1414</v>
      </c>
      <c r="H43" t="s">
        <v>1573</v>
      </c>
      <c r="I43" t="s">
        <v>1574</v>
      </c>
      <c r="K43" t="s">
        <v>1482</v>
      </c>
      <c r="L43" t="s">
        <v>1602</v>
      </c>
      <c r="N43" t="s">
        <v>1482</v>
      </c>
      <c r="O43" t="s">
        <v>1621</v>
      </c>
      <c r="Q43" t="s">
        <v>1409</v>
      </c>
      <c r="R43" t="s">
        <v>1414</v>
      </c>
      <c r="T43" t="s">
        <v>1409</v>
      </c>
      <c r="U43" t="s">
        <v>1538</v>
      </c>
      <c r="W43" t="s">
        <v>1410</v>
      </c>
      <c r="X43" t="s">
        <v>1411</v>
      </c>
      <c r="Z43" t="s">
        <v>162</v>
      </c>
      <c r="AA43" t="s">
        <v>169</v>
      </c>
      <c r="AC43" t="s">
        <v>1409</v>
      </c>
      <c r="AD43" t="s">
        <v>1538</v>
      </c>
      <c r="AF43" t="s">
        <v>162</v>
      </c>
      <c r="AG43" t="s">
        <v>169</v>
      </c>
      <c r="AI43" t="s">
        <v>1409</v>
      </c>
      <c r="AJ43" t="s">
        <v>1414</v>
      </c>
    </row>
    <row r="44" spans="2:36" x14ac:dyDescent="0.2">
      <c r="B44" t="s">
        <v>1479</v>
      </c>
      <c r="C44" t="s">
        <v>177</v>
      </c>
      <c r="E44" t="s">
        <v>1410</v>
      </c>
      <c r="F44" t="s">
        <v>1411</v>
      </c>
      <c r="H44" t="s">
        <v>1579</v>
      </c>
      <c r="I44" t="s">
        <v>1575</v>
      </c>
      <c r="K44" t="s">
        <v>1606</v>
      </c>
      <c r="L44" t="s">
        <v>1607</v>
      </c>
      <c r="N44" t="s">
        <v>222</v>
      </c>
      <c r="O44" t="s">
        <v>969</v>
      </c>
      <c r="Q44" t="s">
        <v>1410</v>
      </c>
      <c r="R44" t="s">
        <v>1411</v>
      </c>
      <c r="T44" t="s">
        <v>1410</v>
      </c>
      <c r="U44" t="s">
        <v>1411</v>
      </c>
      <c r="W44" t="s">
        <v>182</v>
      </c>
      <c r="X44" t="s">
        <v>1676</v>
      </c>
      <c r="Z44" t="s">
        <v>1409</v>
      </c>
      <c r="AA44" t="s">
        <v>1538</v>
      </c>
      <c r="AC44" t="s">
        <v>1410</v>
      </c>
      <c r="AD44" t="s">
        <v>1411</v>
      </c>
      <c r="AF44" t="s">
        <v>1409</v>
      </c>
      <c r="AG44" t="s">
        <v>1538</v>
      </c>
      <c r="AI44" t="s">
        <v>1410</v>
      </c>
      <c r="AJ44" t="s">
        <v>1411</v>
      </c>
    </row>
    <row r="45" spans="2:36" x14ac:dyDescent="0.2">
      <c r="B45" t="s">
        <v>1483</v>
      </c>
      <c r="C45" t="s">
        <v>1480</v>
      </c>
      <c r="E45" t="s">
        <v>1478</v>
      </c>
      <c r="F45" t="s">
        <v>1484</v>
      </c>
      <c r="H45" t="s">
        <v>1578</v>
      </c>
      <c r="I45" t="s">
        <v>1577</v>
      </c>
      <c r="K45" t="s">
        <v>1595</v>
      </c>
      <c r="L45" t="s">
        <v>1596</v>
      </c>
      <c r="N45" t="s">
        <v>1409</v>
      </c>
      <c r="O45" t="s">
        <v>1538</v>
      </c>
      <c r="Q45" t="s">
        <v>180</v>
      </c>
      <c r="R45" t="s">
        <v>1633</v>
      </c>
      <c r="T45" t="s">
        <v>1658</v>
      </c>
      <c r="U45" t="s">
        <v>1649</v>
      </c>
      <c r="W45" t="s">
        <v>1511</v>
      </c>
      <c r="X45" t="s">
        <v>200</v>
      </c>
      <c r="Z45" t="s">
        <v>1410</v>
      </c>
      <c r="AA45" t="s">
        <v>1411</v>
      </c>
      <c r="AC45" t="s">
        <v>182</v>
      </c>
      <c r="AD45" t="s">
        <v>183</v>
      </c>
      <c r="AF45" t="s">
        <v>1410</v>
      </c>
      <c r="AG45" t="s">
        <v>1411</v>
      </c>
      <c r="AI45" t="s">
        <v>176</v>
      </c>
      <c r="AJ45" t="s">
        <v>177</v>
      </c>
    </row>
    <row r="46" spans="2:36" x14ac:dyDescent="0.2">
      <c r="B46" t="s">
        <v>182</v>
      </c>
      <c r="C46" t="s">
        <v>1481</v>
      </c>
      <c r="E46" t="s">
        <v>1479</v>
      </c>
      <c r="F46" t="s">
        <v>177</v>
      </c>
      <c r="H46" t="s">
        <v>1580</v>
      </c>
      <c r="I46" t="s">
        <v>1576</v>
      </c>
      <c r="K46" t="s">
        <v>1608</v>
      </c>
      <c r="L46" t="s">
        <v>1609</v>
      </c>
      <c r="N46" t="s">
        <v>1549</v>
      </c>
      <c r="O46" t="s">
        <v>1411</v>
      </c>
      <c r="Q46" t="s">
        <v>1634</v>
      </c>
      <c r="R46" t="s">
        <v>1635</v>
      </c>
      <c r="T46" t="s">
        <v>180</v>
      </c>
      <c r="U46" t="s">
        <v>1659</v>
      </c>
      <c r="W46" t="s">
        <v>1658</v>
      </c>
      <c r="X46" t="s">
        <v>229</v>
      </c>
      <c r="Z46" t="s">
        <v>184</v>
      </c>
      <c r="AA46" t="s">
        <v>185</v>
      </c>
      <c r="AC46" t="s">
        <v>199</v>
      </c>
      <c r="AD46" t="s">
        <v>200</v>
      </c>
      <c r="AF46" t="s">
        <v>184</v>
      </c>
      <c r="AG46" t="s">
        <v>185</v>
      </c>
      <c r="AI46" t="s">
        <v>1716</v>
      </c>
      <c r="AJ46" t="s">
        <v>1485</v>
      </c>
    </row>
    <row r="47" spans="2:36" x14ac:dyDescent="0.2">
      <c r="B47" t="s">
        <v>1511</v>
      </c>
      <c r="C47" t="s">
        <v>1485</v>
      </c>
      <c r="E47" t="s">
        <v>1532</v>
      </c>
      <c r="F47" t="s">
        <v>1533</v>
      </c>
      <c r="H47" t="s">
        <v>1409</v>
      </c>
      <c r="I47" t="s">
        <v>1538</v>
      </c>
      <c r="K47" t="s">
        <v>1409</v>
      </c>
      <c r="L47" t="s">
        <v>1538</v>
      </c>
      <c r="N47" t="s">
        <v>1622</v>
      </c>
      <c r="O47" t="s">
        <v>1623</v>
      </c>
      <c r="Q47" t="s">
        <v>228</v>
      </c>
      <c r="R47" t="s">
        <v>1632</v>
      </c>
      <c r="T47" t="s">
        <v>1668</v>
      </c>
      <c r="U47" t="s">
        <v>1669</v>
      </c>
      <c r="W47" t="s">
        <v>1677</v>
      </c>
      <c r="X47" t="s">
        <v>214</v>
      </c>
      <c r="Z47" t="s">
        <v>180</v>
      </c>
      <c r="AA47" t="s">
        <v>201</v>
      </c>
      <c r="AC47" t="s">
        <v>213</v>
      </c>
      <c r="AD47" t="s">
        <v>214</v>
      </c>
      <c r="AF47" t="s">
        <v>180</v>
      </c>
      <c r="AG47" t="s">
        <v>201</v>
      </c>
      <c r="AI47" t="s">
        <v>1717</v>
      </c>
      <c r="AJ47" t="s">
        <v>1533</v>
      </c>
    </row>
    <row r="48" spans="2:36" x14ac:dyDescent="0.2">
      <c r="B48" t="s">
        <v>1512</v>
      </c>
      <c r="C48" t="s">
        <v>1513</v>
      </c>
      <c r="E48" t="s">
        <v>1482</v>
      </c>
      <c r="F48" t="s">
        <v>1531</v>
      </c>
      <c r="H48" t="s">
        <v>1549</v>
      </c>
      <c r="I48" t="s">
        <v>1411</v>
      </c>
      <c r="K48" t="s">
        <v>1549</v>
      </c>
      <c r="L48" t="s">
        <v>1411</v>
      </c>
      <c r="N48" t="s">
        <v>1624</v>
      </c>
      <c r="O48" t="s">
        <v>1625</v>
      </c>
      <c r="Q48" t="s">
        <v>1608</v>
      </c>
      <c r="R48" t="s">
        <v>1646</v>
      </c>
      <c r="T48" t="s">
        <v>309</v>
      </c>
      <c r="U48" t="s">
        <v>1654</v>
      </c>
      <c r="W48" t="s">
        <v>309</v>
      </c>
      <c r="X48" t="s">
        <v>315</v>
      </c>
      <c r="Z48" t="s">
        <v>1634</v>
      </c>
      <c r="AA48" t="s">
        <v>216</v>
      </c>
      <c r="AC48" t="s">
        <v>228</v>
      </c>
      <c r="AD48" t="s">
        <v>229</v>
      </c>
      <c r="AF48" t="s">
        <v>1634</v>
      </c>
      <c r="AG48" t="s">
        <v>216</v>
      </c>
      <c r="AI48" t="s">
        <v>170</v>
      </c>
      <c r="AJ48" t="s">
        <v>1531</v>
      </c>
    </row>
    <row r="49" spans="2:36" x14ac:dyDescent="0.2">
      <c r="B49" t="s">
        <v>1514</v>
      </c>
      <c r="C49" t="s">
        <v>1515</v>
      </c>
      <c r="E49" t="s">
        <v>1514</v>
      </c>
      <c r="F49" t="s">
        <v>1515</v>
      </c>
      <c r="H49" t="s">
        <v>1571</v>
      </c>
      <c r="I49" t="s">
        <v>1572</v>
      </c>
      <c r="K49" t="s">
        <v>1610</v>
      </c>
      <c r="L49" t="s">
        <v>1611</v>
      </c>
      <c r="N49" t="s">
        <v>1626</v>
      </c>
      <c r="O49" t="s">
        <v>1627</v>
      </c>
      <c r="Q49" t="s">
        <v>309</v>
      </c>
      <c r="R49" t="s">
        <v>315</v>
      </c>
      <c r="T49" t="s">
        <v>1514</v>
      </c>
      <c r="U49" t="s">
        <v>1661</v>
      </c>
      <c r="W49" t="s">
        <v>1608</v>
      </c>
      <c r="X49" t="s">
        <v>276</v>
      </c>
      <c r="Z49" t="s">
        <v>309</v>
      </c>
      <c r="AA49" t="s">
        <v>1702</v>
      </c>
      <c r="AC49" t="s">
        <v>236</v>
      </c>
      <c r="AD49" t="s">
        <v>241</v>
      </c>
      <c r="AF49" t="s">
        <v>309</v>
      </c>
      <c r="AG49" t="s">
        <v>1702</v>
      </c>
      <c r="AI49" t="s">
        <v>1719</v>
      </c>
      <c r="AJ49" t="s">
        <v>1720</v>
      </c>
    </row>
    <row r="50" spans="2:36" x14ac:dyDescent="0.2">
      <c r="B50" t="s">
        <v>1516</v>
      </c>
      <c r="C50" t="s">
        <v>1517</v>
      </c>
      <c r="E50" t="s">
        <v>1516</v>
      </c>
      <c r="F50" t="s">
        <v>1517</v>
      </c>
      <c r="H50" t="s">
        <v>1514</v>
      </c>
      <c r="I50" t="s">
        <v>1581</v>
      </c>
      <c r="K50" t="s">
        <v>205</v>
      </c>
      <c r="L50" t="s">
        <v>1612</v>
      </c>
      <c r="N50" t="s">
        <v>1628</v>
      </c>
      <c r="O50" t="s">
        <v>1629</v>
      </c>
      <c r="Q50" t="s">
        <v>1446</v>
      </c>
      <c r="R50" t="s">
        <v>1640</v>
      </c>
      <c r="T50" t="s">
        <v>1664</v>
      </c>
      <c r="U50" t="s">
        <v>1663</v>
      </c>
      <c r="W50" t="s">
        <v>1662</v>
      </c>
      <c r="X50" t="s">
        <v>286</v>
      </c>
      <c r="Z50" t="s">
        <v>228</v>
      </c>
      <c r="AA50" t="s">
        <v>230</v>
      </c>
      <c r="AC50" t="s">
        <v>1714</v>
      </c>
      <c r="AD50" t="s">
        <v>250</v>
      </c>
      <c r="AF50" t="s">
        <v>228</v>
      </c>
      <c r="AG50" t="s">
        <v>230</v>
      </c>
      <c r="AI50" t="s">
        <v>205</v>
      </c>
      <c r="AJ50" t="s">
        <v>1723</v>
      </c>
    </row>
    <row r="51" spans="2:36" x14ac:dyDescent="0.2">
      <c r="B51" t="s">
        <v>1524</v>
      </c>
      <c r="C51" t="s">
        <v>1525</v>
      </c>
      <c r="E51" t="s">
        <v>1524</v>
      </c>
      <c r="F51" t="s">
        <v>1525</v>
      </c>
      <c r="H51" t="s">
        <v>1582</v>
      </c>
      <c r="I51" t="s">
        <v>1583</v>
      </c>
      <c r="K51" t="s">
        <v>1613</v>
      </c>
      <c r="L51" t="s">
        <v>1614</v>
      </c>
      <c r="N51" t="s">
        <v>251</v>
      </c>
      <c r="O51" t="s">
        <v>1619</v>
      </c>
      <c r="Q51" t="s">
        <v>1641</v>
      </c>
      <c r="R51" t="s">
        <v>1642</v>
      </c>
      <c r="T51" t="s">
        <v>311</v>
      </c>
      <c r="U51" t="s">
        <v>1665</v>
      </c>
      <c r="W51" t="s">
        <v>1693</v>
      </c>
      <c r="X51" t="s">
        <v>316</v>
      </c>
      <c r="Z51" t="s">
        <v>236</v>
      </c>
      <c r="AA51" t="s">
        <v>242</v>
      </c>
      <c r="AC51" t="s">
        <v>1675</v>
      </c>
      <c r="AD51" t="s">
        <v>250</v>
      </c>
      <c r="AF51" t="s">
        <v>236</v>
      </c>
      <c r="AG51" t="s">
        <v>242</v>
      </c>
      <c r="AI51" t="s">
        <v>220</v>
      </c>
      <c r="AJ51" t="s">
        <v>1724</v>
      </c>
    </row>
    <row r="52" spans="2:36" x14ac:dyDescent="0.2">
      <c r="B52" t="s">
        <v>205</v>
      </c>
      <c r="C52" t="s">
        <v>1523</v>
      </c>
      <c r="E52" t="s">
        <v>205</v>
      </c>
      <c r="F52" t="s">
        <v>1537</v>
      </c>
      <c r="H52" t="s">
        <v>1516</v>
      </c>
      <c r="I52" t="s">
        <v>1584</v>
      </c>
      <c r="K52" t="s">
        <v>1600</v>
      </c>
      <c r="L52" t="s">
        <v>1601</v>
      </c>
      <c r="N52" t="s">
        <v>1598</v>
      </c>
      <c r="O52" t="s">
        <v>1616</v>
      </c>
      <c r="Q52" t="s">
        <v>1643</v>
      </c>
      <c r="R52" t="s">
        <v>1644</v>
      </c>
      <c r="T52" t="s">
        <v>1413</v>
      </c>
      <c r="U52" t="s">
        <v>1666</v>
      </c>
      <c r="W52" t="s">
        <v>311</v>
      </c>
      <c r="X52" t="s">
        <v>312</v>
      </c>
      <c r="Z52" t="s">
        <v>251</v>
      </c>
      <c r="AA52" t="s">
        <v>252</v>
      </c>
      <c r="AC52" t="s">
        <v>251</v>
      </c>
      <c r="AD52" t="s">
        <v>263</v>
      </c>
      <c r="AF52" t="s">
        <v>251</v>
      </c>
      <c r="AG52" t="s">
        <v>252</v>
      </c>
      <c r="AI52" t="s">
        <v>1518</v>
      </c>
      <c r="AJ52" t="s">
        <v>1535</v>
      </c>
    </row>
    <row r="53" spans="2:36" x14ac:dyDescent="0.2">
      <c r="B53" t="s">
        <v>220</v>
      </c>
      <c r="C53" t="s">
        <v>1519</v>
      </c>
      <c r="E53" t="s">
        <v>220</v>
      </c>
      <c r="F53" t="s">
        <v>1534</v>
      </c>
      <c r="H53" t="s">
        <v>1063</v>
      </c>
      <c r="I53" t="s">
        <v>1567</v>
      </c>
      <c r="K53" t="s">
        <v>1598</v>
      </c>
      <c r="L53" t="s">
        <v>1599</v>
      </c>
      <c r="N53" t="s">
        <v>579</v>
      </c>
      <c r="O53" t="s">
        <v>1620</v>
      </c>
      <c r="Q53" t="s">
        <v>224</v>
      </c>
      <c r="R53" t="s">
        <v>1645</v>
      </c>
      <c r="T53" t="s">
        <v>236</v>
      </c>
      <c r="U53" t="s">
        <v>1547</v>
      </c>
      <c r="W53" t="s">
        <v>1413</v>
      </c>
      <c r="X53" t="s">
        <v>1694</v>
      </c>
      <c r="Z53" t="s">
        <v>205</v>
      </c>
      <c r="AA53" t="s">
        <v>264</v>
      </c>
      <c r="AC53" t="s">
        <v>196</v>
      </c>
      <c r="AD53" t="s">
        <v>276</v>
      </c>
      <c r="AF53" t="s">
        <v>205</v>
      </c>
      <c r="AG53" t="s">
        <v>264</v>
      </c>
      <c r="AI53" t="s">
        <v>236</v>
      </c>
      <c r="AJ53" t="s">
        <v>237</v>
      </c>
    </row>
    <row r="54" spans="2:36" x14ac:dyDescent="0.2">
      <c r="B54" t="s">
        <v>1518</v>
      </c>
      <c r="C54" t="s">
        <v>1520</v>
      </c>
      <c r="E54" t="s">
        <v>1518</v>
      </c>
      <c r="F54" t="s">
        <v>1535</v>
      </c>
      <c r="H54" t="s">
        <v>1568</v>
      </c>
      <c r="I54" t="s">
        <v>1569</v>
      </c>
      <c r="K54" t="s">
        <v>1592</v>
      </c>
      <c r="L54" t="s">
        <v>1593</v>
      </c>
      <c r="N54" t="s">
        <v>1630</v>
      </c>
      <c r="O54" t="s">
        <v>1444</v>
      </c>
      <c r="Q54" t="s">
        <v>1413</v>
      </c>
      <c r="R54" t="s">
        <v>1647</v>
      </c>
      <c r="T54" t="s">
        <v>1610</v>
      </c>
      <c r="U54" t="s">
        <v>1667</v>
      </c>
      <c r="W54" t="s">
        <v>1613</v>
      </c>
      <c r="X54" t="s">
        <v>241</v>
      </c>
      <c r="Z54" t="s">
        <v>224</v>
      </c>
      <c r="AA54" t="s">
        <v>277</v>
      </c>
      <c r="AC54" t="s">
        <v>205</v>
      </c>
      <c r="AD54" t="s">
        <v>286</v>
      </c>
      <c r="AF54" t="s">
        <v>224</v>
      </c>
      <c r="AG54" t="s">
        <v>277</v>
      </c>
      <c r="AI54" t="s">
        <v>244</v>
      </c>
      <c r="AJ54" t="s">
        <v>1725</v>
      </c>
    </row>
    <row r="55" spans="2:36" x14ac:dyDescent="0.2">
      <c r="B55" t="s">
        <v>1521</v>
      </c>
      <c r="C55" t="s">
        <v>1522</v>
      </c>
      <c r="E55" t="s">
        <v>1521</v>
      </c>
      <c r="F55" t="s">
        <v>1536</v>
      </c>
      <c r="H55" t="s">
        <v>1555</v>
      </c>
      <c r="I55" t="s">
        <v>1552</v>
      </c>
      <c r="K55" t="s">
        <v>1508</v>
      </c>
      <c r="L55" t="s">
        <v>1594</v>
      </c>
      <c r="N55" t="s">
        <v>1425</v>
      </c>
      <c r="O55" t="s">
        <v>297</v>
      </c>
      <c r="Q55" t="s">
        <v>311</v>
      </c>
      <c r="R55" t="s">
        <v>1648</v>
      </c>
      <c r="T55" t="s">
        <v>1600</v>
      </c>
      <c r="U55" t="s">
        <v>1652</v>
      </c>
      <c r="W55" t="s">
        <v>1610</v>
      </c>
      <c r="X55" t="s">
        <v>277</v>
      </c>
      <c r="Z55" t="s">
        <v>1703</v>
      </c>
      <c r="AA55" t="s">
        <v>1704</v>
      </c>
      <c r="AC55" t="s">
        <v>224</v>
      </c>
      <c r="AD55" t="s">
        <v>291</v>
      </c>
      <c r="AF55" t="s">
        <v>1703</v>
      </c>
      <c r="AG55" t="s">
        <v>1704</v>
      </c>
      <c r="AI55" t="s">
        <v>1516</v>
      </c>
      <c r="AJ55" t="s">
        <v>1726</v>
      </c>
    </row>
    <row r="56" spans="2:36" x14ac:dyDescent="0.2">
      <c r="B56" t="s">
        <v>236</v>
      </c>
      <c r="C56" t="s">
        <v>240</v>
      </c>
      <c r="E56" t="s">
        <v>236</v>
      </c>
      <c r="F56" t="s">
        <v>237</v>
      </c>
      <c r="H56" t="s">
        <v>1554</v>
      </c>
      <c r="I56" t="s">
        <v>1557</v>
      </c>
      <c r="K56" t="s">
        <v>1424</v>
      </c>
      <c r="L56" t="s">
        <v>1603</v>
      </c>
      <c r="N56" t="s">
        <v>287</v>
      </c>
      <c r="O56" t="s">
        <v>608</v>
      </c>
      <c r="Q56" t="s">
        <v>251</v>
      </c>
      <c r="R56" t="s">
        <v>1631</v>
      </c>
      <c r="T56" t="s">
        <v>251</v>
      </c>
      <c r="U56" t="s">
        <v>1650</v>
      </c>
      <c r="W56" t="s">
        <v>1600</v>
      </c>
      <c r="X56" t="s">
        <v>1678</v>
      </c>
      <c r="Z56" t="s">
        <v>1424</v>
      </c>
      <c r="AA56" t="s">
        <v>301</v>
      </c>
      <c r="AC56" t="s">
        <v>287</v>
      </c>
      <c r="AD56" t="s">
        <v>296</v>
      </c>
      <c r="AF56" t="s">
        <v>1424</v>
      </c>
      <c r="AG56" t="s">
        <v>301</v>
      </c>
      <c r="AI56" t="s">
        <v>1727</v>
      </c>
      <c r="AJ56" t="s">
        <v>1536</v>
      </c>
    </row>
    <row r="57" spans="2:36" x14ac:dyDescent="0.2">
      <c r="B57" t="s">
        <v>1503</v>
      </c>
      <c r="C57" t="s">
        <v>1504</v>
      </c>
      <c r="E57" t="s">
        <v>1503</v>
      </c>
      <c r="F57" t="s">
        <v>1530</v>
      </c>
      <c r="H57" t="s">
        <v>1556</v>
      </c>
      <c r="I57" t="s">
        <v>1558</v>
      </c>
      <c r="K57" t="s">
        <v>1425</v>
      </c>
      <c r="L57" t="s">
        <v>1604</v>
      </c>
      <c r="N57" t="s">
        <v>292</v>
      </c>
      <c r="O57" t="s">
        <v>326</v>
      </c>
      <c r="Q57" t="s">
        <v>247</v>
      </c>
      <c r="R57" t="s">
        <v>1636</v>
      </c>
      <c r="T57" t="s">
        <v>272</v>
      </c>
      <c r="U57" t="s">
        <v>1651</v>
      </c>
      <c r="W57" t="s">
        <v>1679</v>
      </c>
      <c r="X57" t="s">
        <v>1680</v>
      </c>
      <c r="Z57" t="s">
        <v>1697</v>
      </c>
      <c r="AA57" t="s">
        <v>304</v>
      </c>
      <c r="AC57" t="s">
        <v>292</v>
      </c>
      <c r="AD57" t="s">
        <v>299</v>
      </c>
      <c r="AF57" t="s">
        <v>1697</v>
      </c>
      <c r="AG57" t="s">
        <v>304</v>
      </c>
      <c r="AI57" t="s">
        <v>251</v>
      </c>
      <c r="AJ57" t="s">
        <v>1718</v>
      </c>
    </row>
    <row r="58" spans="2:36" x14ac:dyDescent="0.2">
      <c r="B58" t="s">
        <v>1505</v>
      </c>
      <c r="C58" t="s">
        <v>1506</v>
      </c>
      <c r="E58" t="s">
        <v>1505</v>
      </c>
      <c r="F58" t="s">
        <v>1506</v>
      </c>
      <c r="H58" t="s">
        <v>1559</v>
      </c>
      <c r="I58" t="s">
        <v>1561</v>
      </c>
      <c r="K58" t="s">
        <v>1605</v>
      </c>
      <c r="L58" t="s">
        <v>608</v>
      </c>
      <c r="Q58" t="s">
        <v>272</v>
      </c>
      <c r="R58" t="s">
        <v>1638</v>
      </c>
      <c r="T58" t="s">
        <v>1424</v>
      </c>
      <c r="U58" t="s">
        <v>1653</v>
      </c>
      <c r="W58" t="s">
        <v>1424</v>
      </c>
      <c r="X58" t="s">
        <v>1681</v>
      </c>
      <c r="Z58" t="s">
        <v>1698</v>
      </c>
      <c r="AA58" t="s">
        <v>307</v>
      </c>
      <c r="AC58" t="s">
        <v>267</v>
      </c>
      <c r="AD58" t="s">
        <v>302</v>
      </c>
      <c r="AF58" t="s">
        <v>1698</v>
      </c>
      <c r="AG58" t="s">
        <v>307</v>
      </c>
      <c r="AI58" t="s">
        <v>265</v>
      </c>
      <c r="AJ58" t="s">
        <v>282</v>
      </c>
    </row>
    <row r="59" spans="2:36" x14ac:dyDescent="0.2">
      <c r="B59" t="s">
        <v>1508</v>
      </c>
      <c r="C59" t="s">
        <v>1509</v>
      </c>
      <c r="E59" t="s">
        <v>1476</v>
      </c>
      <c r="F59" t="s">
        <v>256</v>
      </c>
      <c r="H59" t="s">
        <v>1560</v>
      </c>
      <c r="I59" t="s">
        <v>1562</v>
      </c>
      <c r="K59" t="s">
        <v>292</v>
      </c>
      <c r="L59" t="s">
        <v>326</v>
      </c>
      <c r="Q59" t="s">
        <v>267</v>
      </c>
      <c r="R59" t="s">
        <v>1639</v>
      </c>
      <c r="T59" t="s">
        <v>1425</v>
      </c>
      <c r="U59" t="s">
        <v>1655</v>
      </c>
      <c r="W59" t="s">
        <v>1682</v>
      </c>
      <c r="X59" t="s">
        <v>310</v>
      </c>
      <c r="Z59" t="s">
        <v>1425</v>
      </c>
      <c r="AA59" t="s">
        <v>297</v>
      </c>
      <c r="AC59" t="s">
        <v>300</v>
      </c>
      <c r="AD59" t="s">
        <v>305</v>
      </c>
      <c r="AF59" t="s">
        <v>1425</v>
      </c>
      <c r="AG59" t="s">
        <v>297</v>
      </c>
      <c r="AI59" t="s">
        <v>272</v>
      </c>
      <c r="AJ59" t="s">
        <v>1728</v>
      </c>
    </row>
    <row r="60" spans="2:36" x14ac:dyDescent="0.2">
      <c r="B60" t="s">
        <v>1527</v>
      </c>
      <c r="C60" t="s">
        <v>1528</v>
      </c>
      <c r="H60" t="s">
        <v>1565</v>
      </c>
      <c r="I60" t="s">
        <v>1563</v>
      </c>
      <c r="K60" t="s">
        <v>1489</v>
      </c>
      <c r="L60" t="s">
        <v>256</v>
      </c>
      <c r="Q60" t="s">
        <v>1492</v>
      </c>
      <c r="R60" t="s">
        <v>256</v>
      </c>
      <c r="T60" t="s">
        <v>287</v>
      </c>
      <c r="U60" t="s">
        <v>608</v>
      </c>
      <c r="W60" t="s">
        <v>1683</v>
      </c>
      <c r="X60" t="s">
        <v>1684</v>
      </c>
      <c r="Z60" t="s">
        <v>287</v>
      </c>
      <c r="AA60" t="s">
        <v>288</v>
      </c>
      <c r="AC60" t="s">
        <v>303</v>
      </c>
      <c r="AD60" t="s">
        <v>308</v>
      </c>
      <c r="AF60" t="s">
        <v>287</v>
      </c>
      <c r="AG60" t="s">
        <v>288</v>
      </c>
      <c r="AI60" t="s">
        <v>1424</v>
      </c>
      <c r="AJ60" t="s">
        <v>1721</v>
      </c>
    </row>
    <row r="61" spans="2:36" x14ac:dyDescent="0.2">
      <c r="B61" t="s">
        <v>1526</v>
      </c>
      <c r="C61" t="s">
        <v>1529</v>
      </c>
      <c r="H61" t="s">
        <v>1564</v>
      </c>
      <c r="I61" t="s">
        <v>1566</v>
      </c>
      <c r="T61" t="s">
        <v>292</v>
      </c>
      <c r="U61" t="s">
        <v>1656</v>
      </c>
      <c r="W61" t="s">
        <v>1685</v>
      </c>
      <c r="X61" t="s">
        <v>1688</v>
      </c>
      <c r="Z61" t="s">
        <v>292</v>
      </c>
      <c r="AA61" t="s">
        <v>293</v>
      </c>
      <c r="AC61" t="s">
        <v>306</v>
      </c>
      <c r="AD61" t="s">
        <v>310</v>
      </c>
      <c r="AF61" t="s">
        <v>292</v>
      </c>
      <c r="AG61" t="s">
        <v>293</v>
      </c>
      <c r="AI61" t="s">
        <v>1425</v>
      </c>
      <c r="AJ61" t="s">
        <v>1722</v>
      </c>
    </row>
    <row r="62" spans="2:36" x14ac:dyDescent="0.2">
      <c r="B62" t="s">
        <v>1474</v>
      </c>
      <c r="C62" t="s">
        <v>256</v>
      </c>
      <c r="H62" t="s">
        <v>1550</v>
      </c>
      <c r="I62" t="s">
        <v>1551</v>
      </c>
      <c r="T62" t="s">
        <v>247</v>
      </c>
      <c r="U62" t="s">
        <v>1660</v>
      </c>
      <c r="W62" t="s">
        <v>1687</v>
      </c>
      <c r="X62" t="s">
        <v>1689</v>
      </c>
      <c r="Z62" t="s">
        <v>1699</v>
      </c>
      <c r="AA62" t="s">
        <v>1700</v>
      </c>
      <c r="AC62" t="s">
        <v>313</v>
      </c>
      <c r="AD62" t="s">
        <v>314</v>
      </c>
      <c r="AF62" t="s">
        <v>1699</v>
      </c>
      <c r="AG62" t="s">
        <v>1700</v>
      </c>
      <c r="AI62" t="s">
        <v>1498</v>
      </c>
      <c r="AJ62" t="s">
        <v>256</v>
      </c>
    </row>
    <row r="63" spans="2:36" x14ac:dyDescent="0.2">
      <c r="H63" t="s">
        <v>1539</v>
      </c>
      <c r="I63" t="s">
        <v>1540</v>
      </c>
      <c r="T63" t="s">
        <v>1699</v>
      </c>
      <c r="U63" t="s">
        <v>1711</v>
      </c>
      <c r="W63" t="s">
        <v>1686</v>
      </c>
      <c r="X63" t="s">
        <v>1690</v>
      </c>
      <c r="Z63" t="s">
        <v>1701</v>
      </c>
      <c r="AA63" t="s">
        <v>1715</v>
      </c>
      <c r="AC63" t="s">
        <v>309</v>
      </c>
      <c r="AD63" t="s">
        <v>315</v>
      </c>
      <c r="AF63" t="s">
        <v>1701</v>
      </c>
      <c r="AG63" t="s">
        <v>1715</v>
      </c>
    </row>
    <row r="64" spans="2:36" x14ac:dyDescent="0.2">
      <c r="H64" t="s">
        <v>1541</v>
      </c>
      <c r="I64" t="s">
        <v>1542</v>
      </c>
      <c r="T64" t="s">
        <v>1706</v>
      </c>
      <c r="U64" t="s">
        <v>1707</v>
      </c>
      <c r="W64" t="s">
        <v>1425</v>
      </c>
      <c r="X64" t="s">
        <v>1691</v>
      </c>
      <c r="Z64" t="s">
        <v>311</v>
      </c>
      <c r="AA64" t="s">
        <v>312</v>
      </c>
      <c r="AC64" t="s">
        <v>1693</v>
      </c>
      <c r="AD64" t="s">
        <v>316</v>
      </c>
      <c r="AF64" t="s">
        <v>311</v>
      </c>
      <c r="AG64" t="s">
        <v>312</v>
      </c>
    </row>
    <row r="65" spans="2:33" x14ac:dyDescent="0.2">
      <c r="H65" t="s">
        <v>1545</v>
      </c>
      <c r="I65" t="s">
        <v>1546</v>
      </c>
      <c r="T65" t="s">
        <v>1708</v>
      </c>
      <c r="U65" t="s">
        <v>1709</v>
      </c>
      <c r="W65" t="s">
        <v>287</v>
      </c>
      <c r="X65" t="s">
        <v>608</v>
      </c>
      <c r="Z65" t="s">
        <v>1413</v>
      </c>
      <c r="AA65" t="s">
        <v>1694</v>
      </c>
      <c r="AC65" t="s">
        <v>311</v>
      </c>
      <c r="AD65" t="s">
        <v>312</v>
      </c>
      <c r="AF65" t="s">
        <v>1413</v>
      </c>
      <c r="AG65" t="s">
        <v>1694</v>
      </c>
    </row>
    <row r="66" spans="2:33" x14ac:dyDescent="0.2">
      <c r="H66" t="s">
        <v>1543</v>
      </c>
      <c r="I66" t="s">
        <v>1544</v>
      </c>
      <c r="T66" t="s">
        <v>1710</v>
      </c>
      <c r="U66" t="s">
        <v>1712</v>
      </c>
      <c r="W66" t="s">
        <v>292</v>
      </c>
      <c r="X66" t="s">
        <v>299</v>
      </c>
      <c r="Z66" t="s">
        <v>1472</v>
      </c>
      <c r="AA66" t="s">
        <v>256</v>
      </c>
      <c r="AC66" t="s">
        <v>1413</v>
      </c>
      <c r="AD66" t="s">
        <v>1713</v>
      </c>
      <c r="AF66" t="s">
        <v>1496</v>
      </c>
      <c r="AG66" t="s">
        <v>256</v>
      </c>
    </row>
    <row r="67" spans="2:33" x14ac:dyDescent="0.2">
      <c r="H67" t="s">
        <v>1518</v>
      </c>
      <c r="I67" t="s">
        <v>1520</v>
      </c>
      <c r="T67" t="s">
        <v>1470</v>
      </c>
      <c r="U67" t="s">
        <v>256</v>
      </c>
      <c r="W67" t="s">
        <v>251</v>
      </c>
      <c r="X67" t="s">
        <v>263</v>
      </c>
      <c r="AC67" t="s">
        <v>1471</v>
      </c>
      <c r="AD67" t="s">
        <v>256</v>
      </c>
    </row>
    <row r="68" spans="2:33" x14ac:dyDescent="0.2">
      <c r="H68" t="s">
        <v>236</v>
      </c>
      <c r="I68" t="s">
        <v>1547</v>
      </c>
      <c r="W68" t="s">
        <v>1674</v>
      </c>
      <c r="X68" t="s">
        <v>250</v>
      </c>
    </row>
    <row r="69" spans="2:33" x14ac:dyDescent="0.2">
      <c r="H69" t="s">
        <v>1487</v>
      </c>
      <c r="I69" t="s">
        <v>256</v>
      </c>
      <c r="W69" t="s">
        <v>1675</v>
      </c>
      <c r="X69" t="s">
        <v>1692</v>
      </c>
    </row>
    <row r="70" spans="2:33" x14ac:dyDescent="0.2">
      <c r="W70" t="s">
        <v>1503</v>
      </c>
      <c r="X70" t="s">
        <v>1695</v>
      </c>
    </row>
    <row r="71" spans="2:33" x14ac:dyDescent="0.2">
      <c r="W71" t="s">
        <v>1699</v>
      </c>
      <c r="X71" t="s">
        <v>1705</v>
      </c>
    </row>
    <row r="72" spans="2:33" x14ac:dyDescent="0.2">
      <c r="W72" t="s">
        <v>1706</v>
      </c>
      <c r="X72" t="s">
        <v>1707</v>
      </c>
    </row>
    <row r="73" spans="2:33" x14ac:dyDescent="0.2">
      <c r="W73" t="s">
        <v>1708</v>
      </c>
      <c r="X73" t="s">
        <v>1709</v>
      </c>
    </row>
    <row r="74" spans="2:33" x14ac:dyDescent="0.2">
      <c r="W74" t="s">
        <v>1710</v>
      </c>
      <c r="X74" t="s">
        <v>1712</v>
      </c>
    </row>
    <row r="75" spans="2:33" x14ac:dyDescent="0.2">
      <c r="W75" t="s">
        <v>1494</v>
      </c>
      <c r="X75" t="s">
        <v>256</v>
      </c>
    </row>
    <row r="80" spans="2:33" x14ac:dyDescent="0.2">
      <c r="B80" t="s">
        <v>11276</v>
      </c>
      <c r="C80" t="s">
        <v>11277</v>
      </c>
      <c r="E80" t="s">
        <v>11500</v>
      </c>
      <c r="F80" t="s">
        <v>11490</v>
      </c>
      <c r="H80" t="s">
        <v>11505</v>
      </c>
      <c r="I80" t="s">
        <v>11506</v>
      </c>
      <c r="K80" t="s">
        <v>11508</v>
      </c>
      <c r="L80" t="s">
        <v>11509</v>
      </c>
      <c r="N80" t="s">
        <v>11629</v>
      </c>
      <c r="O80" t="s">
        <v>11510</v>
      </c>
    </row>
    <row r="81" spans="2:15" x14ac:dyDescent="0.2">
      <c r="B81" t="s">
        <v>1716</v>
      </c>
      <c r="C81" t="s">
        <v>11278</v>
      </c>
      <c r="E81" t="s">
        <v>11493</v>
      </c>
      <c r="F81" t="s">
        <v>11494</v>
      </c>
      <c r="H81" t="s">
        <v>222</v>
      </c>
      <c r="I81" t="s">
        <v>1637</v>
      </c>
      <c r="K81" t="s">
        <v>162</v>
      </c>
      <c r="L81" t="s">
        <v>3600</v>
      </c>
      <c r="N81" t="s">
        <v>162</v>
      </c>
      <c r="O81" t="s">
        <v>3600</v>
      </c>
    </row>
    <row r="82" spans="2:15" x14ac:dyDescent="0.2">
      <c r="B82" t="s">
        <v>11279</v>
      </c>
      <c r="C82" t="s">
        <v>11280</v>
      </c>
      <c r="E82" t="s">
        <v>1716</v>
      </c>
      <c r="F82" t="s">
        <v>11502</v>
      </c>
      <c r="H82" t="s">
        <v>162</v>
      </c>
      <c r="I82" t="s">
        <v>169</v>
      </c>
      <c r="K82" t="s">
        <v>11593</v>
      </c>
      <c r="L82" t="s">
        <v>11595</v>
      </c>
      <c r="N82" t="s">
        <v>11593</v>
      </c>
      <c r="O82" t="s">
        <v>11621</v>
      </c>
    </row>
    <row r="83" spans="2:15" x14ac:dyDescent="0.2">
      <c r="B83" t="s">
        <v>11281</v>
      </c>
      <c r="C83" t="s">
        <v>11282</v>
      </c>
      <c r="E83" t="s">
        <v>11503</v>
      </c>
      <c r="F83" t="s">
        <v>11504</v>
      </c>
      <c r="H83" t="s">
        <v>1409</v>
      </c>
      <c r="I83" t="s">
        <v>1538</v>
      </c>
      <c r="K83" t="s">
        <v>11594</v>
      </c>
      <c r="L83" t="s">
        <v>5027</v>
      </c>
      <c r="N83" t="s">
        <v>11594</v>
      </c>
      <c r="O83" t="s">
        <v>11622</v>
      </c>
    </row>
    <row r="84" spans="2:15" x14ac:dyDescent="0.2">
      <c r="B84" t="s">
        <v>11283</v>
      </c>
      <c r="C84" t="s">
        <v>6451</v>
      </c>
      <c r="E84" t="s">
        <v>11279</v>
      </c>
      <c r="F84" t="s">
        <v>11497</v>
      </c>
      <c r="H84" t="s">
        <v>1410</v>
      </c>
      <c r="I84" t="s">
        <v>1411</v>
      </c>
      <c r="K84" t="s">
        <v>1543</v>
      </c>
      <c r="L84" t="s">
        <v>10484</v>
      </c>
      <c r="N84" t="s">
        <v>1543</v>
      </c>
      <c r="O84" t="s">
        <v>11623</v>
      </c>
    </row>
    <row r="85" spans="2:15" x14ac:dyDescent="0.2">
      <c r="B85" t="s">
        <v>1556</v>
      </c>
      <c r="C85" t="s">
        <v>11284</v>
      </c>
      <c r="E85" t="s">
        <v>11281</v>
      </c>
      <c r="F85" t="s">
        <v>3855</v>
      </c>
      <c r="H85" t="s">
        <v>180</v>
      </c>
      <c r="I85" t="s">
        <v>7230</v>
      </c>
      <c r="K85" t="s">
        <v>11596</v>
      </c>
      <c r="L85" t="s">
        <v>11597</v>
      </c>
      <c r="N85" t="s">
        <v>11596</v>
      </c>
      <c r="O85" t="s">
        <v>11597</v>
      </c>
    </row>
    <row r="86" spans="2:15" x14ac:dyDescent="0.2">
      <c r="B86" t="s">
        <v>11285</v>
      </c>
      <c r="C86" t="s">
        <v>4217</v>
      </c>
      <c r="E86" t="s">
        <v>11283</v>
      </c>
      <c r="F86" t="s">
        <v>11501</v>
      </c>
      <c r="H86" t="s">
        <v>1634</v>
      </c>
      <c r="I86" t="s">
        <v>1635</v>
      </c>
      <c r="K86" t="s">
        <v>11600</v>
      </c>
      <c r="L86" t="s">
        <v>7259</v>
      </c>
      <c r="N86" t="s">
        <v>11600</v>
      </c>
      <c r="O86" t="s">
        <v>7723</v>
      </c>
    </row>
    <row r="87" spans="2:15" x14ac:dyDescent="0.2">
      <c r="B87" t="s">
        <v>1543</v>
      </c>
      <c r="C87" t="s">
        <v>11286</v>
      </c>
      <c r="E87" t="s">
        <v>1556</v>
      </c>
      <c r="F87" t="s">
        <v>11492</v>
      </c>
      <c r="H87" t="s">
        <v>228</v>
      </c>
      <c r="I87" t="s">
        <v>1632</v>
      </c>
      <c r="K87" t="s">
        <v>11599</v>
      </c>
      <c r="L87" t="s">
        <v>11598</v>
      </c>
      <c r="N87" t="s">
        <v>11599</v>
      </c>
      <c r="O87" t="s">
        <v>11620</v>
      </c>
    </row>
    <row r="88" spans="2:15" x14ac:dyDescent="0.2">
      <c r="B88" t="s">
        <v>1839</v>
      </c>
      <c r="C88" t="s">
        <v>11287</v>
      </c>
      <c r="E88" t="s">
        <v>11285</v>
      </c>
      <c r="F88" t="s">
        <v>4217</v>
      </c>
      <c r="H88" t="s">
        <v>1608</v>
      </c>
      <c r="I88" t="s">
        <v>6008</v>
      </c>
      <c r="K88" t="s">
        <v>1409</v>
      </c>
      <c r="L88" t="s">
        <v>1538</v>
      </c>
      <c r="N88" t="s">
        <v>1409</v>
      </c>
      <c r="O88" t="s">
        <v>1538</v>
      </c>
    </row>
    <row r="89" spans="2:15" x14ac:dyDescent="0.2">
      <c r="B89" t="s">
        <v>1526</v>
      </c>
      <c r="C89" t="s">
        <v>3298</v>
      </c>
      <c r="E89" t="s">
        <v>1543</v>
      </c>
      <c r="F89" t="s">
        <v>11495</v>
      </c>
      <c r="H89" t="s">
        <v>1524</v>
      </c>
      <c r="I89" t="s">
        <v>9310</v>
      </c>
      <c r="K89" t="s">
        <v>1410</v>
      </c>
      <c r="L89" t="s">
        <v>1411</v>
      </c>
      <c r="N89" t="s">
        <v>1410</v>
      </c>
      <c r="O89" t="s">
        <v>1411</v>
      </c>
    </row>
    <row r="90" spans="2:15" x14ac:dyDescent="0.2">
      <c r="B90" t="s">
        <v>1518</v>
      </c>
      <c r="C90" t="s">
        <v>7815</v>
      </c>
      <c r="E90" t="s">
        <v>1839</v>
      </c>
      <c r="F90" t="s">
        <v>11496</v>
      </c>
      <c r="H90" t="s">
        <v>1446</v>
      </c>
      <c r="I90" t="s">
        <v>1640</v>
      </c>
      <c r="K90" t="s">
        <v>1514</v>
      </c>
      <c r="L90" t="s">
        <v>7037</v>
      </c>
      <c r="N90" t="s">
        <v>1514</v>
      </c>
      <c r="O90" t="s">
        <v>7037</v>
      </c>
    </row>
    <row r="91" spans="2:15" x14ac:dyDescent="0.2">
      <c r="B91" t="s">
        <v>11288</v>
      </c>
      <c r="C91" t="s">
        <v>6212</v>
      </c>
      <c r="E91" t="s">
        <v>1526</v>
      </c>
      <c r="F91" t="s">
        <v>11491</v>
      </c>
      <c r="H91" t="s">
        <v>1641</v>
      </c>
      <c r="I91" t="s">
        <v>1642</v>
      </c>
      <c r="K91" t="s">
        <v>11601</v>
      </c>
      <c r="L91" t="s">
        <v>4097</v>
      </c>
      <c r="N91" t="s">
        <v>11601</v>
      </c>
      <c r="O91" t="s">
        <v>4097</v>
      </c>
    </row>
    <row r="92" spans="2:15" x14ac:dyDescent="0.2">
      <c r="B92" t="s">
        <v>11277</v>
      </c>
      <c r="C92" t="s">
        <v>256</v>
      </c>
      <c r="E92" t="s">
        <v>1518</v>
      </c>
      <c r="F92" t="s">
        <v>11498</v>
      </c>
      <c r="H92" t="s">
        <v>1643</v>
      </c>
      <c r="I92" t="s">
        <v>1644</v>
      </c>
      <c r="K92" t="s">
        <v>1613</v>
      </c>
      <c r="L92" t="s">
        <v>7944</v>
      </c>
      <c r="N92" t="s">
        <v>1613</v>
      </c>
      <c r="O92" t="s">
        <v>11624</v>
      </c>
    </row>
    <row r="93" spans="2:15" x14ac:dyDescent="0.2">
      <c r="E93" t="s">
        <v>11288</v>
      </c>
      <c r="F93" t="s">
        <v>11499</v>
      </c>
      <c r="H93" t="s">
        <v>224</v>
      </c>
      <c r="I93" t="s">
        <v>1645</v>
      </c>
      <c r="K93" t="s">
        <v>11602</v>
      </c>
      <c r="L93" t="s">
        <v>10296</v>
      </c>
      <c r="N93" t="s">
        <v>11602</v>
      </c>
      <c r="O93" t="s">
        <v>11625</v>
      </c>
    </row>
    <row r="94" spans="2:15" x14ac:dyDescent="0.2">
      <c r="E94" t="s">
        <v>222</v>
      </c>
      <c r="F94" t="s">
        <v>7358</v>
      </c>
      <c r="H94" t="s">
        <v>236</v>
      </c>
      <c r="I94" t="s">
        <v>6245</v>
      </c>
      <c r="K94" t="s">
        <v>11603</v>
      </c>
      <c r="L94" t="s">
        <v>11604</v>
      </c>
      <c r="N94" t="s">
        <v>11603</v>
      </c>
      <c r="O94" t="s">
        <v>7772</v>
      </c>
    </row>
    <row r="95" spans="2:15" x14ac:dyDescent="0.2">
      <c r="E95" t="s">
        <v>341</v>
      </c>
      <c r="F95" t="s">
        <v>2986</v>
      </c>
      <c r="H95" t="s">
        <v>1413</v>
      </c>
      <c r="I95" t="s">
        <v>1647</v>
      </c>
      <c r="K95" t="s">
        <v>11605</v>
      </c>
      <c r="L95" t="s">
        <v>10484</v>
      </c>
      <c r="N95" t="s">
        <v>11605</v>
      </c>
      <c r="O95" t="s">
        <v>10484</v>
      </c>
    </row>
    <row r="96" spans="2:15" x14ac:dyDescent="0.2">
      <c r="E96" t="s">
        <v>11490</v>
      </c>
      <c r="F96" t="s">
        <v>256</v>
      </c>
      <c r="H96" t="s">
        <v>311</v>
      </c>
      <c r="I96" t="s">
        <v>1648</v>
      </c>
      <c r="K96" t="s">
        <v>11606</v>
      </c>
      <c r="L96" t="s">
        <v>11607</v>
      </c>
      <c r="N96" t="s">
        <v>11606</v>
      </c>
      <c r="O96" t="s">
        <v>8160</v>
      </c>
    </row>
    <row r="97" spans="8:15" x14ac:dyDescent="0.2">
      <c r="H97" t="s">
        <v>251</v>
      </c>
      <c r="I97" t="s">
        <v>1631</v>
      </c>
      <c r="K97" t="s">
        <v>222</v>
      </c>
      <c r="L97" t="s">
        <v>3167</v>
      </c>
      <c r="N97" t="s">
        <v>222</v>
      </c>
      <c r="O97" t="s">
        <v>3167</v>
      </c>
    </row>
    <row r="98" spans="8:15" x14ac:dyDescent="0.2">
      <c r="H98" t="s">
        <v>247</v>
      </c>
      <c r="I98" t="s">
        <v>1636</v>
      </c>
      <c r="K98" t="s">
        <v>1919</v>
      </c>
      <c r="L98" t="s">
        <v>10995</v>
      </c>
      <c r="N98" t="s">
        <v>1919</v>
      </c>
      <c r="O98" t="s">
        <v>10349</v>
      </c>
    </row>
    <row r="99" spans="8:15" x14ac:dyDescent="0.2">
      <c r="H99" t="s">
        <v>272</v>
      </c>
      <c r="I99" t="s">
        <v>11507</v>
      </c>
      <c r="K99" t="s">
        <v>1830</v>
      </c>
      <c r="L99" t="s">
        <v>11608</v>
      </c>
      <c r="N99" t="s">
        <v>1830</v>
      </c>
      <c r="O99" t="s">
        <v>5996</v>
      </c>
    </row>
    <row r="100" spans="8:15" x14ac:dyDescent="0.2">
      <c r="H100" t="s">
        <v>267</v>
      </c>
      <c r="I100" t="s">
        <v>1639</v>
      </c>
      <c r="K100" t="s">
        <v>1556</v>
      </c>
      <c r="L100" t="s">
        <v>5175</v>
      </c>
      <c r="N100" t="s">
        <v>1556</v>
      </c>
      <c r="O100" t="s">
        <v>5175</v>
      </c>
    </row>
    <row r="101" spans="8:15" x14ac:dyDescent="0.2">
      <c r="H101" t="s">
        <v>11506</v>
      </c>
      <c r="I101" t="s">
        <v>256</v>
      </c>
      <c r="K101" t="s">
        <v>11407</v>
      </c>
      <c r="L101" t="s">
        <v>11609</v>
      </c>
      <c r="N101" t="s">
        <v>11407</v>
      </c>
      <c r="O101" t="s">
        <v>9228</v>
      </c>
    </row>
    <row r="102" spans="8:15" x14ac:dyDescent="0.2">
      <c r="K102" t="s">
        <v>11614</v>
      </c>
      <c r="L102" t="s">
        <v>11615</v>
      </c>
      <c r="N102" t="s">
        <v>11614</v>
      </c>
      <c r="O102" t="s">
        <v>11626</v>
      </c>
    </row>
    <row r="103" spans="8:15" x14ac:dyDescent="0.2">
      <c r="K103" t="s">
        <v>11610</v>
      </c>
      <c r="L103" t="s">
        <v>9514</v>
      </c>
      <c r="N103" t="s">
        <v>11610</v>
      </c>
      <c r="O103" t="s">
        <v>9514</v>
      </c>
    </row>
    <row r="104" spans="8:15" x14ac:dyDescent="0.2">
      <c r="K104" t="s">
        <v>11612</v>
      </c>
      <c r="L104" t="s">
        <v>11611</v>
      </c>
      <c r="N104" t="s">
        <v>11612</v>
      </c>
      <c r="O104" t="s">
        <v>11611</v>
      </c>
    </row>
    <row r="105" spans="8:15" x14ac:dyDescent="0.2">
      <c r="K105" t="s">
        <v>1063</v>
      </c>
      <c r="L105" t="s">
        <v>7622</v>
      </c>
      <c r="N105" t="s">
        <v>1063</v>
      </c>
      <c r="O105" t="s">
        <v>7622</v>
      </c>
    </row>
    <row r="106" spans="8:15" x14ac:dyDescent="0.2">
      <c r="K106" t="s">
        <v>11613</v>
      </c>
      <c r="L106" t="s">
        <v>10431</v>
      </c>
      <c r="N106" t="s">
        <v>11613</v>
      </c>
      <c r="O106" t="s">
        <v>10431</v>
      </c>
    </row>
    <row r="107" spans="8:15" x14ac:dyDescent="0.2">
      <c r="K107" t="s">
        <v>11616</v>
      </c>
      <c r="L107" t="s">
        <v>9222</v>
      </c>
      <c r="N107" t="s">
        <v>11616</v>
      </c>
      <c r="O107" t="s">
        <v>9222</v>
      </c>
    </row>
    <row r="108" spans="8:15" x14ac:dyDescent="0.2">
      <c r="K108" t="s">
        <v>11617</v>
      </c>
      <c r="L108" t="s">
        <v>10019</v>
      </c>
      <c r="N108" t="s">
        <v>11617</v>
      </c>
      <c r="O108" t="s">
        <v>10032</v>
      </c>
    </row>
    <row r="109" spans="8:15" x14ac:dyDescent="0.2">
      <c r="K109" t="s">
        <v>11618</v>
      </c>
      <c r="L109" t="s">
        <v>9220</v>
      </c>
      <c r="N109" t="s">
        <v>11618</v>
      </c>
      <c r="O109" t="s">
        <v>9220</v>
      </c>
    </row>
    <row r="110" spans="8:15" x14ac:dyDescent="0.2">
      <c r="K110" t="s">
        <v>11619</v>
      </c>
      <c r="L110" t="s">
        <v>3647</v>
      </c>
      <c r="N110" t="s">
        <v>11619</v>
      </c>
      <c r="O110" t="s">
        <v>11628</v>
      </c>
    </row>
    <row r="111" spans="8:15" x14ac:dyDescent="0.2">
      <c r="K111" t="s">
        <v>11627</v>
      </c>
      <c r="L111" t="s">
        <v>10360</v>
      </c>
      <c r="N111" t="s">
        <v>11627</v>
      </c>
      <c r="O111" t="s">
        <v>10360</v>
      </c>
    </row>
    <row r="112" spans="8:15" x14ac:dyDescent="0.2">
      <c r="K112" t="s">
        <v>11509</v>
      </c>
      <c r="L112" t="s">
        <v>256</v>
      </c>
      <c r="N112" t="s">
        <v>11510</v>
      </c>
      <c r="O112" t="s">
        <v>256</v>
      </c>
    </row>
  </sheetData>
  <phoneticPr fontId="1" type="noConversion"/>
  <pageMargins left="0.7" right="0.7" top="0.75" bottom="0.75" header="0.3" footer="0.3"/>
  <tableParts count="2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98820-BE93-4CBA-8FB2-F0FA67741184}">
  <sheetPr codeName="Hoja6"/>
  <dimension ref="B2:C29"/>
  <sheetViews>
    <sheetView workbookViewId="0">
      <selection activeCell="A2" sqref="A2"/>
    </sheetView>
  </sheetViews>
  <sheetFormatPr baseColWidth="10" defaultRowHeight="15" x14ac:dyDescent="0.2"/>
  <cols>
    <col min="2" max="2" width="37.5" bestFit="1" customWidth="1"/>
    <col min="3" max="3" width="20" customWidth="1"/>
  </cols>
  <sheetData>
    <row r="2" spans="2:3" x14ac:dyDescent="0.2">
      <c r="B2" t="s">
        <v>11307</v>
      </c>
      <c r="C2" t="s">
        <v>11308</v>
      </c>
    </row>
    <row r="3" spans="2:3" x14ac:dyDescent="0.2">
      <c r="B3" t="s">
        <v>11309</v>
      </c>
      <c r="C3" t="s">
        <v>10691</v>
      </c>
    </row>
    <row r="4" spans="2:3" x14ac:dyDescent="0.2">
      <c r="B4" t="s">
        <v>11310</v>
      </c>
      <c r="C4" t="s">
        <v>5212</v>
      </c>
    </row>
    <row r="5" spans="2:3" x14ac:dyDescent="0.2">
      <c r="B5" t="s">
        <v>11311</v>
      </c>
      <c r="C5" t="s">
        <v>7196</v>
      </c>
    </row>
    <row r="6" spans="2:3" x14ac:dyDescent="0.2">
      <c r="B6" t="s">
        <v>11312</v>
      </c>
      <c r="C6" t="s">
        <v>11313</v>
      </c>
    </row>
    <row r="7" spans="2:3" x14ac:dyDescent="0.2">
      <c r="B7" t="s">
        <v>11314</v>
      </c>
      <c r="C7" t="s">
        <v>8938</v>
      </c>
    </row>
    <row r="8" spans="2:3" x14ac:dyDescent="0.2">
      <c r="B8" t="s">
        <v>5280</v>
      </c>
      <c r="C8" t="s">
        <v>5223</v>
      </c>
    </row>
    <row r="9" spans="2:3" x14ac:dyDescent="0.2">
      <c r="B9" t="s">
        <v>1424</v>
      </c>
      <c r="C9" t="s">
        <v>6519</v>
      </c>
    </row>
    <row r="10" spans="2:3" x14ac:dyDescent="0.2">
      <c r="B10" t="s">
        <v>11316</v>
      </c>
      <c r="C10" t="s">
        <v>11317</v>
      </c>
    </row>
    <row r="11" spans="2:3" x14ac:dyDescent="0.2">
      <c r="B11" t="s">
        <v>11315</v>
      </c>
      <c r="C11" t="s">
        <v>7385</v>
      </c>
    </row>
    <row r="12" spans="2:3" x14ac:dyDescent="0.2">
      <c r="B12" t="s">
        <v>11318</v>
      </c>
      <c r="C12" t="s">
        <v>308</v>
      </c>
    </row>
    <row r="13" spans="2:3" x14ac:dyDescent="0.2">
      <c r="B13" t="s">
        <v>11319</v>
      </c>
      <c r="C13" t="s">
        <v>11320</v>
      </c>
    </row>
    <row r="14" spans="2:3" x14ac:dyDescent="0.2">
      <c r="B14" t="s">
        <v>11321</v>
      </c>
      <c r="C14" t="s">
        <v>11322</v>
      </c>
    </row>
    <row r="15" spans="2:3" x14ac:dyDescent="0.2">
      <c r="B15" t="s">
        <v>11323</v>
      </c>
      <c r="C15" t="s">
        <v>11324</v>
      </c>
    </row>
    <row r="16" spans="2:3" x14ac:dyDescent="0.2">
      <c r="B16" t="s">
        <v>292</v>
      </c>
      <c r="C16" t="s">
        <v>11325</v>
      </c>
    </row>
    <row r="17" spans="2:3" x14ac:dyDescent="0.2">
      <c r="B17" t="s">
        <v>11326</v>
      </c>
      <c r="C17" t="s">
        <v>4841</v>
      </c>
    </row>
    <row r="18" spans="2:3" x14ac:dyDescent="0.2">
      <c r="B18" t="s">
        <v>11327</v>
      </c>
      <c r="C18" t="s">
        <v>11328</v>
      </c>
    </row>
    <row r="19" spans="2:3" x14ac:dyDescent="0.2">
      <c r="B19" t="s">
        <v>11329</v>
      </c>
      <c r="C19" t="s">
        <v>6269</v>
      </c>
    </row>
    <row r="20" spans="2:3" x14ac:dyDescent="0.2">
      <c r="B20" t="s">
        <v>11330</v>
      </c>
      <c r="C20" t="s">
        <v>8352</v>
      </c>
    </row>
    <row r="21" spans="2:3" x14ac:dyDescent="0.2">
      <c r="B21" t="s">
        <v>11331</v>
      </c>
      <c r="C21" t="s">
        <v>11332</v>
      </c>
    </row>
    <row r="22" spans="2:3" x14ac:dyDescent="0.2">
      <c r="B22" t="s">
        <v>11333</v>
      </c>
      <c r="C22" t="s">
        <v>5225</v>
      </c>
    </row>
    <row r="23" spans="2:3" x14ac:dyDescent="0.2">
      <c r="B23" t="s">
        <v>11334</v>
      </c>
      <c r="C23" t="s">
        <v>10480</v>
      </c>
    </row>
    <row r="24" spans="2:3" x14ac:dyDescent="0.2">
      <c r="B24" t="s">
        <v>11336</v>
      </c>
      <c r="C24" t="s">
        <v>11335</v>
      </c>
    </row>
    <row r="25" spans="2:3" x14ac:dyDescent="0.2">
      <c r="B25" t="s">
        <v>11337</v>
      </c>
      <c r="C25" t="s">
        <v>11338</v>
      </c>
    </row>
    <row r="26" spans="2:3" x14ac:dyDescent="0.2">
      <c r="B26" t="s">
        <v>11339</v>
      </c>
      <c r="C26" t="s">
        <v>11340</v>
      </c>
    </row>
    <row r="27" spans="2:3" x14ac:dyDescent="0.2">
      <c r="B27" t="s">
        <v>11341</v>
      </c>
      <c r="C27" t="s">
        <v>4478</v>
      </c>
    </row>
    <row r="28" spans="2:3" x14ac:dyDescent="0.2">
      <c r="B28" t="s">
        <v>11342</v>
      </c>
      <c r="C28" t="s">
        <v>11343</v>
      </c>
    </row>
    <row r="29" spans="2:3" x14ac:dyDescent="0.2">
      <c r="B29" t="s">
        <v>11308</v>
      </c>
      <c r="C29" t="s">
        <v>256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D461-8F4E-42A4-A4D6-FDC32B8D550C}">
  <sheetPr codeName="Hoja7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6F841-DFC9-4909-AA6C-616A1D33F33F}">
  <sheetPr codeName="Hoja8"/>
  <dimension ref="B2:AM17"/>
  <sheetViews>
    <sheetView workbookViewId="0">
      <selection activeCell="E12" sqref="E12"/>
    </sheetView>
  </sheetViews>
  <sheetFormatPr baseColWidth="10" defaultRowHeight="15" x14ac:dyDescent="0.2"/>
  <cols>
    <col min="2" max="2" width="28.5" bestFit="1" customWidth="1"/>
    <col min="3" max="3" width="12.5" bestFit="1" customWidth="1"/>
    <col min="5" max="5" width="39.5" bestFit="1" customWidth="1"/>
    <col min="6" max="6" width="20" bestFit="1" customWidth="1"/>
    <col min="8" max="8" width="37.1640625" bestFit="1" customWidth="1"/>
    <col min="9" max="9" width="26.83203125" bestFit="1" customWidth="1"/>
    <col min="11" max="11" width="37.1640625" bestFit="1" customWidth="1"/>
    <col min="12" max="12" width="19.5" bestFit="1" customWidth="1"/>
    <col min="14" max="14" width="50.33203125" bestFit="1" customWidth="1"/>
    <col min="15" max="15" width="28.5" bestFit="1" customWidth="1"/>
    <col min="17" max="17" width="45.83203125" bestFit="1" customWidth="1"/>
    <col min="18" max="18" width="34.5" bestFit="1" customWidth="1"/>
    <col min="20" max="20" width="49" bestFit="1" customWidth="1"/>
    <col min="21" max="21" width="30" bestFit="1" customWidth="1"/>
    <col min="23" max="23" width="49.33203125" bestFit="1" customWidth="1"/>
    <col min="24" max="24" width="31.6640625" bestFit="1" customWidth="1"/>
    <col min="26" max="26" width="51" bestFit="1" customWidth="1"/>
    <col min="27" max="27" width="22.5" bestFit="1" customWidth="1"/>
    <col min="29" max="29" width="51" bestFit="1" customWidth="1"/>
    <col min="30" max="30" width="20.5" bestFit="1" customWidth="1"/>
    <col min="32" max="32" width="50.5" bestFit="1" customWidth="1"/>
    <col min="33" max="33" width="20.33203125" bestFit="1" customWidth="1"/>
    <col min="35" max="35" width="36.1640625" bestFit="1" customWidth="1"/>
    <col min="36" max="36" width="20" bestFit="1" customWidth="1"/>
    <col min="38" max="38" width="55.83203125" bestFit="1" customWidth="1"/>
    <col min="39" max="39" width="20.1640625" bestFit="1" customWidth="1"/>
  </cols>
  <sheetData>
    <row r="2" spans="2:39" x14ac:dyDescent="0.2">
      <c r="B2" t="s">
        <v>20</v>
      </c>
      <c r="C2" t="s">
        <v>1119</v>
      </c>
      <c r="E2" t="s">
        <v>26</v>
      </c>
      <c r="F2" t="s">
        <v>1120</v>
      </c>
      <c r="H2" t="s">
        <v>32</v>
      </c>
      <c r="I2" t="s">
        <v>1121</v>
      </c>
      <c r="K2" t="s">
        <v>38</v>
      </c>
      <c r="L2" t="s">
        <v>1122</v>
      </c>
      <c r="N2" t="s">
        <v>44</v>
      </c>
      <c r="O2" t="s">
        <v>1123</v>
      </c>
      <c r="Q2" t="s">
        <v>50</v>
      </c>
      <c r="R2" t="s">
        <v>1124</v>
      </c>
      <c r="T2" t="s">
        <v>55</v>
      </c>
      <c r="U2" t="s">
        <v>1125</v>
      </c>
      <c r="W2" t="s">
        <v>60</v>
      </c>
      <c r="X2" t="s">
        <v>1126</v>
      </c>
      <c r="Z2" t="s">
        <v>65</v>
      </c>
      <c r="AA2" t="s">
        <v>1127</v>
      </c>
      <c r="AC2" t="s">
        <v>68</v>
      </c>
      <c r="AD2" t="s">
        <v>1128</v>
      </c>
      <c r="AF2" t="s">
        <v>73</v>
      </c>
      <c r="AG2" t="s">
        <v>1129</v>
      </c>
      <c r="AI2" t="s">
        <v>78</v>
      </c>
      <c r="AJ2" t="s">
        <v>1130</v>
      </c>
      <c r="AL2" t="s">
        <v>82</v>
      </c>
      <c r="AM2" t="s">
        <v>1131</v>
      </c>
    </row>
    <row r="3" spans="2:39" x14ac:dyDescent="0.2">
      <c r="B3" t="s">
        <v>1132</v>
      </c>
      <c r="C3" t="s">
        <v>1133</v>
      </c>
      <c r="E3" t="s">
        <v>1134</v>
      </c>
      <c r="F3" t="s">
        <v>1135</v>
      </c>
      <c r="H3" t="s">
        <v>1136</v>
      </c>
      <c r="I3" t="s">
        <v>1137</v>
      </c>
      <c r="K3" t="s">
        <v>1138</v>
      </c>
      <c r="L3" t="s">
        <v>1139</v>
      </c>
      <c r="N3" t="s">
        <v>1140</v>
      </c>
      <c r="O3" t="s">
        <v>1141</v>
      </c>
      <c r="Q3" t="s">
        <v>1140</v>
      </c>
      <c r="R3" t="s">
        <v>1141</v>
      </c>
      <c r="T3" t="s">
        <v>1142</v>
      </c>
      <c r="U3" t="s">
        <v>1143</v>
      </c>
      <c r="W3" t="s">
        <v>1144</v>
      </c>
      <c r="X3" t="s">
        <v>1145</v>
      </c>
      <c r="Z3" t="s">
        <v>1146</v>
      </c>
      <c r="AA3" t="s">
        <v>1147</v>
      </c>
      <c r="AC3" t="s">
        <v>1146</v>
      </c>
      <c r="AD3" t="s">
        <v>1147</v>
      </c>
      <c r="AF3" t="s">
        <v>1148</v>
      </c>
      <c r="AG3" t="s">
        <v>1149</v>
      </c>
      <c r="AI3" t="s">
        <v>1150</v>
      </c>
      <c r="AJ3" t="s">
        <v>1151</v>
      </c>
      <c r="AL3" t="s">
        <v>1152</v>
      </c>
      <c r="AM3" t="s">
        <v>1151</v>
      </c>
    </row>
    <row r="4" spans="2:39" x14ac:dyDescent="0.2">
      <c r="B4" t="s">
        <v>1153</v>
      </c>
      <c r="C4" t="s">
        <v>1154</v>
      </c>
      <c r="E4" t="s">
        <v>1153</v>
      </c>
      <c r="F4" t="s">
        <v>1155</v>
      </c>
      <c r="H4" t="s">
        <v>1156</v>
      </c>
      <c r="I4" t="s">
        <v>1157</v>
      </c>
      <c r="K4" t="s">
        <v>1156</v>
      </c>
      <c r="L4" t="s">
        <v>1158</v>
      </c>
      <c r="N4" t="s">
        <v>1159</v>
      </c>
      <c r="O4" t="s">
        <v>1160</v>
      </c>
      <c r="Q4" t="s">
        <v>1161</v>
      </c>
      <c r="R4" t="s">
        <v>1162</v>
      </c>
      <c r="T4" t="s">
        <v>1163</v>
      </c>
      <c r="U4" t="s">
        <v>1164</v>
      </c>
      <c r="W4" t="s">
        <v>1165</v>
      </c>
      <c r="X4" t="s">
        <v>1166</v>
      </c>
      <c r="Z4" t="s">
        <v>1167</v>
      </c>
      <c r="AA4" t="s">
        <v>1168</v>
      </c>
      <c r="AC4" t="s">
        <v>1167</v>
      </c>
      <c r="AD4" t="s">
        <v>1169</v>
      </c>
      <c r="AF4" t="s">
        <v>1170</v>
      </c>
      <c r="AG4" t="s">
        <v>1171</v>
      </c>
      <c r="AI4" t="s">
        <v>1167</v>
      </c>
      <c r="AJ4" t="s">
        <v>1172</v>
      </c>
      <c r="AL4" t="s">
        <v>1173</v>
      </c>
      <c r="AM4" t="s">
        <v>1174</v>
      </c>
    </row>
    <row r="5" spans="2:39" x14ac:dyDescent="0.2">
      <c r="B5" t="s">
        <v>1175</v>
      </c>
      <c r="C5" t="s">
        <v>1176</v>
      </c>
      <c r="E5" t="s">
        <v>1177</v>
      </c>
      <c r="F5" t="s">
        <v>1178</v>
      </c>
      <c r="H5" t="s">
        <v>1179</v>
      </c>
      <c r="I5" t="s">
        <v>1180</v>
      </c>
      <c r="K5" t="s">
        <v>1181</v>
      </c>
      <c r="L5" t="s">
        <v>1182</v>
      </c>
      <c r="N5" t="s">
        <v>1183</v>
      </c>
      <c r="O5" t="s">
        <v>1184</v>
      </c>
      <c r="Q5" t="s">
        <v>1156</v>
      </c>
      <c r="R5" t="s">
        <v>1185</v>
      </c>
      <c r="T5" t="s">
        <v>1156</v>
      </c>
      <c r="U5" t="s">
        <v>1186</v>
      </c>
      <c r="W5" t="s">
        <v>1187</v>
      </c>
      <c r="X5" t="s">
        <v>1188</v>
      </c>
      <c r="Z5" t="s">
        <v>1189</v>
      </c>
      <c r="AA5" t="s">
        <v>1190</v>
      </c>
      <c r="AC5" t="s">
        <v>1189</v>
      </c>
      <c r="AD5" t="s">
        <v>1191</v>
      </c>
      <c r="AF5" t="s">
        <v>1192</v>
      </c>
      <c r="AG5" t="s">
        <v>1193</v>
      </c>
      <c r="AI5" t="s">
        <v>1189</v>
      </c>
      <c r="AJ5" t="s">
        <v>1194</v>
      </c>
      <c r="AL5" t="s">
        <v>1195</v>
      </c>
      <c r="AM5" t="s">
        <v>1194</v>
      </c>
    </row>
    <row r="6" spans="2:39" x14ac:dyDescent="0.2">
      <c r="B6" t="s">
        <v>1196</v>
      </c>
      <c r="C6" t="s">
        <v>1197</v>
      </c>
      <c r="E6" t="s">
        <v>1132</v>
      </c>
      <c r="F6" t="s">
        <v>1198</v>
      </c>
      <c r="H6" t="s">
        <v>1175</v>
      </c>
      <c r="I6" t="s">
        <v>1199</v>
      </c>
      <c r="K6" t="s">
        <v>1200</v>
      </c>
      <c r="L6" t="s">
        <v>1201</v>
      </c>
      <c r="N6" t="s">
        <v>1202</v>
      </c>
      <c r="O6" t="s">
        <v>1203</v>
      </c>
      <c r="Q6" t="s">
        <v>1202</v>
      </c>
      <c r="R6" t="s">
        <v>1201</v>
      </c>
      <c r="T6" t="s">
        <v>1204</v>
      </c>
      <c r="U6" t="s">
        <v>1205</v>
      </c>
      <c r="W6" t="s">
        <v>1204</v>
      </c>
      <c r="X6" t="s">
        <v>1205</v>
      </c>
      <c r="Z6" t="s">
        <v>1206</v>
      </c>
      <c r="AA6" t="s">
        <v>1207</v>
      </c>
      <c r="AC6" t="s">
        <v>1206</v>
      </c>
      <c r="AD6" t="s">
        <v>1207</v>
      </c>
      <c r="AF6" t="s">
        <v>1208</v>
      </c>
      <c r="AG6" t="s">
        <v>1209</v>
      </c>
      <c r="AI6" t="s">
        <v>1210</v>
      </c>
      <c r="AJ6" t="s">
        <v>1211</v>
      </c>
      <c r="AL6" t="s">
        <v>1210</v>
      </c>
      <c r="AM6" t="s">
        <v>1211</v>
      </c>
    </row>
    <row r="7" spans="2:39" x14ac:dyDescent="0.2">
      <c r="B7" t="s">
        <v>1177</v>
      </c>
      <c r="C7" t="s">
        <v>1178</v>
      </c>
      <c r="E7" t="s">
        <v>1212</v>
      </c>
      <c r="F7" t="s">
        <v>1213</v>
      </c>
      <c r="H7" t="s">
        <v>1196</v>
      </c>
      <c r="I7" t="s">
        <v>1214</v>
      </c>
      <c r="K7" t="s">
        <v>1215</v>
      </c>
      <c r="L7" t="s">
        <v>1216</v>
      </c>
      <c r="N7" t="s">
        <v>1215</v>
      </c>
      <c r="O7" t="s">
        <v>1216</v>
      </c>
      <c r="Q7" t="s">
        <v>1217</v>
      </c>
      <c r="R7" t="s">
        <v>1218</v>
      </c>
      <c r="T7" t="s">
        <v>1219</v>
      </c>
      <c r="U7" t="s">
        <v>1220</v>
      </c>
      <c r="W7" t="s">
        <v>1202</v>
      </c>
      <c r="X7" t="s">
        <v>1203</v>
      </c>
      <c r="Z7" t="s">
        <v>1221</v>
      </c>
      <c r="AA7" t="s">
        <v>1222</v>
      </c>
      <c r="AC7" t="s">
        <v>1221</v>
      </c>
      <c r="AD7" t="s">
        <v>1223</v>
      </c>
      <c r="AF7" t="s">
        <v>1224</v>
      </c>
      <c r="AG7" t="s">
        <v>1225</v>
      </c>
      <c r="AI7" t="s">
        <v>1221</v>
      </c>
      <c r="AJ7" t="s">
        <v>1226</v>
      </c>
      <c r="AL7" t="s">
        <v>1221</v>
      </c>
      <c r="AM7" t="s">
        <v>1227</v>
      </c>
    </row>
    <row r="8" spans="2:39" x14ac:dyDescent="0.2">
      <c r="B8" t="s">
        <v>1228</v>
      </c>
      <c r="C8" t="s">
        <v>1229</v>
      </c>
      <c r="E8" t="s">
        <v>1230</v>
      </c>
      <c r="F8" t="s">
        <v>1231</v>
      </c>
      <c r="H8" t="s">
        <v>1215</v>
      </c>
      <c r="I8" t="s">
        <v>1232</v>
      </c>
      <c r="K8" t="s">
        <v>1233</v>
      </c>
      <c r="L8" t="s">
        <v>1234</v>
      </c>
      <c r="N8" t="s">
        <v>1233</v>
      </c>
      <c r="O8" t="s">
        <v>1235</v>
      </c>
      <c r="Q8" t="s">
        <v>1215</v>
      </c>
      <c r="R8" t="s">
        <v>1236</v>
      </c>
      <c r="T8" t="s">
        <v>1237</v>
      </c>
      <c r="U8" t="s">
        <v>1238</v>
      </c>
      <c r="W8" t="s">
        <v>1239</v>
      </c>
      <c r="X8" t="s">
        <v>1240</v>
      </c>
      <c r="Z8" t="s">
        <v>1241</v>
      </c>
      <c r="AA8" t="s">
        <v>1242</v>
      </c>
      <c r="AC8" t="s">
        <v>1241</v>
      </c>
      <c r="AD8" t="s">
        <v>1243</v>
      </c>
      <c r="AF8" t="s">
        <v>1244</v>
      </c>
      <c r="AG8" t="s">
        <v>1245</v>
      </c>
      <c r="AI8" t="s">
        <v>1246</v>
      </c>
      <c r="AJ8" t="s">
        <v>1247</v>
      </c>
      <c r="AL8" t="s">
        <v>1248</v>
      </c>
      <c r="AM8" t="s">
        <v>1247</v>
      </c>
    </row>
    <row r="9" spans="2:39" x14ac:dyDescent="0.2">
      <c r="B9" t="s">
        <v>1249</v>
      </c>
      <c r="C9" t="s">
        <v>1250</v>
      </c>
      <c r="E9" t="s">
        <v>1120</v>
      </c>
      <c r="F9" t="s">
        <v>256</v>
      </c>
      <c r="H9" t="s">
        <v>1233</v>
      </c>
      <c r="I9" t="s">
        <v>1251</v>
      </c>
      <c r="K9" t="s">
        <v>1252</v>
      </c>
      <c r="L9" t="s">
        <v>1253</v>
      </c>
      <c r="N9" t="s">
        <v>1252</v>
      </c>
      <c r="O9" t="s">
        <v>1254</v>
      </c>
      <c r="Q9" t="s">
        <v>1233</v>
      </c>
      <c r="R9" t="s">
        <v>1255</v>
      </c>
      <c r="T9" t="s">
        <v>1215</v>
      </c>
      <c r="U9" t="s">
        <v>1256</v>
      </c>
      <c r="W9" t="s">
        <v>1215</v>
      </c>
      <c r="X9" t="s">
        <v>1256</v>
      </c>
      <c r="Z9" t="s">
        <v>1257</v>
      </c>
      <c r="AA9" t="s">
        <v>1258</v>
      </c>
      <c r="AC9" t="s">
        <v>1257</v>
      </c>
      <c r="AD9" t="s">
        <v>1259</v>
      </c>
      <c r="AF9" t="s">
        <v>1260</v>
      </c>
      <c r="AG9" t="s">
        <v>1261</v>
      </c>
      <c r="AI9" t="s">
        <v>1257</v>
      </c>
      <c r="AJ9" t="s">
        <v>1262</v>
      </c>
      <c r="AL9" t="s">
        <v>1263</v>
      </c>
      <c r="AM9" t="s">
        <v>1264</v>
      </c>
    </row>
    <row r="10" spans="2:39" x14ac:dyDescent="0.2">
      <c r="B10" t="s">
        <v>1265</v>
      </c>
      <c r="C10" t="s">
        <v>1266</v>
      </c>
      <c r="H10" t="s">
        <v>1252</v>
      </c>
      <c r="I10" t="s">
        <v>1267</v>
      </c>
      <c r="K10" t="s">
        <v>1228</v>
      </c>
      <c r="L10" t="s">
        <v>1229</v>
      </c>
      <c r="N10" t="s">
        <v>1228</v>
      </c>
      <c r="O10" t="s">
        <v>1229</v>
      </c>
      <c r="Q10" t="s">
        <v>1252</v>
      </c>
      <c r="R10" t="s">
        <v>1268</v>
      </c>
      <c r="T10" t="s">
        <v>1233</v>
      </c>
      <c r="U10" t="s">
        <v>1269</v>
      </c>
      <c r="W10" t="s">
        <v>1233</v>
      </c>
      <c r="X10" t="s">
        <v>1269</v>
      </c>
      <c r="Z10" t="s">
        <v>1270</v>
      </c>
      <c r="AA10" t="s">
        <v>1271</v>
      </c>
      <c r="AC10" t="s">
        <v>1270</v>
      </c>
      <c r="AD10" t="s">
        <v>1271</v>
      </c>
      <c r="AF10" t="s">
        <v>1257</v>
      </c>
      <c r="AG10" t="s">
        <v>1272</v>
      </c>
      <c r="AI10" t="s">
        <v>1270</v>
      </c>
      <c r="AJ10" t="s">
        <v>1273</v>
      </c>
      <c r="AL10" t="s">
        <v>1270</v>
      </c>
      <c r="AM10" t="s">
        <v>1273</v>
      </c>
    </row>
    <row r="11" spans="2:39" x14ac:dyDescent="0.2">
      <c r="B11" t="s">
        <v>1274</v>
      </c>
      <c r="C11" t="s">
        <v>1275</v>
      </c>
      <c r="H11" t="s">
        <v>1276</v>
      </c>
      <c r="I11" t="s">
        <v>1277</v>
      </c>
      <c r="K11" t="s">
        <v>1278</v>
      </c>
      <c r="L11" t="s">
        <v>1279</v>
      </c>
      <c r="N11" t="s">
        <v>1280</v>
      </c>
      <c r="O11" t="s">
        <v>1281</v>
      </c>
      <c r="Q11" t="s">
        <v>1228</v>
      </c>
      <c r="R11" t="s">
        <v>1282</v>
      </c>
      <c r="T11" t="s">
        <v>1252</v>
      </c>
      <c r="U11" t="s">
        <v>1283</v>
      </c>
      <c r="W11" t="s">
        <v>1252</v>
      </c>
      <c r="X11" t="s">
        <v>1283</v>
      </c>
      <c r="Z11" t="s">
        <v>1284</v>
      </c>
      <c r="AA11" t="s">
        <v>1285</v>
      </c>
      <c r="AC11" t="s">
        <v>1286</v>
      </c>
      <c r="AD11" t="s">
        <v>1287</v>
      </c>
      <c r="AF11" t="s">
        <v>1288</v>
      </c>
      <c r="AG11" t="s">
        <v>1289</v>
      </c>
      <c r="AI11" t="s">
        <v>1290</v>
      </c>
      <c r="AJ11" t="s">
        <v>1291</v>
      </c>
      <c r="AL11" t="s">
        <v>1290</v>
      </c>
      <c r="AM11" t="s">
        <v>1291</v>
      </c>
    </row>
    <row r="12" spans="2:39" x14ac:dyDescent="0.2">
      <c r="B12" t="s">
        <v>1292</v>
      </c>
      <c r="C12" t="s">
        <v>1293</v>
      </c>
      <c r="H12" t="s">
        <v>1153</v>
      </c>
      <c r="I12" t="s">
        <v>1294</v>
      </c>
      <c r="K12" t="s">
        <v>1295</v>
      </c>
      <c r="L12" t="s">
        <v>1296</v>
      </c>
      <c r="N12" t="s">
        <v>1123</v>
      </c>
      <c r="O12" t="s">
        <v>256</v>
      </c>
      <c r="Q12" t="s">
        <v>1297</v>
      </c>
      <c r="R12" t="s">
        <v>1298</v>
      </c>
      <c r="T12" t="s">
        <v>1276</v>
      </c>
      <c r="U12" t="s">
        <v>1299</v>
      </c>
      <c r="W12" t="s">
        <v>1276</v>
      </c>
      <c r="X12" t="s">
        <v>1300</v>
      </c>
      <c r="Z12" t="s">
        <v>1167</v>
      </c>
      <c r="AA12" t="s">
        <v>1169</v>
      </c>
      <c r="AC12" t="s">
        <v>1276</v>
      </c>
      <c r="AD12" t="s">
        <v>1301</v>
      </c>
      <c r="AF12" t="s">
        <v>1302</v>
      </c>
      <c r="AG12" t="s">
        <v>1303</v>
      </c>
      <c r="AI12" t="s">
        <v>1304</v>
      </c>
      <c r="AJ12" t="s">
        <v>1305</v>
      </c>
      <c r="AL12" t="s">
        <v>1304</v>
      </c>
      <c r="AM12" t="s">
        <v>1305</v>
      </c>
    </row>
    <row r="13" spans="2:39" x14ac:dyDescent="0.2">
      <c r="B13" t="s">
        <v>1306</v>
      </c>
      <c r="C13" t="s">
        <v>1307</v>
      </c>
      <c r="H13" t="s">
        <v>1228</v>
      </c>
      <c r="I13" t="s">
        <v>1308</v>
      </c>
      <c r="K13" t="s">
        <v>1309</v>
      </c>
      <c r="L13" t="s">
        <v>1310</v>
      </c>
      <c r="Q13" t="s">
        <v>1311</v>
      </c>
      <c r="R13" t="s">
        <v>1312</v>
      </c>
      <c r="T13" t="s">
        <v>1313</v>
      </c>
      <c r="U13" t="s">
        <v>1314</v>
      </c>
      <c r="W13" t="s">
        <v>1315</v>
      </c>
      <c r="X13" t="s">
        <v>1316</v>
      </c>
      <c r="Z13" t="s">
        <v>1276</v>
      </c>
      <c r="AA13" t="s">
        <v>1301</v>
      </c>
      <c r="AC13" t="s">
        <v>1153</v>
      </c>
      <c r="AD13" t="s">
        <v>1294</v>
      </c>
      <c r="AF13" t="s">
        <v>1317</v>
      </c>
      <c r="AG13" t="s">
        <v>1318</v>
      </c>
      <c r="AI13" t="s">
        <v>1295</v>
      </c>
      <c r="AJ13" t="s">
        <v>1319</v>
      </c>
      <c r="AL13" t="s">
        <v>1257</v>
      </c>
      <c r="AM13" t="s">
        <v>1262</v>
      </c>
    </row>
    <row r="14" spans="2:39" x14ac:dyDescent="0.2">
      <c r="B14" t="s">
        <v>1320</v>
      </c>
      <c r="C14" t="s">
        <v>1321</v>
      </c>
      <c r="H14" t="s">
        <v>1278</v>
      </c>
      <c r="I14" t="s">
        <v>1322</v>
      </c>
      <c r="K14" t="s">
        <v>1323</v>
      </c>
      <c r="L14" t="s">
        <v>1294</v>
      </c>
      <c r="Q14" t="s">
        <v>1295</v>
      </c>
      <c r="R14" t="s">
        <v>1324</v>
      </c>
      <c r="T14" t="s">
        <v>1228</v>
      </c>
      <c r="U14" t="s">
        <v>1325</v>
      </c>
      <c r="W14" t="s">
        <v>1228</v>
      </c>
      <c r="X14" t="s">
        <v>1325</v>
      </c>
      <c r="Z14" t="s">
        <v>1153</v>
      </c>
      <c r="AA14" t="s">
        <v>1294</v>
      </c>
      <c r="AC14" t="s">
        <v>1295</v>
      </c>
      <c r="AD14" t="s">
        <v>1326</v>
      </c>
      <c r="AF14" t="s">
        <v>1153</v>
      </c>
      <c r="AG14" t="s">
        <v>1327</v>
      </c>
      <c r="AI14" t="s">
        <v>1130</v>
      </c>
      <c r="AJ14" t="s">
        <v>256</v>
      </c>
      <c r="AL14" t="s">
        <v>1131</v>
      </c>
      <c r="AM14" t="s">
        <v>256</v>
      </c>
    </row>
    <row r="15" spans="2:39" x14ac:dyDescent="0.2">
      <c r="B15" t="s">
        <v>1328</v>
      </c>
      <c r="C15" t="s">
        <v>1329</v>
      </c>
      <c r="H15" t="s">
        <v>1121</v>
      </c>
      <c r="I15" t="s">
        <v>256</v>
      </c>
      <c r="K15" t="s">
        <v>1122</v>
      </c>
      <c r="L15" t="s">
        <v>256</v>
      </c>
      <c r="Q15" t="s">
        <v>1204</v>
      </c>
      <c r="R15" t="s">
        <v>1330</v>
      </c>
      <c r="T15" t="s">
        <v>1297</v>
      </c>
      <c r="U15" t="s">
        <v>1331</v>
      </c>
      <c r="W15" t="s">
        <v>1297</v>
      </c>
      <c r="X15" t="s">
        <v>1331</v>
      </c>
      <c r="Z15" t="s">
        <v>1295</v>
      </c>
      <c r="AA15" t="s">
        <v>1326</v>
      </c>
      <c r="AC15" t="s">
        <v>1128</v>
      </c>
      <c r="AD15" t="s">
        <v>256</v>
      </c>
      <c r="AF15" t="s">
        <v>1129</v>
      </c>
      <c r="AG15" t="s">
        <v>256</v>
      </c>
    </row>
    <row r="16" spans="2:39" x14ac:dyDescent="0.2">
      <c r="B16" t="s">
        <v>1332</v>
      </c>
      <c r="C16" t="s">
        <v>1333</v>
      </c>
      <c r="Q16" t="s">
        <v>1124</v>
      </c>
      <c r="R16" t="s">
        <v>256</v>
      </c>
      <c r="T16" t="s">
        <v>1311</v>
      </c>
      <c r="U16" t="s">
        <v>1334</v>
      </c>
      <c r="W16" t="s">
        <v>1311</v>
      </c>
      <c r="X16" t="s">
        <v>1334</v>
      </c>
      <c r="Z16" t="s">
        <v>1127</v>
      </c>
      <c r="AA16" t="s">
        <v>256</v>
      </c>
    </row>
    <row r="17" spans="2:24" x14ac:dyDescent="0.2">
      <c r="B17" t="s">
        <v>1119</v>
      </c>
      <c r="C17" t="s">
        <v>256</v>
      </c>
      <c r="T17" t="s">
        <v>1125</v>
      </c>
      <c r="U17" t="s">
        <v>256</v>
      </c>
      <c r="W17" t="s">
        <v>1126</v>
      </c>
      <c r="X17" t="s">
        <v>256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7E12D-4124-42DA-86F6-B9D89C3234F2}">
  <sheetPr codeName="Hoja9"/>
  <dimension ref="B2:C9"/>
  <sheetViews>
    <sheetView workbookViewId="0">
      <selection activeCell="C3" sqref="C3:C8"/>
    </sheetView>
  </sheetViews>
  <sheetFormatPr baseColWidth="10" defaultRowHeight="15" x14ac:dyDescent="0.2"/>
  <cols>
    <col min="2" max="2" width="33" bestFit="1" customWidth="1"/>
    <col min="3" max="3" width="20" customWidth="1"/>
  </cols>
  <sheetData>
    <row r="2" spans="2:3" x14ac:dyDescent="0.2">
      <c r="B2" t="s">
        <v>11640</v>
      </c>
      <c r="C2" t="s">
        <v>11641</v>
      </c>
    </row>
    <row r="3" spans="2:3" x14ac:dyDescent="0.2">
      <c r="B3" t="s">
        <v>11642</v>
      </c>
      <c r="C3" t="s">
        <v>10614</v>
      </c>
    </row>
    <row r="4" spans="2:3" x14ac:dyDescent="0.2">
      <c r="B4" t="s">
        <v>11643</v>
      </c>
      <c r="C4" t="s">
        <v>11644</v>
      </c>
    </row>
    <row r="5" spans="2:3" x14ac:dyDescent="0.2">
      <c r="B5" t="s">
        <v>11645</v>
      </c>
      <c r="C5" t="s">
        <v>11647</v>
      </c>
    </row>
    <row r="6" spans="2:3" x14ac:dyDescent="0.2">
      <c r="B6" t="s">
        <v>11283</v>
      </c>
      <c r="C6" t="s">
        <v>11648</v>
      </c>
    </row>
    <row r="7" spans="2:3" x14ac:dyDescent="0.2">
      <c r="B7" t="s">
        <v>1556</v>
      </c>
      <c r="C7" t="s">
        <v>11649</v>
      </c>
    </row>
    <row r="8" spans="2:3" x14ac:dyDescent="0.2">
      <c r="B8" t="s">
        <v>11646</v>
      </c>
      <c r="C8" t="s">
        <v>11650</v>
      </c>
    </row>
    <row r="9" spans="2:3" x14ac:dyDescent="0.2">
      <c r="B9" t="s">
        <v>11641</v>
      </c>
      <c r="C9" t="s">
        <v>256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CE4A0-A540-4ADE-8F1A-D349B3B1C3F0}">
  <sheetPr codeName="Hoja15"/>
  <dimension ref="B2:AB103"/>
  <sheetViews>
    <sheetView topLeftCell="B1" zoomScale="130" zoomScaleNormal="130" workbookViewId="0">
      <selection activeCell="F3" sqref="F3:F20"/>
    </sheetView>
  </sheetViews>
  <sheetFormatPr baseColWidth="10" defaultRowHeight="15" x14ac:dyDescent="0.2"/>
  <cols>
    <col min="2" max="2" width="32.83203125" customWidth="1"/>
    <col min="3" max="3" width="26.33203125" customWidth="1"/>
    <col min="5" max="5" width="32.83203125" customWidth="1"/>
    <col min="6" max="6" width="26.5" customWidth="1"/>
    <col min="8" max="8" width="34" customWidth="1"/>
    <col min="9" max="9" width="26.33203125" customWidth="1"/>
    <col min="11" max="11" width="38.33203125" customWidth="1"/>
    <col min="12" max="12" width="26.33203125" customWidth="1"/>
    <col min="14" max="14" width="42.5" customWidth="1"/>
    <col min="15" max="15" width="26.33203125" customWidth="1"/>
    <col min="17" max="17" width="34.33203125" customWidth="1"/>
    <col min="18" max="18" width="26.5" customWidth="1"/>
    <col min="19" max="19" width="5" bestFit="1" customWidth="1"/>
    <col min="20" max="20" width="35.6640625" customWidth="1"/>
    <col min="21" max="21" width="26.5" customWidth="1"/>
    <col min="23" max="23" width="37.1640625" customWidth="1"/>
    <col min="24" max="24" width="26.5" customWidth="1"/>
    <col min="26" max="26" width="40.83203125" customWidth="1"/>
    <col min="27" max="27" width="26.33203125" customWidth="1"/>
    <col min="28" max="28" width="18" bestFit="1" customWidth="1"/>
  </cols>
  <sheetData>
    <row r="2" spans="2:27" x14ac:dyDescent="0.2">
      <c r="B2" t="s">
        <v>2173</v>
      </c>
      <c r="C2" t="s">
        <v>773</v>
      </c>
      <c r="E2" t="s">
        <v>2172</v>
      </c>
      <c r="F2" t="s">
        <v>774</v>
      </c>
      <c r="H2" t="s">
        <v>2171</v>
      </c>
      <c r="I2" t="s">
        <v>775</v>
      </c>
      <c r="K2" t="s">
        <v>2174</v>
      </c>
      <c r="L2" t="s">
        <v>776</v>
      </c>
      <c r="N2" t="s">
        <v>2175</v>
      </c>
      <c r="O2" t="s">
        <v>777</v>
      </c>
      <c r="Q2" t="s">
        <v>2181</v>
      </c>
      <c r="R2" t="s">
        <v>778</v>
      </c>
      <c r="T2" t="s">
        <v>2183</v>
      </c>
      <c r="U2" t="s">
        <v>779</v>
      </c>
      <c r="W2" t="s">
        <v>2170</v>
      </c>
      <c r="X2" t="s">
        <v>780</v>
      </c>
      <c r="Z2" t="s">
        <v>2184</v>
      </c>
      <c r="AA2" t="s">
        <v>781</v>
      </c>
    </row>
    <row r="3" spans="2:27" x14ac:dyDescent="0.2">
      <c r="B3" t="s">
        <v>390</v>
      </c>
      <c r="C3" t="s">
        <v>782</v>
      </c>
      <c r="E3" t="s">
        <v>390</v>
      </c>
      <c r="F3" t="s">
        <v>783</v>
      </c>
      <c r="H3" t="s">
        <v>423</v>
      </c>
      <c r="I3" t="s">
        <v>784</v>
      </c>
      <c r="K3" t="s">
        <v>423</v>
      </c>
      <c r="L3" t="s">
        <v>784</v>
      </c>
      <c r="N3" t="s">
        <v>423</v>
      </c>
      <c r="O3" t="s">
        <v>784</v>
      </c>
      <c r="Q3" t="s">
        <v>390</v>
      </c>
      <c r="R3" t="s">
        <v>783</v>
      </c>
      <c r="T3" t="s">
        <v>390</v>
      </c>
      <c r="U3" t="s">
        <v>782</v>
      </c>
      <c r="W3" t="s">
        <v>390</v>
      </c>
      <c r="X3" t="s">
        <v>785</v>
      </c>
      <c r="Z3" t="s">
        <v>390</v>
      </c>
      <c r="AA3" t="s">
        <v>782</v>
      </c>
    </row>
    <row r="4" spans="2:27" x14ac:dyDescent="0.2">
      <c r="B4" t="s">
        <v>786</v>
      </c>
      <c r="C4" t="s">
        <v>787</v>
      </c>
      <c r="E4" t="s">
        <v>786</v>
      </c>
      <c r="F4" t="s">
        <v>788</v>
      </c>
      <c r="H4" t="s">
        <v>789</v>
      </c>
      <c r="I4" t="s">
        <v>790</v>
      </c>
      <c r="K4" t="s">
        <v>789</v>
      </c>
      <c r="L4" t="s">
        <v>790</v>
      </c>
      <c r="N4" t="s">
        <v>789</v>
      </c>
      <c r="O4" t="s">
        <v>790</v>
      </c>
      <c r="Q4" t="s">
        <v>791</v>
      </c>
      <c r="R4" t="s">
        <v>792</v>
      </c>
      <c r="T4" t="s">
        <v>786</v>
      </c>
      <c r="U4" t="s">
        <v>787</v>
      </c>
      <c r="W4" t="s">
        <v>786</v>
      </c>
      <c r="X4" t="s">
        <v>793</v>
      </c>
      <c r="Z4" t="s">
        <v>786</v>
      </c>
      <c r="AA4" t="s">
        <v>787</v>
      </c>
    </row>
    <row r="5" spans="2:27" x14ac:dyDescent="0.2">
      <c r="B5" t="s">
        <v>794</v>
      </c>
      <c r="C5" t="s">
        <v>795</v>
      </c>
      <c r="E5" t="s">
        <v>794</v>
      </c>
      <c r="F5" t="s">
        <v>796</v>
      </c>
      <c r="H5" t="s">
        <v>162</v>
      </c>
      <c r="I5" t="s">
        <v>797</v>
      </c>
      <c r="K5" t="s">
        <v>162</v>
      </c>
      <c r="L5" t="s">
        <v>797</v>
      </c>
      <c r="N5" t="s">
        <v>794</v>
      </c>
      <c r="O5" t="s">
        <v>797</v>
      </c>
      <c r="Q5" t="s">
        <v>786</v>
      </c>
      <c r="R5" t="s">
        <v>798</v>
      </c>
      <c r="T5" t="s">
        <v>794</v>
      </c>
      <c r="U5" t="s">
        <v>799</v>
      </c>
      <c r="W5" t="s">
        <v>800</v>
      </c>
      <c r="X5" t="s">
        <v>801</v>
      </c>
      <c r="Z5" t="s">
        <v>794</v>
      </c>
      <c r="AA5" t="s">
        <v>802</v>
      </c>
    </row>
    <row r="6" spans="2:27" x14ac:dyDescent="0.2">
      <c r="B6" t="s">
        <v>803</v>
      </c>
      <c r="C6" t="s">
        <v>804</v>
      </c>
      <c r="E6" t="s">
        <v>803</v>
      </c>
      <c r="F6" t="s">
        <v>804</v>
      </c>
      <c r="H6" t="s">
        <v>794</v>
      </c>
      <c r="I6" t="s">
        <v>805</v>
      </c>
      <c r="K6" t="s">
        <v>794</v>
      </c>
      <c r="L6" t="s">
        <v>805</v>
      </c>
      <c r="N6" t="s">
        <v>806</v>
      </c>
      <c r="O6" t="s">
        <v>807</v>
      </c>
      <c r="Q6" t="s">
        <v>794</v>
      </c>
      <c r="R6" t="s">
        <v>808</v>
      </c>
      <c r="T6" t="s">
        <v>803</v>
      </c>
      <c r="U6" t="s">
        <v>804</v>
      </c>
      <c r="W6" t="s">
        <v>809</v>
      </c>
      <c r="X6" t="s">
        <v>810</v>
      </c>
      <c r="Z6" t="s">
        <v>803</v>
      </c>
      <c r="AA6" t="s">
        <v>804</v>
      </c>
    </row>
    <row r="7" spans="2:27" x14ac:dyDescent="0.2">
      <c r="B7" t="s">
        <v>811</v>
      </c>
      <c r="C7" t="s">
        <v>812</v>
      </c>
      <c r="E7" t="s">
        <v>811</v>
      </c>
      <c r="F7" t="s">
        <v>812</v>
      </c>
      <c r="H7" t="s">
        <v>806</v>
      </c>
      <c r="I7" t="s">
        <v>807</v>
      </c>
      <c r="K7" t="s">
        <v>806</v>
      </c>
      <c r="L7" t="s">
        <v>807</v>
      </c>
      <c r="N7" t="s">
        <v>813</v>
      </c>
      <c r="O7" t="s">
        <v>814</v>
      </c>
      <c r="Q7" t="s">
        <v>484</v>
      </c>
      <c r="R7" t="s">
        <v>815</v>
      </c>
      <c r="T7" t="s">
        <v>811</v>
      </c>
      <c r="U7" t="s">
        <v>812</v>
      </c>
      <c r="W7" t="s">
        <v>794</v>
      </c>
      <c r="X7" t="s">
        <v>816</v>
      </c>
      <c r="Z7" t="s">
        <v>811</v>
      </c>
      <c r="AA7" t="s">
        <v>812</v>
      </c>
    </row>
    <row r="8" spans="2:27" x14ac:dyDescent="0.2">
      <c r="B8" t="s">
        <v>365</v>
      </c>
      <c r="C8" t="s">
        <v>817</v>
      </c>
      <c r="E8" t="s">
        <v>365</v>
      </c>
      <c r="F8" t="s">
        <v>817</v>
      </c>
      <c r="H8" t="s">
        <v>813</v>
      </c>
      <c r="I8" t="s">
        <v>814</v>
      </c>
      <c r="K8" t="s">
        <v>813</v>
      </c>
      <c r="L8" t="s">
        <v>814</v>
      </c>
      <c r="N8" t="s">
        <v>694</v>
      </c>
      <c r="O8" t="s">
        <v>818</v>
      </c>
      <c r="Q8" t="s">
        <v>803</v>
      </c>
      <c r="R8" t="s">
        <v>804</v>
      </c>
      <c r="T8" t="s">
        <v>365</v>
      </c>
      <c r="U8" t="s">
        <v>817</v>
      </c>
      <c r="W8" t="s">
        <v>803</v>
      </c>
      <c r="X8" t="s">
        <v>804</v>
      </c>
      <c r="Z8" t="s">
        <v>365</v>
      </c>
      <c r="AA8" t="s">
        <v>817</v>
      </c>
    </row>
    <row r="9" spans="2:27" x14ac:dyDescent="0.2">
      <c r="B9" t="s">
        <v>819</v>
      </c>
      <c r="C9" t="s">
        <v>689</v>
      </c>
      <c r="E9" t="s">
        <v>819</v>
      </c>
      <c r="F9" t="s">
        <v>689</v>
      </c>
      <c r="H9" t="s">
        <v>694</v>
      </c>
      <c r="I9" t="s">
        <v>818</v>
      </c>
      <c r="K9" t="s">
        <v>694</v>
      </c>
      <c r="L9" t="s">
        <v>818</v>
      </c>
      <c r="N9" t="s">
        <v>803</v>
      </c>
      <c r="O9" t="s">
        <v>804</v>
      </c>
      <c r="Q9" t="s">
        <v>811</v>
      </c>
      <c r="R9" t="s">
        <v>812</v>
      </c>
      <c r="T9" t="s">
        <v>819</v>
      </c>
      <c r="U9" t="s">
        <v>689</v>
      </c>
      <c r="W9" t="s">
        <v>811</v>
      </c>
      <c r="X9" t="s">
        <v>812</v>
      </c>
      <c r="Z9" t="s">
        <v>819</v>
      </c>
      <c r="AA9" t="s">
        <v>689</v>
      </c>
    </row>
    <row r="10" spans="2:27" x14ac:dyDescent="0.2">
      <c r="B10" t="s">
        <v>800</v>
      </c>
      <c r="C10" t="s">
        <v>820</v>
      </c>
      <c r="E10" t="s">
        <v>800</v>
      </c>
      <c r="F10" t="s">
        <v>821</v>
      </c>
      <c r="H10" t="s">
        <v>803</v>
      </c>
      <c r="I10" t="s">
        <v>804</v>
      </c>
      <c r="K10" t="s">
        <v>803</v>
      </c>
      <c r="L10" t="s">
        <v>804</v>
      </c>
      <c r="N10" t="s">
        <v>811</v>
      </c>
      <c r="O10" t="s">
        <v>812</v>
      </c>
      <c r="Q10" t="s">
        <v>800</v>
      </c>
      <c r="R10" t="s">
        <v>822</v>
      </c>
      <c r="T10" t="s">
        <v>823</v>
      </c>
      <c r="U10" t="s">
        <v>824</v>
      </c>
      <c r="W10" t="s">
        <v>825</v>
      </c>
      <c r="X10" t="s">
        <v>817</v>
      </c>
      <c r="Z10" t="s">
        <v>823</v>
      </c>
      <c r="AA10" t="s">
        <v>824</v>
      </c>
    </row>
    <row r="11" spans="2:27" x14ac:dyDescent="0.2">
      <c r="B11" t="s">
        <v>823</v>
      </c>
      <c r="C11" t="s">
        <v>824</v>
      </c>
      <c r="E11" t="s">
        <v>823</v>
      </c>
      <c r="F11" t="s">
        <v>824</v>
      </c>
      <c r="H11" t="s">
        <v>811</v>
      </c>
      <c r="I11" t="s">
        <v>812</v>
      </c>
      <c r="K11" t="s">
        <v>811</v>
      </c>
      <c r="L11" t="s">
        <v>812</v>
      </c>
      <c r="N11" t="s">
        <v>11634</v>
      </c>
      <c r="O11" t="s">
        <v>11637</v>
      </c>
      <c r="Q11" t="s">
        <v>809</v>
      </c>
      <c r="R11" t="s">
        <v>826</v>
      </c>
      <c r="T11" t="s">
        <v>827</v>
      </c>
      <c r="U11" t="s">
        <v>828</v>
      </c>
      <c r="W11" t="s">
        <v>819</v>
      </c>
      <c r="X11" t="s">
        <v>689</v>
      </c>
      <c r="Z11" t="s">
        <v>827</v>
      </c>
      <c r="AA11" t="s">
        <v>828</v>
      </c>
    </row>
    <row r="12" spans="2:27" x14ac:dyDescent="0.2">
      <c r="B12" t="s">
        <v>827</v>
      </c>
      <c r="C12" t="s">
        <v>828</v>
      </c>
      <c r="E12" t="s">
        <v>827</v>
      </c>
      <c r="F12" t="s">
        <v>828</v>
      </c>
      <c r="H12" t="s">
        <v>829</v>
      </c>
      <c r="I12" t="s">
        <v>830</v>
      </c>
      <c r="K12" t="s">
        <v>829</v>
      </c>
      <c r="L12" t="s">
        <v>830</v>
      </c>
      <c r="N12" t="s">
        <v>11636</v>
      </c>
      <c r="O12" t="s">
        <v>11638</v>
      </c>
      <c r="Q12" t="s">
        <v>11634</v>
      </c>
      <c r="R12" t="s">
        <v>11637</v>
      </c>
      <c r="T12" t="s">
        <v>831</v>
      </c>
      <c r="U12" t="s">
        <v>832</v>
      </c>
      <c r="W12" t="s">
        <v>827</v>
      </c>
      <c r="X12" t="s">
        <v>833</v>
      </c>
      <c r="Z12" t="s">
        <v>800</v>
      </c>
      <c r="AA12" t="s">
        <v>820</v>
      </c>
    </row>
    <row r="13" spans="2:27" x14ac:dyDescent="0.2">
      <c r="B13" t="s">
        <v>834</v>
      </c>
      <c r="C13" t="s">
        <v>835</v>
      </c>
      <c r="E13" t="s">
        <v>684</v>
      </c>
      <c r="F13" t="s">
        <v>836</v>
      </c>
      <c r="H13" t="s">
        <v>837</v>
      </c>
      <c r="I13" t="s">
        <v>787</v>
      </c>
      <c r="K13" t="s">
        <v>837</v>
      </c>
      <c r="L13" t="s">
        <v>787</v>
      </c>
      <c r="N13" t="s">
        <v>11635</v>
      </c>
      <c r="O13" t="s">
        <v>11639</v>
      </c>
      <c r="Q13" t="s">
        <v>11636</v>
      </c>
      <c r="R13" t="s">
        <v>11638</v>
      </c>
      <c r="T13" t="s">
        <v>838</v>
      </c>
      <c r="U13" t="s">
        <v>839</v>
      </c>
      <c r="W13" t="s">
        <v>684</v>
      </c>
      <c r="X13" t="s">
        <v>836</v>
      </c>
      <c r="Z13" t="s">
        <v>838</v>
      </c>
      <c r="AA13" t="s">
        <v>840</v>
      </c>
    </row>
    <row r="14" spans="2:27" x14ac:dyDescent="0.2">
      <c r="B14" t="s">
        <v>841</v>
      </c>
      <c r="C14" t="s">
        <v>842</v>
      </c>
      <c r="E14" t="s">
        <v>843</v>
      </c>
      <c r="F14" t="s">
        <v>844</v>
      </c>
      <c r="H14" t="s">
        <v>800</v>
      </c>
      <c r="I14" t="s">
        <v>845</v>
      </c>
      <c r="K14" t="s">
        <v>800</v>
      </c>
      <c r="L14" t="s">
        <v>845</v>
      </c>
      <c r="N14" t="s">
        <v>777</v>
      </c>
      <c r="O14" t="s">
        <v>256</v>
      </c>
      <c r="Q14" t="s">
        <v>11635</v>
      </c>
      <c r="R14" t="s">
        <v>11639</v>
      </c>
      <c r="T14" t="s">
        <v>846</v>
      </c>
      <c r="U14" t="s">
        <v>847</v>
      </c>
      <c r="W14" t="s">
        <v>404</v>
      </c>
      <c r="X14" t="s">
        <v>848</v>
      </c>
      <c r="Z14" t="s">
        <v>834</v>
      </c>
      <c r="AA14" t="s">
        <v>849</v>
      </c>
    </row>
    <row r="15" spans="2:27" x14ac:dyDescent="0.2">
      <c r="B15" t="s">
        <v>850</v>
      </c>
      <c r="C15" t="s">
        <v>851</v>
      </c>
      <c r="E15" t="s">
        <v>343</v>
      </c>
      <c r="F15" t="s">
        <v>852</v>
      </c>
      <c r="H15" t="s">
        <v>11634</v>
      </c>
      <c r="I15" t="s">
        <v>11637</v>
      </c>
      <c r="K15" t="s">
        <v>11634</v>
      </c>
      <c r="L15" t="s">
        <v>11637</v>
      </c>
      <c r="Q15" t="s">
        <v>778</v>
      </c>
      <c r="R15" t="s">
        <v>256</v>
      </c>
      <c r="T15" t="s">
        <v>834</v>
      </c>
      <c r="U15" t="s">
        <v>849</v>
      </c>
      <c r="W15" t="s">
        <v>361</v>
      </c>
      <c r="X15" t="s">
        <v>853</v>
      </c>
      <c r="Z15" t="s">
        <v>841</v>
      </c>
      <c r="AA15" t="s">
        <v>842</v>
      </c>
    </row>
    <row r="16" spans="2:27" x14ac:dyDescent="0.2">
      <c r="B16" t="s">
        <v>287</v>
      </c>
      <c r="C16" t="s">
        <v>854</v>
      </c>
      <c r="E16" t="s">
        <v>855</v>
      </c>
      <c r="F16" t="s">
        <v>856</v>
      </c>
      <c r="H16" t="s">
        <v>11636</v>
      </c>
      <c r="I16" t="s">
        <v>11638</v>
      </c>
      <c r="K16" t="s">
        <v>11636</v>
      </c>
      <c r="L16" t="s">
        <v>11638</v>
      </c>
      <c r="T16" t="s">
        <v>841</v>
      </c>
      <c r="U16" t="s">
        <v>857</v>
      </c>
      <c r="W16" t="s">
        <v>409</v>
      </c>
      <c r="X16" t="s">
        <v>410</v>
      </c>
      <c r="Z16" t="s">
        <v>850</v>
      </c>
      <c r="AA16" t="s">
        <v>858</v>
      </c>
    </row>
    <row r="17" spans="2:27" x14ac:dyDescent="0.2">
      <c r="B17" t="s">
        <v>859</v>
      </c>
      <c r="C17" t="s">
        <v>860</v>
      </c>
      <c r="E17" t="s">
        <v>11634</v>
      </c>
      <c r="F17" t="s">
        <v>11637</v>
      </c>
      <c r="H17" t="s">
        <v>11635</v>
      </c>
      <c r="I17" t="s">
        <v>11639</v>
      </c>
      <c r="K17" t="s">
        <v>11635</v>
      </c>
      <c r="L17" t="s">
        <v>11639</v>
      </c>
      <c r="T17" t="s">
        <v>850</v>
      </c>
      <c r="U17" t="s">
        <v>858</v>
      </c>
      <c r="W17" t="s">
        <v>861</v>
      </c>
      <c r="X17" t="s">
        <v>862</v>
      </c>
      <c r="Z17" t="s">
        <v>863</v>
      </c>
      <c r="AA17" t="s">
        <v>864</v>
      </c>
    </row>
    <row r="18" spans="2:27" x14ac:dyDescent="0.2">
      <c r="B18" t="s">
        <v>865</v>
      </c>
      <c r="C18" t="s">
        <v>866</v>
      </c>
      <c r="E18" t="s">
        <v>11636</v>
      </c>
      <c r="F18" t="s">
        <v>11638</v>
      </c>
      <c r="H18" t="s">
        <v>775</v>
      </c>
      <c r="I18" t="s">
        <v>256</v>
      </c>
      <c r="K18" t="s">
        <v>776</v>
      </c>
      <c r="L18" t="s">
        <v>256</v>
      </c>
      <c r="T18" t="s">
        <v>287</v>
      </c>
      <c r="U18" t="s">
        <v>867</v>
      </c>
      <c r="W18" t="s">
        <v>843</v>
      </c>
      <c r="X18" t="s">
        <v>844</v>
      </c>
      <c r="Z18" t="s">
        <v>11634</v>
      </c>
      <c r="AA18" t="s">
        <v>11637</v>
      </c>
    </row>
    <row r="19" spans="2:27" x14ac:dyDescent="0.2">
      <c r="B19" t="s">
        <v>11634</v>
      </c>
      <c r="C19" t="s">
        <v>11637</v>
      </c>
      <c r="E19" t="s">
        <v>11635</v>
      </c>
      <c r="F19" t="s">
        <v>11639</v>
      </c>
      <c r="T19" t="s">
        <v>11634</v>
      </c>
      <c r="U19" t="s">
        <v>11637</v>
      </c>
      <c r="W19" t="s">
        <v>343</v>
      </c>
      <c r="X19" t="s">
        <v>852</v>
      </c>
      <c r="Z19" t="s">
        <v>11636</v>
      </c>
      <c r="AA19" t="s">
        <v>11638</v>
      </c>
    </row>
    <row r="20" spans="2:27" x14ac:dyDescent="0.2">
      <c r="B20" t="s">
        <v>11636</v>
      </c>
      <c r="C20" t="s">
        <v>11638</v>
      </c>
      <c r="E20" t="s">
        <v>774</v>
      </c>
      <c r="F20" t="s">
        <v>256</v>
      </c>
      <c r="T20" t="s">
        <v>11636</v>
      </c>
      <c r="U20" t="s">
        <v>11638</v>
      </c>
      <c r="W20" t="s">
        <v>855</v>
      </c>
      <c r="X20" t="s">
        <v>868</v>
      </c>
      <c r="Z20" t="s">
        <v>11635</v>
      </c>
      <c r="AA20" t="s">
        <v>11639</v>
      </c>
    </row>
    <row r="21" spans="2:27" x14ac:dyDescent="0.2">
      <c r="B21" t="s">
        <v>11635</v>
      </c>
      <c r="C21" t="s">
        <v>11639</v>
      </c>
      <c r="T21" t="s">
        <v>11635</v>
      </c>
      <c r="U21" t="s">
        <v>11639</v>
      </c>
      <c r="W21" t="s">
        <v>292</v>
      </c>
      <c r="X21" t="s">
        <v>869</v>
      </c>
      <c r="Z21" t="s">
        <v>781</v>
      </c>
      <c r="AA21" t="s">
        <v>256</v>
      </c>
    </row>
    <row r="22" spans="2:27" x14ac:dyDescent="0.2">
      <c r="B22" t="s">
        <v>773</v>
      </c>
      <c r="C22" t="s">
        <v>256</v>
      </c>
      <c r="T22" t="s">
        <v>779</v>
      </c>
      <c r="U22" t="s">
        <v>256</v>
      </c>
      <c r="W22" t="s">
        <v>11634</v>
      </c>
      <c r="X22" t="s">
        <v>11637</v>
      </c>
    </row>
    <row r="23" spans="2:27" x14ac:dyDescent="0.2">
      <c r="W23" t="s">
        <v>11636</v>
      </c>
      <c r="X23" t="s">
        <v>11638</v>
      </c>
    </row>
    <row r="24" spans="2:27" x14ac:dyDescent="0.2">
      <c r="W24" t="s">
        <v>11635</v>
      </c>
      <c r="X24" t="s">
        <v>11639</v>
      </c>
    </row>
    <row r="25" spans="2:27" x14ac:dyDescent="0.2">
      <c r="W25" t="s">
        <v>780</v>
      </c>
      <c r="X25" t="s">
        <v>256</v>
      </c>
    </row>
    <row r="33" spans="2:27" x14ac:dyDescent="0.2">
      <c r="B33" t="s">
        <v>2176</v>
      </c>
      <c r="C33" t="s">
        <v>870</v>
      </c>
      <c r="E33" t="s">
        <v>2177</v>
      </c>
      <c r="F33" t="s">
        <v>871</v>
      </c>
      <c r="H33" t="s">
        <v>2178</v>
      </c>
      <c r="I33" t="s">
        <v>872</v>
      </c>
      <c r="K33" t="s">
        <v>2179</v>
      </c>
      <c r="L33" t="s">
        <v>873</v>
      </c>
      <c r="N33" t="s">
        <v>2180</v>
      </c>
      <c r="O33" t="s">
        <v>874</v>
      </c>
      <c r="Q33" t="s">
        <v>2182</v>
      </c>
      <c r="R33" t="s">
        <v>875</v>
      </c>
      <c r="T33" t="s">
        <v>2187</v>
      </c>
      <c r="U33" t="s">
        <v>876</v>
      </c>
      <c r="W33" t="s">
        <v>2186</v>
      </c>
      <c r="X33" t="s">
        <v>877</v>
      </c>
      <c r="Z33" t="s">
        <v>2185</v>
      </c>
      <c r="AA33" t="s">
        <v>878</v>
      </c>
    </row>
    <row r="34" spans="2:27" x14ac:dyDescent="0.2">
      <c r="B34" t="s">
        <v>390</v>
      </c>
      <c r="C34" t="s">
        <v>782</v>
      </c>
      <c r="E34" t="s">
        <v>361</v>
      </c>
      <c r="F34" t="s">
        <v>879</v>
      </c>
      <c r="H34" t="s">
        <v>423</v>
      </c>
      <c r="I34" t="s">
        <v>784</v>
      </c>
      <c r="K34" t="s">
        <v>390</v>
      </c>
      <c r="L34" t="s">
        <v>782</v>
      </c>
      <c r="N34" t="s">
        <v>390</v>
      </c>
      <c r="O34" t="s">
        <v>782</v>
      </c>
      <c r="Q34" t="s">
        <v>390</v>
      </c>
      <c r="R34" t="s">
        <v>880</v>
      </c>
      <c r="T34" t="s">
        <v>162</v>
      </c>
      <c r="U34" t="s">
        <v>881</v>
      </c>
      <c r="W34" t="s">
        <v>390</v>
      </c>
      <c r="X34" t="s">
        <v>882</v>
      </c>
      <c r="Z34" t="s">
        <v>883</v>
      </c>
      <c r="AA34" t="s">
        <v>884</v>
      </c>
    </row>
    <row r="35" spans="2:27" x14ac:dyDescent="0.2">
      <c r="B35" t="s">
        <v>786</v>
      </c>
      <c r="C35" t="s">
        <v>787</v>
      </c>
      <c r="E35" t="s">
        <v>885</v>
      </c>
      <c r="F35" t="s">
        <v>886</v>
      </c>
      <c r="H35" t="s">
        <v>789</v>
      </c>
      <c r="I35" t="s">
        <v>790</v>
      </c>
      <c r="K35" t="s">
        <v>786</v>
      </c>
      <c r="L35" t="s">
        <v>787</v>
      </c>
      <c r="N35" t="s">
        <v>786</v>
      </c>
      <c r="O35" t="s">
        <v>787</v>
      </c>
      <c r="Q35" t="s">
        <v>786</v>
      </c>
      <c r="R35" t="s">
        <v>787</v>
      </c>
      <c r="T35" t="s">
        <v>401</v>
      </c>
      <c r="U35" t="s">
        <v>887</v>
      </c>
      <c r="W35" t="s">
        <v>888</v>
      </c>
      <c r="X35" t="s">
        <v>830</v>
      </c>
      <c r="Z35" t="s">
        <v>889</v>
      </c>
      <c r="AA35" t="s">
        <v>783</v>
      </c>
    </row>
    <row r="36" spans="2:27" x14ac:dyDescent="0.2">
      <c r="B36" t="s">
        <v>794</v>
      </c>
      <c r="C36" t="s">
        <v>795</v>
      </c>
      <c r="E36" t="s">
        <v>890</v>
      </c>
      <c r="F36" t="s">
        <v>891</v>
      </c>
      <c r="H36" t="s">
        <v>162</v>
      </c>
      <c r="I36" t="s">
        <v>892</v>
      </c>
      <c r="K36" t="s">
        <v>794</v>
      </c>
      <c r="L36" t="s">
        <v>893</v>
      </c>
      <c r="N36" t="s">
        <v>794</v>
      </c>
      <c r="O36" t="s">
        <v>799</v>
      </c>
      <c r="Q36" t="s">
        <v>794</v>
      </c>
      <c r="R36" t="s">
        <v>893</v>
      </c>
      <c r="T36" t="s">
        <v>894</v>
      </c>
      <c r="U36" t="s">
        <v>895</v>
      </c>
      <c r="W36" t="s">
        <v>786</v>
      </c>
      <c r="X36" t="s">
        <v>787</v>
      </c>
      <c r="Z36" t="s">
        <v>786</v>
      </c>
      <c r="AA36" t="s">
        <v>787</v>
      </c>
    </row>
    <row r="37" spans="2:27" x14ac:dyDescent="0.2">
      <c r="B37" t="s">
        <v>803</v>
      </c>
      <c r="C37" t="s">
        <v>804</v>
      </c>
      <c r="E37" t="s">
        <v>896</v>
      </c>
      <c r="F37" t="s">
        <v>897</v>
      </c>
      <c r="H37" t="s">
        <v>794</v>
      </c>
      <c r="I37" t="s">
        <v>898</v>
      </c>
      <c r="K37" t="s">
        <v>365</v>
      </c>
      <c r="L37" t="s">
        <v>817</v>
      </c>
      <c r="N37" t="s">
        <v>365</v>
      </c>
      <c r="O37" t="s">
        <v>817</v>
      </c>
      <c r="Q37" t="s">
        <v>365</v>
      </c>
      <c r="R37" t="s">
        <v>899</v>
      </c>
      <c r="T37" t="s">
        <v>809</v>
      </c>
      <c r="U37" t="s">
        <v>900</v>
      </c>
      <c r="W37" t="s">
        <v>901</v>
      </c>
      <c r="X37" t="s">
        <v>845</v>
      </c>
      <c r="Z37" t="s">
        <v>809</v>
      </c>
      <c r="AA37" t="s">
        <v>902</v>
      </c>
    </row>
    <row r="38" spans="2:27" x14ac:dyDescent="0.2">
      <c r="B38" t="s">
        <v>811</v>
      </c>
      <c r="C38" t="s">
        <v>812</v>
      </c>
      <c r="E38" t="s">
        <v>903</v>
      </c>
      <c r="F38" t="s">
        <v>904</v>
      </c>
      <c r="H38" t="s">
        <v>806</v>
      </c>
      <c r="I38" t="s">
        <v>807</v>
      </c>
      <c r="K38" t="s">
        <v>819</v>
      </c>
      <c r="L38" t="s">
        <v>689</v>
      </c>
      <c r="N38" t="s">
        <v>819</v>
      </c>
      <c r="O38" t="s">
        <v>689</v>
      </c>
      <c r="Q38" t="s">
        <v>819</v>
      </c>
      <c r="R38" t="s">
        <v>689</v>
      </c>
      <c r="T38" t="s">
        <v>694</v>
      </c>
      <c r="U38" t="s">
        <v>905</v>
      </c>
      <c r="W38" t="s">
        <v>906</v>
      </c>
      <c r="X38" t="s">
        <v>907</v>
      </c>
      <c r="Z38" t="s">
        <v>484</v>
      </c>
      <c r="AA38" t="s">
        <v>908</v>
      </c>
    </row>
    <row r="39" spans="2:27" x14ac:dyDescent="0.2">
      <c r="B39" t="s">
        <v>365</v>
      </c>
      <c r="C39" t="s">
        <v>817</v>
      </c>
      <c r="E39" t="s">
        <v>909</v>
      </c>
      <c r="F39" t="s">
        <v>910</v>
      </c>
      <c r="H39" t="s">
        <v>813</v>
      </c>
      <c r="I39" t="s">
        <v>814</v>
      </c>
      <c r="K39" t="s">
        <v>911</v>
      </c>
      <c r="L39" t="s">
        <v>835</v>
      </c>
      <c r="N39" t="s">
        <v>484</v>
      </c>
      <c r="O39" t="s">
        <v>836</v>
      </c>
      <c r="Q39" t="s">
        <v>694</v>
      </c>
      <c r="R39" t="s">
        <v>912</v>
      </c>
      <c r="T39" t="s">
        <v>803</v>
      </c>
      <c r="U39" t="s">
        <v>804</v>
      </c>
      <c r="W39" t="s">
        <v>794</v>
      </c>
      <c r="X39" t="s">
        <v>913</v>
      </c>
      <c r="Z39" t="s">
        <v>825</v>
      </c>
      <c r="AA39" t="s">
        <v>914</v>
      </c>
    </row>
    <row r="40" spans="2:27" x14ac:dyDescent="0.2">
      <c r="B40" t="s">
        <v>819</v>
      </c>
      <c r="C40" t="s">
        <v>689</v>
      </c>
      <c r="E40" t="s">
        <v>386</v>
      </c>
      <c r="F40" t="s">
        <v>915</v>
      </c>
      <c r="H40" t="s">
        <v>694</v>
      </c>
      <c r="I40" t="s">
        <v>818</v>
      </c>
      <c r="K40" t="s">
        <v>916</v>
      </c>
      <c r="L40" t="s">
        <v>832</v>
      </c>
      <c r="N40" t="s">
        <v>823</v>
      </c>
      <c r="O40" t="s">
        <v>824</v>
      </c>
      <c r="Q40" t="s">
        <v>827</v>
      </c>
      <c r="R40" t="s">
        <v>917</v>
      </c>
      <c r="T40" t="s">
        <v>811</v>
      </c>
      <c r="U40" t="s">
        <v>812</v>
      </c>
      <c r="W40" t="s">
        <v>803</v>
      </c>
      <c r="X40" t="s">
        <v>804</v>
      </c>
      <c r="Z40" t="s">
        <v>819</v>
      </c>
      <c r="AA40" t="s">
        <v>689</v>
      </c>
    </row>
    <row r="41" spans="2:27" x14ac:dyDescent="0.2">
      <c r="B41" t="s">
        <v>823</v>
      </c>
      <c r="C41" t="s">
        <v>824</v>
      </c>
      <c r="E41" t="s">
        <v>515</v>
      </c>
      <c r="F41" t="s">
        <v>696</v>
      </c>
      <c r="H41" t="s">
        <v>803</v>
      </c>
      <c r="I41" t="s">
        <v>804</v>
      </c>
      <c r="K41" t="s">
        <v>841</v>
      </c>
      <c r="L41" t="s">
        <v>842</v>
      </c>
      <c r="N41" t="s">
        <v>827</v>
      </c>
      <c r="O41" t="s">
        <v>828</v>
      </c>
      <c r="Q41" t="s">
        <v>803</v>
      </c>
      <c r="R41" t="s">
        <v>804</v>
      </c>
      <c r="T41" t="s">
        <v>806</v>
      </c>
      <c r="U41" t="s">
        <v>807</v>
      </c>
      <c r="W41" t="s">
        <v>811</v>
      </c>
      <c r="X41" t="s">
        <v>812</v>
      </c>
      <c r="Z41" t="s">
        <v>823</v>
      </c>
      <c r="AA41" t="s">
        <v>824</v>
      </c>
    </row>
    <row r="42" spans="2:27" x14ac:dyDescent="0.2">
      <c r="B42" t="s">
        <v>827</v>
      </c>
      <c r="C42" t="s">
        <v>828</v>
      </c>
      <c r="E42" t="s">
        <v>918</v>
      </c>
      <c r="F42" t="s">
        <v>919</v>
      </c>
      <c r="H42" t="s">
        <v>811</v>
      </c>
      <c r="I42" t="s">
        <v>812</v>
      </c>
      <c r="K42" t="s">
        <v>850</v>
      </c>
      <c r="L42" t="s">
        <v>858</v>
      </c>
      <c r="N42" t="s">
        <v>920</v>
      </c>
      <c r="O42" t="s">
        <v>847</v>
      </c>
      <c r="Q42" t="s">
        <v>811</v>
      </c>
      <c r="R42" t="s">
        <v>812</v>
      </c>
      <c r="T42" t="s">
        <v>813</v>
      </c>
      <c r="U42" t="s">
        <v>814</v>
      </c>
      <c r="W42" t="s">
        <v>806</v>
      </c>
      <c r="X42" t="s">
        <v>807</v>
      </c>
      <c r="Z42" t="s">
        <v>827</v>
      </c>
      <c r="AA42" t="s">
        <v>833</v>
      </c>
    </row>
    <row r="43" spans="2:27" x14ac:dyDescent="0.2">
      <c r="B43" t="s">
        <v>800</v>
      </c>
      <c r="C43" t="s">
        <v>820</v>
      </c>
      <c r="E43" t="s">
        <v>921</v>
      </c>
      <c r="F43" t="s">
        <v>922</v>
      </c>
      <c r="H43" t="s">
        <v>829</v>
      </c>
      <c r="I43" t="s">
        <v>830</v>
      </c>
      <c r="K43" t="s">
        <v>287</v>
      </c>
      <c r="L43" t="s">
        <v>867</v>
      </c>
      <c r="N43" t="s">
        <v>831</v>
      </c>
      <c r="O43" t="s">
        <v>832</v>
      </c>
      <c r="Q43" t="s">
        <v>800</v>
      </c>
      <c r="R43" t="s">
        <v>923</v>
      </c>
      <c r="T43" t="s">
        <v>11634</v>
      </c>
      <c r="U43" t="s">
        <v>11637</v>
      </c>
      <c r="W43" t="s">
        <v>813</v>
      </c>
      <c r="X43" t="s">
        <v>814</v>
      </c>
      <c r="Z43" t="s">
        <v>694</v>
      </c>
      <c r="AA43" t="s">
        <v>924</v>
      </c>
    </row>
    <row r="44" spans="2:27" x14ac:dyDescent="0.2">
      <c r="B44" t="s">
        <v>834</v>
      </c>
      <c r="C44" t="s">
        <v>849</v>
      </c>
      <c r="E44" t="s">
        <v>925</v>
      </c>
      <c r="F44" t="s">
        <v>926</v>
      </c>
      <c r="H44" t="s">
        <v>837</v>
      </c>
      <c r="I44" t="s">
        <v>787</v>
      </c>
      <c r="K44" t="s">
        <v>803</v>
      </c>
      <c r="L44" t="s">
        <v>804</v>
      </c>
      <c r="N44" t="s">
        <v>838</v>
      </c>
      <c r="O44" t="s">
        <v>839</v>
      </c>
      <c r="Q44" t="s">
        <v>927</v>
      </c>
      <c r="R44" t="s">
        <v>928</v>
      </c>
      <c r="T44" t="s">
        <v>11636</v>
      </c>
      <c r="U44" t="s">
        <v>11638</v>
      </c>
      <c r="W44" t="s">
        <v>11634</v>
      </c>
      <c r="X44" t="s">
        <v>11637</v>
      </c>
      <c r="Z44" t="s">
        <v>929</v>
      </c>
      <c r="AA44" t="s">
        <v>930</v>
      </c>
    </row>
    <row r="45" spans="2:27" x14ac:dyDescent="0.2">
      <c r="B45" t="s">
        <v>841</v>
      </c>
      <c r="C45" t="s">
        <v>857</v>
      </c>
      <c r="E45" t="s">
        <v>794</v>
      </c>
      <c r="F45" t="s">
        <v>931</v>
      </c>
      <c r="H45" t="s">
        <v>906</v>
      </c>
      <c r="I45" t="s">
        <v>907</v>
      </c>
      <c r="K45" t="s">
        <v>811</v>
      </c>
      <c r="L45" t="s">
        <v>812</v>
      </c>
      <c r="N45" t="s">
        <v>841</v>
      </c>
      <c r="O45" t="s">
        <v>857</v>
      </c>
      <c r="Q45" t="s">
        <v>920</v>
      </c>
      <c r="R45" t="s">
        <v>932</v>
      </c>
      <c r="T45" t="s">
        <v>11635</v>
      </c>
      <c r="U45" t="s">
        <v>11639</v>
      </c>
      <c r="W45" t="s">
        <v>11636</v>
      </c>
      <c r="X45" t="s">
        <v>11638</v>
      </c>
      <c r="Z45" t="s">
        <v>794</v>
      </c>
      <c r="AA45" t="s">
        <v>933</v>
      </c>
    </row>
    <row r="46" spans="2:27" x14ac:dyDescent="0.2">
      <c r="B46" t="s">
        <v>850</v>
      </c>
      <c r="C46" t="s">
        <v>858</v>
      </c>
      <c r="E46" t="s">
        <v>803</v>
      </c>
      <c r="F46" t="s">
        <v>804</v>
      </c>
      <c r="H46" t="s">
        <v>800</v>
      </c>
      <c r="I46" t="s">
        <v>934</v>
      </c>
      <c r="K46" t="s">
        <v>11634</v>
      </c>
      <c r="L46" t="s">
        <v>11637</v>
      </c>
      <c r="N46" t="s">
        <v>850</v>
      </c>
      <c r="O46" t="s">
        <v>858</v>
      </c>
      <c r="Q46" t="s">
        <v>684</v>
      </c>
      <c r="R46" t="s">
        <v>836</v>
      </c>
      <c r="T46" t="s">
        <v>876</v>
      </c>
      <c r="U46" t="s">
        <v>256</v>
      </c>
      <c r="W46" t="s">
        <v>11635</v>
      </c>
      <c r="X46" t="s">
        <v>11639</v>
      </c>
      <c r="Z46" t="s">
        <v>925</v>
      </c>
      <c r="AA46" t="s">
        <v>926</v>
      </c>
    </row>
    <row r="47" spans="2:27" x14ac:dyDescent="0.2">
      <c r="B47" t="s">
        <v>287</v>
      </c>
      <c r="C47" t="s">
        <v>864</v>
      </c>
      <c r="E47" t="s">
        <v>811</v>
      </c>
      <c r="F47" t="s">
        <v>812</v>
      </c>
      <c r="H47" t="s">
        <v>11634</v>
      </c>
      <c r="I47" t="s">
        <v>11637</v>
      </c>
      <c r="K47" t="s">
        <v>11636</v>
      </c>
      <c r="L47" t="s">
        <v>11638</v>
      </c>
      <c r="N47" t="s">
        <v>287</v>
      </c>
      <c r="O47" t="s">
        <v>867</v>
      </c>
      <c r="Q47" t="s">
        <v>843</v>
      </c>
      <c r="R47" t="s">
        <v>844</v>
      </c>
      <c r="W47" t="s">
        <v>877</v>
      </c>
      <c r="X47" t="s">
        <v>256</v>
      </c>
      <c r="Z47" t="s">
        <v>803</v>
      </c>
      <c r="AA47" t="s">
        <v>804</v>
      </c>
    </row>
    <row r="48" spans="2:27" x14ac:dyDescent="0.2">
      <c r="B48" t="s">
        <v>11634</v>
      </c>
      <c r="C48" t="s">
        <v>11637</v>
      </c>
      <c r="E48" t="s">
        <v>11634</v>
      </c>
      <c r="F48" t="s">
        <v>11637</v>
      </c>
      <c r="H48" t="s">
        <v>11636</v>
      </c>
      <c r="I48" t="s">
        <v>11638</v>
      </c>
      <c r="K48" t="s">
        <v>11635</v>
      </c>
      <c r="L48" t="s">
        <v>11639</v>
      </c>
      <c r="N48" t="s">
        <v>803</v>
      </c>
      <c r="O48" t="s">
        <v>804</v>
      </c>
      <c r="Q48" t="s">
        <v>343</v>
      </c>
      <c r="R48" t="s">
        <v>852</v>
      </c>
      <c r="Z48" t="s">
        <v>811</v>
      </c>
      <c r="AA48" t="s">
        <v>812</v>
      </c>
    </row>
    <row r="49" spans="2:28" x14ac:dyDescent="0.2">
      <c r="B49" t="s">
        <v>11636</v>
      </c>
      <c r="C49" t="s">
        <v>11638</v>
      </c>
      <c r="E49" t="s">
        <v>11636</v>
      </c>
      <c r="F49" t="s">
        <v>11638</v>
      </c>
      <c r="H49" t="s">
        <v>11635</v>
      </c>
      <c r="I49" t="s">
        <v>11639</v>
      </c>
      <c r="K49" t="s">
        <v>873</v>
      </c>
      <c r="L49" t="s">
        <v>256</v>
      </c>
      <c r="N49" t="s">
        <v>811</v>
      </c>
      <c r="O49" t="s">
        <v>812</v>
      </c>
      <c r="Q49" t="s">
        <v>855</v>
      </c>
      <c r="R49" t="s">
        <v>868</v>
      </c>
      <c r="Z49" t="s">
        <v>11634</v>
      </c>
      <c r="AA49" t="s">
        <v>11637</v>
      </c>
    </row>
    <row r="50" spans="2:28" x14ac:dyDescent="0.2">
      <c r="B50" t="s">
        <v>11635</v>
      </c>
      <c r="C50" t="s">
        <v>11639</v>
      </c>
      <c r="E50" t="s">
        <v>11635</v>
      </c>
      <c r="F50" t="s">
        <v>11639</v>
      </c>
      <c r="H50" t="s">
        <v>872</v>
      </c>
      <c r="I50" t="s">
        <v>256</v>
      </c>
      <c r="N50" t="s">
        <v>11634</v>
      </c>
      <c r="O50" t="s">
        <v>11637</v>
      </c>
      <c r="Q50" t="s">
        <v>287</v>
      </c>
      <c r="R50" t="s">
        <v>869</v>
      </c>
      <c r="Z50" t="s">
        <v>11636</v>
      </c>
      <c r="AA50" t="s">
        <v>11638</v>
      </c>
    </row>
    <row r="51" spans="2:28" x14ac:dyDescent="0.2">
      <c r="B51" t="s">
        <v>870</v>
      </c>
      <c r="C51" t="s">
        <v>256</v>
      </c>
      <c r="E51" t="s">
        <v>871</v>
      </c>
      <c r="F51" t="s">
        <v>256</v>
      </c>
      <c r="N51" t="s">
        <v>11636</v>
      </c>
      <c r="O51" t="s">
        <v>11638</v>
      </c>
      <c r="Q51" t="s">
        <v>935</v>
      </c>
      <c r="R51" t="s">
        <v>936</v>
      </c>
      <c r="Z51" t="s">
        <v>11635</v>
      </c>
      <c r="AA51" t="s">
        <v>11639</v>
      </c>
    </row>
    <row r="52" spans="2:28" x14ac:dyDescent="0.2">
      <c r="N52" t="s">
        <v>11635</v>
      </c>
      <c r="O52" t="s">
        <v>11639</v>
      </c>
      <c r="Q52" t="s">
        <v>11634</v>
      </c>
      <c r="R52" t="s">
        <v>11637</v>
      </c>
      <c r="Z52" t="s">
        <v>878</v>
      </c>
      <c r="AA52" t="s">
        <v>256</v>
      </c>
    </row>
    <row r="53" spans="2:28" x14ac:dyDescent="0.2">
      <c r="N53" t="s">
        <v>874</v>
      </c>
      <c r="O53" t="s">
        <v>256</v>
      </c>
      <c r="Q53" t="s">
        <v>11636</v>
      </c>
      <c r="R53" t="s">
        <v>11638</v>
      </c>
    </row>
    <row r="54" spans="2:28" x14ac:dyDescent="0.2">
      <c r="Q54" t="s">
        <v>11635</v>
      </c>
      <c r="R54" t="s">
        <v>11639</v>
      </c>
    </row>
    <row r="55" spans="2:28" x14ac:dyDescent="0.2">
      <c r="Q55" t="s">
        <v>875</v>
      </c>
      <c r="R55" t="s">
        <v>256</v>
      </c>
    </row>
    <row r="61" spans="2:28" x14ac:dyDescent="0.2">
      <c r="B61" t="s">
        <v>2188</v>
      </c>
      <c r="C61" t="s">
        <v>937</v>
      </c>
      <c r="E61" t="s">
        <v>2189</v>
      </c>
      <c r="F61" t="s">
        <v>938</v>
      </c>
      <c r="H61" t="s">
        <v>2190</v>
      </c>
      <c r="I61" t="s">
        <v>939</v>
      </c>
      <c r="K61" t="s">
        <v>2191</v>
      </c>
      <c r="L61" t="s">
        <v>940</v>
      </c>
      <c r="N61" t="s">
        <v>2192</v>
      </c>
      <c r="O61" t="s">
        <v>941</v>
      </c>
      <c r="Q61" t="s">
        <v>2193</v>
      </c>
      <c r="R61" t="s">
        <v>942</v>
      </c>
      <c r="T61" t="s">
        <v>11630</v>
      </c>
      <c r="U61" t="s">
        <v>11631</v>
      </c>
      <c r="W61" t="s">
        <v>11733</v>
      </c>
      <c r="X61" t="s">
        <v>11734</v>
      </c>
      <c r="Z61" t="s">
        <v>11758</v>
      </c>
      <c r="AA61" t="s">
        <v>11759</v>
      </c>
      <c r="AB61" t="s">
        <v>11760</v>
      </c>
    </row>
    <row r="62" spans="2:28" x14ac:dyDescent="0.2">
      <c r="B62" t="s">
        <v>390</v>
      </c>
      <c r="C62" t="s">
        <v>943</v>
      </c>
      <c r="E62" t="s">
        <v>390</v>
      </c>
      <c r="F62" t="s">
        <v>944</v>
      </c>
      <c r="H62" t="s">
        <v>390</v>
      </c>
      <c r="I62" t="s">
        <v>945</v>
      </c>
      <c r="K62" t="s">
        <v>423</v>
      </c>
      <c r="L62" t="s">
        <v>784</v>
      </c>
      <c r="N62" t="s">
        <v>423</v>
      </c>
      <c r="O62" t="s">
        <v>784</v>
      </c>
      <c r="Q62" t="s">
        <v>390</v>
      </c>
      <c r="R62" t="s">
        <v>783</v>
      </c>
      <c r="T62" t="s">
        <v>390</v>
      </c>
      <c r="U62" t="s">
        <v>945</v>
      </c>
      <c r="W62" t="s">
        <v>390</v>
      </c>
      <c r="X62" t="s">
        <v>11737</v>
      </c>
    </row>
    <row r="63" spans="2:28" x14ac:dyDescent="0.2">
      <c r="B63" t="s">
        <v>786</v>
      </c>
      <c r="C63" t="s">
        <v>787</v>
      </c>
      <c r="E63" t="s">
        <v>786</v>
      </c>
      <c r="F63" t="s">
        <v>787</v>
      </c>
      <c r="H63" t="s">
        <v>786</v>
      </c>
      <c r="I63" t="s">
        <v>787</v>
      </c>
      <c r="K63" t="s">
        <v>789</v>
      </c>
      <c r="L63" t="s">
        <v>790</v>
      </c>
      <c r="N63" t="s">
        <v>789</v>
      </c>
      <c r="O63" t="s">
        <v>790</v>
      </c>
      <c r="Q63" t="s">
        <v>786</v>
      </c>
      <c r="R63" t="s">
        <v>787</v>
      </c>
      <c r="T63" t="s">
        <v>786</v>
      </c>
      <c r="U63" t="s">
        <v>787</v>
      </c>
      <c r="W63" t="s">
        <v>896</v>
      </c>
      <c r="X63" t="s">
        <v>417</v>
      </c>
    </row>
    <row r="64" spans="2:28" x14ac:dyDescent="0.2">
      <c r="B64" t="s">
        <v>311</v>
      </c>
      <c r="C64" t="s">
        <v>949</v>
      </c>
      <c r="E64" t="s">
        <v>946</v>
      </c>
      <c r="F64" t="s">
        <v>907</v>
      </c>
      <c r="H64" t="s">
        <v>311</v>
      </c>
      <c r="I64" t="s">
        <v>947</v>
      </c>
      <c r="K64" t="s">
        <v>162</v>
      </c>
      <c r="L64" t="s">
        <v>797</v>
      </c>
      <c r="N64" t="s">
        <v>162</v>
      </c>
      <c r="O64" t="s">
        <v>797</v>
      </c>
      <c r="Q64" t="s">
        <v>809</v>
      </c>
      <c r="R64" t="s">
        <v>948</v>
      </c>
      <c r="T64" t="s">
        <v>809</v>
      </c>
      <c r="U64" t="s">
        <v>11215</v>
      </c>
      <c r="W64" t="s">
        <v>409</v>
      </c>
      <c r="X64" t="s">
        <v>410</v>
      </c>
    </row>
    <row r="65" spans="2:24" x14ac:dyDescent="0.2">
      <c r="B65" t="s">
        <v>946</v>
      </c>
      <c r="C65" t="s">
        <v>907</v>
      </c>
      <c r="E65" t="s">
        <v>484</v>
      </c>
      <c r="F65" t="s">
        <v>815</v>
      </c>
      <c r="H65" t="s">
        <v>806</v>
      </c>
      <c r="I65" t="s">
        <v>807</v>
      </c>
      <c r="K65" t="s">
        <v>829</v>
      </c>
      <c r="L65" t="s">
        <v>830</v>
      </c>
      <c r="N65" t="s">
        <v>829</v>
      </c>
      <c r="O65" t="s">
        <v>830</v>
      </c>
      <c r="Q65" t="s">
        <v>946</v>
      </c>
      <c r="R65" t="s">
        <v>950</v>
      </c>
      <c r="T65" t="s">
        <v>800</v>
      </c>
      <c r="U65" t="s">
        <v>947</v>
      </c>
      <c r="W65" t="s">
        <v>472</v>
      </c>
      <c r="X65" t="s">
        <v>473</v>
      </c>
    </row>
    <row r="66" spans="2:24" x14ac:dyDescent="0.2">
      <c r="B66" t="s">
        <v>484</v>
      </c>
      <c r="C66" t="s">
        <v>815</v>
      </c>
      <c r="E66" t="s">
        <v>806</v>
      </c>
      <c r="F66" t="s">
        <v>807</v>
      </c>
      <c r="H66" t="s">
        <v>813</v>
      </c>
      <c r="I66" t="s">
        <v>814</v>
      </c>
      <c r="K66" t="s">
        <v>837</v>
      </c>
      <c r="L66" t="s">
        <v>787</v>
      </c>
      <c r="N66" t="s">
        <v>837</v>
      </c>
      <c r="O66" t="s">
        <v>787</v>
      </c>
      <c r="Q66" t="s">
        <v>484</v>
      </c>
      <c r="R66" t="s">
        <v>836</v>
      </c>
      <c r="T66" t="s">
        <v>946</v>
      </c>
      <c r="U66" t="s">
        <v>907</v>
      </c>
      <c r="W66" t="s">
        <v>11738</v>
      </c>
      <c r="X66" t="s">
        <v>8537</v>
      </c>
    </row>
    <row r="67" spans="2:24" x14ac:dyDescent="0.2">
      <c r="B67" t="s">
        <v>806</v>
      </c>
      <c r="C67" t="s">
        <v>807</v>
      </c>
      <c r="E67" t="s">
        <v>813</v>
      </c>
      <c r="F67" t="s">
        <v>814</v>
      </c>
      <c r="H67" t="s">
        <v>803</v>
      </c>
      <c r="I67" t="s">
        <v>804</v>
      </c>
      <c r="K67" t="s">
        <v>311</v>
      </c>
      <c r="L67" t="s">
        <v>934</v>
      </c>
      <c r="N67" t="s">
        <v>311</v>
      </c>
      <c r="O67" t="s">
        <v>934</v>
      </c>
      <c r="Q67" t="s">
        <v>951</v>
      </c>
      <c r="R67" t="s">
        <v>899</v>
      </c>
      <c r="T67" t="s">
        <v>464</v>
      </c>
      <c r="U67" t="s">
        <v>3922</v>
      </c>
      <c r="W67" t="s">
        <v>11739</v>
      </c>
      <c r="X67" t="s">
        <v>6774</v>
      </c>
    </row>
    <row r="68" spans="2:24" x14ac:dyDescent="0.2">
      <c r="B68" t="s">
        <v>813</v>
      </c>
      <c r="C68" t="s">
        <v>814</v>
      </c>
      <c r="E68" t="s">
        <v>803</v>
      </c>
      <c r="F68" t="s">
        <v>804</v>
      </c>
      <c r="H68" t="s">
        <v>811</v>
      </c>
      <c r="I68" t="s">
        <v>812</v>
      </c>
      <c r="K68" t="s">
        <v>809</v>
      </c>
      <c r="L68" t="s">
        <v>952</v>
      </c>
      <c r="N68" t="s">
        <v>809</v>
      </c>
      <c r="O68" t="s">
        <v>952</v>
      </c>
      <c r="Q68" t="s">
        <v>825</v>
      </c>
      <c r="R68" t="s">
        <v>817</v>
      </c>
      <c r="T68" t="s">
        <v>11632</v>
      </c>
      <c r="U68" t="s">
        <v>11633</v>
      </c>
      <c r="W68" t="s">
        <v>11741</v>
      </c>
      <c r="X68" t="s">
        <v>4523</v>
      </c>
    </row>
    <row r="69" spans="2:24" x14ac:dyDescent="0.2">
      <c r="B69" t="s">
        <v>803</v>
      </c>
      <c r="C69" t="s">
        <v>804</v>
      </c>
      <c r="E69" t="s">
        <v>811</v>
      </c>
      <c r="F69" t="s">
        <v>812</v>
      </c>
      <c r="H69" t="s">
        <v>794</v>
      </c>
      <c r="I69" t="s">
        <v>953</v>
      </c>
      <c r="K69" t="s">
        <v>954</v>
      </c>
      <c r="L69" t="s">
        <v>907</v>
      </c>
      <c r="N69" t="s">
        <v>954</v>
      </c>
      <c r="O69" t="s">
        <v>907</v>
      </c>
      <c r="Q69" t="s">
        <v>819</v>
      </c>
      <c r="R69" t="s">
        <v>689</v>
      </c>
      <c r="T69" t="s">
        <v>806</v>
      </c>
      <c r="U69" t="s">
        <v>807</v>
      </c>
      <c r="W69" t="s">
        <v>11740</v>
      </c>
      <c r="X69" t="s">
        <v>10468</v>
      </c>
    </row>
    <row r="70" spans="2:24" x14ac:dyDescent="0.2">
      <c r="B70" t="s">
        <v>811</v>
      </c>
      <c r="C70" t="s">
        <v>812</v>
      </c>
      <c r="E70" t="s">
        <v>794</v>
      </c>
      <c r="F70" t="s">
        <v>955</v>
      </c>
      <c r="H70" t="s">
        <v>11634</v>
      </c>
      <c r="I70" t="s">
        <v>11637</v>
      </c>
      <c r="K70" t="s">
        <v>484</v>
      </c>
      <c r="L70" t="s">
        <v>815</v>
      </c>
      <c r="N70" t="s">
        <v>484</v>
      </c>
      <c r="O70" t="s">
        <v>815</v>
      </c>
      <c r="Q70" t="s">
        <v>694</v>
      </c>
      <c r="R70" t="s">
        <v>956</v>
      </c>
      <c r="T70" t="s">
        <v>813</v>
      </c>
      <c r="U70" t="s">
        <v>814</v>
      </c>
      <c r="W70" t="s">
        <v>11742</v>
      </c>
      <c r="X70" t="s">
        <v>8830</v>
      </c>
    </row>
    <row r="71" spans="2:24" x14ac:dyDescent="0.2">
      <c r="B71" t="s">
        <v>794</v>
      </c>
      <c r="C71" t="s">
        <v>953</v>
      </c>
      <c r="E71" t="s">
        <v>11634</v>
      </c>
      <c r="F71" t="s">
        <v>11637</v>
      </c>
      <c r="H71" t="s">
        <v>11636</v>
      </c>
      <c r="I71" t="s">
        <v>11638</v>
      </c>
      <c r="K71" t="s">
        <v>806</v>
      </c>
      <c r="L71" t="s">
        <v>807</v>
      </c>
      <c r="N71" t="s">
        <v>806</v>
      </c>
      <c r="O71" t="s">
        <v>807</v>
      </c>
      <c r="Q71" t="s">
        <v>827</v>
      </c>
      <c r="R71" t="s">
        <v>957</v>
      </c>
      <c r="T71" t="s">
        <v>803</v>
      </c>
      <c r="U71" t="s">
        <v>804</v>
      </c>
      <c r="W71" t="s">
        <v>11743</v>
      </c>
      <c r="X71" t="s">
        <v>7232</v>
      </c>
    </row>
    <row r="72" spans="2:24" x14ac:dyDescent="0.2">
      <c r="B72" t="s">
        <v>11634</v>
      </c>
      <c r="C72" t="s">
        <v>11637</v>
      </c>
      <c r="E72" t="s">
        <v>11636</v>
      </c>
      <c r="F72" t="s">
        <v>11638</v>
      </c>
      <c r="H72" t="s">
        <v>11635</v>
      </c>
      <c r="I72" t="s">
        <v>11639</v>
      </c>
      <c r="K72" t="s">
        <v>813</v>
      </c>
      <c r="L72" t="s">
        <v>814</v>
      </c>
      <c r="N72" t="s">
        <v>813</v>
      </c>
      <c r="O72" t="s">
        <v>814</v>
      </c>
      <c r="Q72" t="s">
        <v>925</v>
      </c>
      <c r="R72" t="s">
        <v>958</v>
      </c>
      <c r="T72" t="s">
        <v>811</v>
      </c>
      <c r="U72" t="s">
        <v>812</v>
      </c>
      <c r="W72" t="s">
        <v>11745</v>
      </c>
      <c r="X72" t="s">
        <v>11744</v>
      </c>
    </row>
    <row r="73" spans="2:24" x14ac:dyDescent="0.2">
      <c r="B73" t="s">
        <v>11636</v>
      </c>
      <c r="C73" t="s">
        <v>11638</v>
      </c>
      <c r="E73" t="s">
        <v>11635</v>
      </c>
      <c r="F73" t="s">
        <v>11639</v>
      </c>
      <c r="H73" t="s">
        <v>939</v>
      </c>
      <c r="I73" t="s">
        <v>256</v>
      </c>
      <c r="K73" t="s">
        <v>803</v>
      </c>
      <c r="L73" t="s">
        <v>804</v>
      </c>
      <c r="N73" t="s">
        <v>803</v>
      </c>
      <c r="O73" t="s">
        <v>804</v>
      </c>
      <c r="Q73" t="s">
        <v>803</v>
      </c>
      <c r="R73" t="s">
        <v>804</v>
      </c>
      <c r="T73" t="s">
        <v>794</v>
      </c>
      <c r="U73" t="s">
        <v>898</v>
      </c>
      <c r="W73" t="s">
        <v>509</v>
      </c>
      <c r="X73" t="s">
        <v>7939</v>
      </c>
    </row>
    <row r="74" spans="2:24" x14ac:dyDescent="0.2">
      <c r="B74" t="s">
        <v>11635</v>
      </c>
      <c r="C74" t="s">
        <v>11639</v>
      </c>
      <c r="E74" t="s">
        <v>938</v>
      </c>
      <c r="F74" t="s">
        <v>256</v>
      </c>
      <c r="K74" t="s">
        <v>811</v>
      </c>
      <c r="L74" t="s">
        <v>812</v>
      </c>
      <c r="N74" t="s">
        <v>811</v>
      </c>
      <c r="O74" t="s">
        <v>812</v>
      </c>
      <c r="Q74" t="s">
        <v>811</v>
      </c>
      <c r="R74" t="s">
        <v>812</v>
      </c>
      <c r="T74" t="s">
        <v>11634</v>
      </c>
      <c r="U74" t="s">
        <v>11637</v>
      </c>
      <c r="W74" t="s">
        <v>464</v>
      </c>
      <c r="X74" t="s">
        <v>646</v>
      </c>
    </row>
    <row r="75" spans="2:24" x14ac:dyDescent="0.2">
      <c r="B75" t="s">
        <v>937</v>
      </c>
      <c r="C75" t="s">
        <v>256</v>
      </c>
      <c r="K75" t="s">
        <v>794</v>
      </c>
      <c r="L75" t="s">
        <v>898</v>
      </c>
      <c r="N75" t="s">
        <v>794</v>
      </c>
      <c r="O75" t="s">
        <v>898</v>
      </c>
      <c r="Q75" t="s">
        <v>794</v>
      </c>
      <c r="R75" t="s">
        <v>959</v>
      </c>
      <c r="T75" t="s">
        <v>11636</v>
      </c>
      <c r="U75" t="s">
        <v>11638</v>
      </c>
      <c r="W75" t="s">
        <v>447</v>
      </c>
      <c r="X75" t="s">
        <v>696</v>
      </c>
    </row>
    <row r="76" spans="2:24" x14ac:dyDescent="0.2">
      <c r="K76" t="s">
        <v>11634</v>
      </c>
      <c r="L76" t="s">
        <v>11637</v>
      </c>
      <c r="N76" t="s">
        <v>11634</v>
      </c>
      <c r="O76" t="s">
        <v>11637</v>
      </c>
      <c r="Q76" t="s">
        <v>11634</v>
      </c>
      <c r="R76" t="s">
        <v>11637</v>
      </c>
      <c r="T76" t="s">
        <v>11635</v>
      </c>
      <c r="U76" t="s">
        <v>11639</v>
      </c>
      <c r="W76" t="s">
        <v>452</v>
      </c>
      <c r="X76" t="s">
        <v>9949</v>
      </c>
    </row>
    <row r="77" spans="2:24" x14ac:dyDescent="0.2">
      <c r="K77" t="s">
        <v>11636</v>
      </c>
      <c r="L77" t="s">
        <v>11638</v>
      </c>
      <c r="N77" t="s">
        <v>11636</v>
      </c>
      <c r="O77" t="s">
        <v>11638</v>
      </c>
      <c r="Q77" t="s">
        <v>11636</v>
      </c>
      <c r="R77" t="s">
        <v>11638</v>
      </c>
      <c r="T77" t="s">
        <v>11631</v>
      </c>
      <c r="U77" t="s">
        <v>256</v>
      </c>
      <c r="W77" t="s">
        <v>458</v>
      </c>
      <c r="X77" t="s">
        <v>716</v>
      </c>
    </row>
    <row r="78" spans="2:24" x14ac:dyDescent="0.2">
      <c r="K78" t="s">
        <v>11635</v>
      </c>
      <c r="L78" t="s">
        <v>11639</v>
      </c>
      <c r="N78" t="s">
        <v>11635</v>
      </c>
      <c r="O78" t="s">
        <v>11639</v>
      </c>
      <c r="Q78" t="s">
        <v>11635</v>
      </c>
      <c r="R78" t="s">
        <v>11639</v>
      </c>
      <c r="W78" t="s">
        <v>386</v>
      </c>
      <c r="X78" t="s">
        <v>8213</v>
      </c>
    </row>
    <row r="79" spans="2:24" x14ac:dyDescent="0.2">
      <c r="K79" t="s">
        <v>940</v>
      </c>
      <c r="L79" t="s">
        <v>256</v>
      </c>
      <c r="N79" t="s">
        <v>941</v>
      </c>
      <c r="O79" t="s">
        <v>256</v>
      </c>
      <c r="Q79" t="s">
        <v>942</v>
      </c>
      <c r="R79" t="s">
        <v>256</v>
      </c>
      <c r="W79" t="s">
        <v>361</v>
      </c>
      <c r="X79" t="s">
        <v>11746</v>
      </c>
    </row>
    <row r="80" spans="2:24" x14ac:dyDescent="0.2">
      <c r="W80" t="s">
        <v>440</v>
      </c>
      <c r="X80" t="s">
        <v>3818</v>
      </c>
    </row>
    <row r="81" spans="23:24" x14ac:dyDescent="0.2">
      <c r="W81" t="s">
        <v>11747</v>
      </c>
      <c r="X81" t="s">
        <v>3859</v>
      </c>
    </row>
    <row r="82" spans="23:24" x14ac:dyDescent="0.2">
      <c r="W82" t="s">
        <v>11748</v>
      </c>
      <c r="X82" t="s">
        <v>11749</v>
      </c>
    </row>
    <row r="83" spans="23:24" x14ac:dyDescent="0.2">
      <c r="W83" t="s">
        <v>688</v>
      </c>
      <c r="X83" t="s">
        <v>689</v>
      </c>
    </row>
    <row r="84" spans="23:24" x14ac:dyDescent="0.2">
      <c r="W84" t="s">
        <v>11750</v>
      </c>
      <c r="X84" t="s">
        <v>6094</v>
      </c>
    </row>
    <row r="85" spans="23:24" x14ac:dyDescent="0.2">
      <c r="W85" t="s">
        <v>11751</v>
      </c>
      <c r="X85" t="s">
        <v>11752</v>
      </c>
    </row>
    <row r="86" spans="23:24" x14ac:dyDescent="0.2">
      <c r="W86" t="s">
        <v>11753</v>
      </c>
      <c r="X86" t="s">
        <v>10182</v>
      </c>
    </row>
    <row r="87" spans="23:24" x14ac:dyDescent="0.2">
      <c r="W87" t="s">
        <v>11755</v>
      </c>
      <c r="X87" t="s">
        <v>7575</v>
      </c>
    </row>
    <row r="88" spans="23:24" x14ac:dyDescent="0.2">
      <c r="W88" t="s">
        <v>11754</v>
      </c>
      <c r="X88" t="s">
        <v>695</v>
      </c>
    </row>
    <row r="89" spans="23:24" x14ac:dyDescent="0.2">
      <c r="W89" t="s">
        <v>11756</v>
      </c>
      <c r="X89" t="s">
        <v>6105</v>
      </c>
    </row>
    <row r="90" spans="23:24" x14ac:dyDescent="0.2">
      <c r="W90" t="s">
        <v>925</v>
      </c>
      <c r="X90" t="s">
        <v>9792</v>
      </c>
    </row>
    <row r="91" spans="23:24" x14ac:dyDescent="0.2">
      <c r="W91" t="s">
        <v>162</v>
      </c>
      <c r="X91" t="s">
        <v>5854</v>
      </c>
    </row>
    <row r="92" spans="23:24" x14ac:dyDescent="0.2">
      <c r="W92" t="s">
        <v>11757</v>
      </c>
      <c r="X92" t="s">
        <v>6179</v>
      </c>
    </row>
    <row r="93" spans="23:24" x14ac:dyDescent="0.2">
      <c r="W93" t="s">
        <v>1409</v>
      </c>
      <c r="X93" t="s">
        <v>1538</v>
      </c>
    </row>
    <row r="94" spans="23:24" x14ac:dyDescent="0.2">
      <c r="W94" t="s">
        <v>11239</v>
      </c>
      <c r="X94" t="s">
        <v>1411</v>
      </c>
    </row>
    <row r="95" spans="23:24" x14ac:dyDescent="0.2">
      <c r="W95" t="s">
        <v>803</v>
      </c>
      <c r="X95" t="s">
        <v>804</v>
      </c>
    </row>
    <row r="96" spans="23:24" x14ac:dyDescent="0.2">
      <c r="W96" t="s">
        <v>811</v>
      </c>
      <c r="X96" t="s">
        <v>812</v>
      </c>
    </row>
    <row r="97" spans="23:24" x14ac:dyDescent="0.2">
      <c r="W97" t="s">
        <v>11634</v>
      </c>
      <c r="X97" t="s">
        <v>11637</v>
      </c>
    </row>
    <row r="98" spans="23:24" x14ac:dyDescent="0.2">
      <c r="W98" t="s">
        <v>11636</v>
      </c>
      <c r="X98" t="s">
        <v>11638</v>
      </c>
    </row>
    <row r="99" spans="23:24" x14ac:dyDescent="0.2">
      <c r="W99" t="s">
        <v>11635</v>
      </c>
      <c r="X99" t="s">
        <v>11639</v>
      </c>
    </row>
    <row r="100" spans="23:24" x14ac:dyDescent="0.2">
      <c r="W100" t="s">
        <v>11735</v>
      </c>
      <c r="X100" t="s">
        <v>11736</v>
      </c>
    </row>
    <row r="101" spans="23:24" x14ac:dyDescent="0.2">
      <c r="W101" t="s">
        <v>267</v>
      </c>
      <c r="X101" t="s">
        <v>3863</v>
      </c>
    </row>
    <row r="102" spans="23:24" x14ac:dyDescent="0.2">
      <c r="W102" t="s">
        <v>292</v>
      </c>
      <c r="X102" t="s">
        <v>6012</v>
      </c>
    </row>
    <row r="103" spans="23:24" x14ac:dyDescent="0.2">
      <c r="W103" t="s">
        <v>11734</v>
      </c>
      <c r="X103" t="s">
        <v>256</v>
      </c>
    </row>
  </sheetData>
  <phoneticPr fontId="1" type="noConversion"/>
  <pageMargins left="0.7" right="0.7" top="0.75" bottom="0.75" header="0.3" footer="0.3"/>
  <tableParts count="2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1B71C-853B-49F8-8CF4-B32B94119F13}">
  <sheetPr codeName="Hoja10"/>
  <dimension ref="B2:BO97"/>
  <sheetViews>
    <sheetView topLeftCell="K1" zoomScale="95" zoomScaleNormal="95" workbookViewId="0">
      <selection activeCell="O3" sqref="O3:O29"/>
    </sheetView>
  </sheetViews>
  <sheetFormatPr baseColWidth="10" defaultRowHeight="15" x14ac:dyDescent="0.2"/>
  <cols>
    <col min="2" max="2" width="38.5" bestFit="1" customWidth="1"/>
    <col min="3" max="3" width="21.33203125" customWidth="1"/>
    <col min="5" max="5" width="26.1640625" bestFit="1" customWidth="1"/>
    <col min="6" max="6" width="20" customWidth="1"/>
    <col min="8" max="8" width="36.1640625" bestFit="1" customWidth="1"/>
    <col min="9" max="9" width="28.83203125" customWidth="1"/>
    <col min="11" max="11" width="36.1640625" bestFit="1" customWidth="1"/>
    <col min="12" max="12" width="26.5" customWidth="1"/>
    <col min="14" max="14" width="37.5" bestFit="1" customWidth="1"/>
    <col min="15" max="15" width="28.33203125" customWidth="1"/>
    <col min="17" max="17" width="37.5" bestFit="1" customWidth="1"/>
    <col min="18" max="18" width="26" customWidth="1"/>
    <col min="20" max="20" width="37.5" bestFit="1" customWidth="1"/>
    <col min="21" max="21" width="29.1640625" customWidth="1"/>
    <col min="23" max="23" width="37" bestFit="1" customWidth="1"/>
    <col min="24" max="24" width="26.83203125" customWidth="1"/>
    <col min="26" max="26" width="32" bestFit="1" customWidth="1"/>
    <col min="27" max="27" width="25.83203125" customWidth="1"/>
    <col min="29" max="29" width="42.83203125" bestFit="1" customWidth="1"/>
    <col min="30" max="30" width="26.83203125" customWidth="1"/>
    <col min="32" max="32" width="40.6640625" bestFit="1" customWidth="1"/>
    <col min="33" max="33" width="29.1640625" customWidth="1"/>
    <col min="35" max="35" width="40.6640625" bestFit="1" customWidth="1"/>
    <col min="36" max="36" width="26.83203125" customWidth="1"/>
    <col min="38" max="38" width="38.6640625" bestFit="1" customWidth="1"/>
    <col min="39" max="39" width="25.5" customWidth="1"/>
    <col min="41" max="41" width="35.83203125" bestFit="1" customWidth="1"/>
    <col min="42" max="42" width="29.1640625" customWidth="1"/>
    <col min="44" max="44" width="35.83203125" bestFit="1" customWidth="1"/>
    <col min="45" max="45" width="28.5" customWidth="1"/>
    <col min="47" max="47" width="32" bestFit="1" customWidth="1"/>
    <col min="48" max="48" width="26" customWidth="1"/>
    <col min="50" max="50" width="32" bestFit="1" customWidth="1"/>
    <col min="51" max="51" width="26" customWidth="1"/>
    <col min="53" max="53" width="50.1640625" bestFit="1" customWidth="1"/>
    <col min="54" max="54" width="25" customWidth="1"/>
    <col min="56" max="56" width="35.1640625" bestFit="1" customWidth="1"/>
    <col min="57" max="57" width="26" customWidth="1"/>
    <col min="59" max="59" width="39.5" bestFit="1" customWidth="1"/>
    <col min="60" max="60" width="26.33203125" customWidth="1"/>
    <col min="61" max="61" width="27" customWidth="1"/>
    <col min="63" max="63" width="24.83203125" bestFit="1" customWidth="1"/>
    <col min="64" max="64" width="25.33203125" customWidth="1"/>
    <col min="66" max="66" width="32.5" bestFit="1" customWidth="1"/>
    <col min="67" max="67" width="26" customWidth="1"/>
  </cols>
  <sheetData>
    <row r="2" spans="2:67" x14ac:dyDescent="0.2">
      <c r="B2" t="s">
        <v>21</v>
      </c>
      <c r="C2" t="s">
        <v>1729</v>
      </c>
      <c r="E2" t="s">
        <v>27</v>
      </c>
      <c r="F2" t="s">
        <v>1730</v>
      </c>
      <c r="H2" t="s">
        <v>33</v>
      </c>
      <c r="I2" t="s">
        <v>1731</v>
      </c>
      <c r="K2" t="s">
        <v>39</v>
      </c>
      <c r="L2" t="s">
        <v>1732</v>
      </c>
      <c r="N2" t="s">
        <v>45</v>
      </c>
      <c r="O2" t="s">
        <v>1733</v>
      </c>
      <c r="Q2" t="s">
        <v>51</v>
      </c>
      <c r="R2" t="s">
        <v>1734</v>
      </c>
      <c r="T2" t="s">
        <v>56</v>
      </c>
      <c r="U2" t="s">
        <v>1735</v>
      </c>
      <c r="W2" t="s">
        <v>61</v>
      </c>
      <c r="X2" t="s">
        <v>1736</v>
      </c>
      <c r="Z2" t="s">
        <v>1737</v>
      </c>
      <c r="AA2" t="s">
        <v>1738</v>
      </c>
      <c r="AC2" t="s">
        <v>69</v>
      </c>
      <c r="AD2" t="s">
        <v>1739</v>
      </c>
      <c r="AF2" t="s">
        <v>74</v>
      </c>
      <c r="AG2" t="s">
        <v>1740</v>
      </c>
      <c r="AI2" t="s">
        <v>79</v>
      </c>
      <c r="AJ2" t="s">
        <v>1741</v>
      </c>
      <c r="AL2" t="s">
        <v>1742</v>
      </c>
      <c r="AM2" t="s">
        <v>1743</v>
      </c>
      <c r="AO2" t="s">
        <v>86</v>
      </c>
      <c r="AP2" t="s">
        <v>1744</v>
      </c>
      <c r="AR2" t="s">
        <v>90</v>
      </c>
      <c r="AS2" t="s">
        <v>1745</v>
      </c>
      <c r="AU2" t="s">
        <v>94</v>
      </c>
      <c r="AV2" t="s">
        <v>1746</v>
      </c>
      <c r="AX2" t="s">
        <v>97</v>
      </c>
      <c r="AY2" t="s">
        <v>1747</v>
      </c>
      <c r="BA2" t="s">
        <v>100</v>
      </c>
      <c r="BB2" t="s">
        <v>1748</v>
      </c>
      <c r="BD2" t="s">
        <v>1749</v>
      </c>
      <c r="BE2" t="s">
        <v>1750</v>
      </c>
      <c r="BG2" t="s">
        <v>1751</v>
      </c>
      <c r="BH2" t="s">
        <v>1752</v>
      </c>
      <c r="BI2" t="s">
        <v>1753</v>
      </c>
      <c r="BK2" t="s">
        <v>1754</v>
      </c>
      <c r="BL2" t="s">
        <v>1755</v>
      </c>
      <c r="BN2" t="s">
        <v>1756</v>
      </c>
      <c r="BO2" t="s">
        <v>1757</v>
      </c>
    </row>
    <row r="3" spans="2:67" x14ac:dyDescent="0.2">
      <c r="B3" t="s">
        <v>1758</v>
      </c>
      <c r="C3" t="s">
        <v>1759</v>
      </c>
      <c r="E3" t="s">
        <v>1526</v>
      </c>
      <c r="F3" t="s">
        <v>1760</v>
      </c>
      <c r="H3" t="s">
        <v>1761</v>
      </c>
      <c r="I3" t="s">
        <v>1762</v>
      </c>
      <c r="K3" t="s">
        <v>1761</v>
      </c>
      <c r="L3" t="s">
        <v>1762</v>
      </c>
      <c r="N3" t="s">
        <v>1763</v>
      </c>
      <c r="O3" t="s">
        <v>1764</v>
      </c>
      <c r="Q3" t="s">
        <v>1763</v>
      </c>
      <c r="R3" t="s">
        <v>1764</v>
      </c>
      <c r="T3" t="s">
        <v>1072</v>
      </c>
      <c r="U3" t="s">
        <v>1764</v>
      </c>
      <c r="W3" t="s">
        <v>1072</v>
      </c>
      <c r="X3" t="s">
        <v>1764</v>
      </c>
      <c r="Z3" t="s">
        <v>1765</v>
      </c>
      <c r="AA3" t="s">
        <v>1766</v>
      </c>
      <c r="AC3" t="s">
        <v>1767</v>
      </c>
      <c r="AD3" t="s">
        <v>1768</v>
      </c>
      <c r="AF3" t="s">
        <v>1769</v>
      </c>
      <c r="AG3" t="s">
        <v>1770</v>
      </c>
      <c r="AI3" t="s">
        <v>1769</v>
      </c>
      <c r="AJ3" t="s">
        <v>1770</v>
      </c>
      <c r="AL3" t="s">
        <v>1771</v>
      </c>
      <c r="AM3" t="s">
        <v>1772</v>
      </c>
      <c r="AO3" t="s">
        <v>1773</v>
      </c>
      <c r="AP3" t="s">
        <v>1774</v>
      </c>
      <c r="AR3" t="s">
        <v>1773</v>
      </c>
      <c r="AS3" t="s">
        <v>1774</v>
      </c>
      <c r="AU3" t="s">
        <v>1775</v>
      </c>
      <c r="AV3" t="s">
        <v>1776</v>
      </c>
      <c r="AX3" t="s">
        <v>1777</v>
      </c>
      <c r="AY3" t="s">
        <v>1778</v>
      </c>
      <c r="BA3" t="s">
        <v>1779</v>
      </c>
      <c r="BB3" t="s">
        <v>1762</v>
      </c>
      <c r="BD3" t="s">
        <v>1780</v>
      </c>
      <c r="BE3" t="s">
        <v>1781</v>
      </c>
      <c r="BG3" t="s">
        <v>1782</v>
      </c>
      <c r="BH3" t="s">
        <v>1783</v>
      </c>
      <c r="BI3" t="s">
        <v>1783</v>
      </c>
      <c r="BK3" t="s">
        <v>1784</v>
      </c>
      <c r="BL3" t="s">
        <v>1766</v>
      </c>
      <c r="BN3" t="s">
        <v>1775</v>
      </c>
      <c r="BO3" t="s">
        <v>1785</v>
      </c>
    </row>
    <row r="4" spans="2:67" x14ac:dyDescent="0.2">
      <c r="B4" t="s">
        <v>1786</v>
      </c>
      <c r="C4" t="s">
        <v>1787</v>
      </c>
      <c r="E4" t="s">
        <v>1788</v>
      </c>
      <c r="F4" t="s">
        <v>1789</v>
      </c>
      <c r="H4" t="s">
        <v>1773</v>
      </c>
      <c r="I4" t="s">
        <v>1790</v>
      </c>
      <c r="K4" t="s">
        <v>1773</v>
      </c>
      <c r="L4" t="s">
        <v>1790</v>
      </c>
      <c r="N4" t="s">
        <v>1761</v>
      </c>
      <c r="O4" t="s">
        <v>1762</v>
      </c>
      <c r="Q4" t="s">
        <v>1761</v>
      </c>
      <c r="R4" t="s">
        <v>1762</v>
      </c>
      <c r="T4" t="s">
        <v>1526</v>
      </c>
      <c r="U4" t="s">
        <v>1791</v>
      </c>
      <c r="W4" t="s">
        <v>1526</v>
      </c>
      <c r="X4" t="s">
        <v>1791</v>
      </c>
      <c r="Z4" t="s">
        <v>1792</v>
      </c>
      <c r="AA4" t="s">
        <v>1793</v>
      </c>
      <c r="AC4" t="s">
        <v>1794</v>
      </c>
      <c r="AD4" t="s">
        <v>1795</v>
      </c>
      <c r="AF4" t="s">
        <v>1796</v>
      </c>
      <c r="AG4" t="s">
        <v>1797</v>
      </c>
      <c r="AI4" t="s">
        <v>1796</v>
      </c>
      <c r="AJ4" t="s">
        <v>1797</v>
      </c>
      <c r="AL4" t="s">
        <v>1798</v>
      </c>
      <c r="AM4" t="s">
        <v>1799</v>
      </c>
      <c r="AO4" t="s">
        <v>1800</v>
      </c>
      <c r="AP4" t="s">
        <v>1766</v>
      </c>
      <c r="AR4" t="s">
        <v>1800</v>
      </c>
      <c r="AS4" t="s">
        <v>1766</v>
      </c>
      <c r="AU4" t="s">
        <v>222</v>
      </c>
      <c r="AV4" t="s">
        <v>1801</v>
      </c>
      <c r="AX4" t="s">
        <v>1773</v>
      </c>
      <c r="AY4" t="s">
        <v>1802</v>
      </c>
      <c r="BA4" t="s">
        <v>1803</v>
      </c>
      <c r="BB4" t="s">
        <v>1804</v>
      </c>
      <c r="BD4" t="s">
        <v>1805</v>
      </c>
      <c r="BE4" t="s">
        <v>1806</v>
      </c>
      <c r="BG4" t="s">
        <v>1807</v>
      </c>
      <c r="BH4" t="s">
        <v>1808</v>
      </c>
      <c r="BI4" t="s">
        <v>1808</v>
      </c>
      <c r="BK4" t="s">
        <v>1809</v>
      </c>
      <c r="BL4" t="s">
        <v>1810</v>
      </c>
      <c r="BN4" t="s">
        <v>1811</v>
      </c>
      <c r="BO4" t="s">
        <v>1812</v>
      </c>
    </row>
    <row r="5" spans="2:67" x14ac:dyDescent="0.2">
      <c r="B5" t="s">
        <v>1813</v>
      </c>
      <c r="C5" t="s">
        <v>1814</v>
      </c>
      <c r="E5" t="s">
        <v>1815</v>
      </c>
      <c r="F5" t="s">
        <v>1816</v>
      </c>
      <c r="H5" t="s">
        <v>1817</v>
      </c>
      <c r="I5" t="s">
        <v>1818</v>
      </c>
      <c r="K5" t="s">
        <v>1817</v>
      </c>
      <c r="L5" t="s">
        <v>1818</v>
      </c>
      <c r="N5" t="s">
        <v>1773</v>
      </c>
      <c r="O5" t="s">
        <v>1790</v>
      </c>
      <c r="Q5" t="s">
        <v>1773</v>
      </c>
      <c r="R5" t="s">
        <v>1790</v>
      </c>
      <c r="T5" t="s">
        <v>1819</v>
      </c>
      <c r="U5" t="s">
        <v>1820</v>
      </c>
      <c r="W5" t="s">
        <v>1819</v>
      </c>
      <c r="X5" t="s">
        <v>1820</v>
      </c>
      <c r="Z5" t="s">
        <v>1821</v>
      </c>
      <c r="AA5" t="s">
        <v>1822</v>
      </c>
      <c r="AC5" t="s">
        <v>1798</v>
      </c>
      <c r="AD5" t="s">
        <v>1799</v>
      </c>
      <c r="AF5" t="s">
        <v>1823</v>
      </c>
      <c r="AG5" t="s">
        <v>1762</v>
      </c>
      <c r="AI5" t="s">
        <v>1823</v>
      </c>
      <c r="AJ5" t="s">
        <v>1762</v>
      </c>
      <c r="AL5" t="s">
        <v>1767</v>
      </c>
      <c r="AM5" t="s">
        <v>1768</v>
      </c>
      <c r="AO5" t="s">
        <v>1824</v>
      </c>
      <c r="AP5" t="s">
        <v>1825</v>
      </c>
      <c r="AR5" t="s">
        <v>1824</v>
      </c>
      <c r="AS5" t="s">
        <v>1825</v>
      </c>
      <c r="AU5" t="s">
        <v>1826</v>
      </c>
      <c r="AV5" t="s">
        <v>1827</v>
      </c>
      <c r="AX5" t="s">
        <v>205</v>
      </c>
      <c r="AY5" t="s">
        <v>1828</v>
      </c>
      <c r="BA5" t="s">
        <v>1792</v>
      </c>
      <c r="BB5" t="s">
        <v>1829</v>
      </c>
      <c r="BD5" t="s">
        <v>1830</v>
      </c>
      <c r="BE5" t="s">
        <v>1831</v>
      </c>
      <c r="BG5" t="s">
        <v>1832</v>
      </c>
      <c r="BH5" t="s">
        <v>1833</v>
      </c>
      <c r="BI5" t="s">
        <v>1833</v>
      </c>
      <c r="BK5" t="s">
        <v>1834</v>
      </c>
      <c r="BL5" t="s">
        <v>1835</v>
      </c>
      <c r="BN5" t="s">
        <v>1773</v>
      </c>
      <c r="BO5" t="s">
        <v>1836</v>
      </c>
    </row>
    <row r="6" spans="2:67" x14ac:dyDescent="0.2">
      <c r="B6" t="s">
        <v>1837</v>
      </c>
      <c r="C6" t="s">
        <v>1838</v>
      </c>
      <c r="E6" t="s">
        <v>1839</v>
      </c>
      <c r="F6" t="s">
        <v>1840</v>
      </c>
      <c r="H6" t="s">
        <v>1841</v>
      </c>
      <c r="I6" t="s">
        <v>1842</v>
      </c>
      <c r="K6" t="s">
        <v>1841</v>
      </c>
      <c r="L6" t="s">
        <v>1842</v>
      </c>
      <c r="N6" t="s">
        <v>205</v>
      </c>
      <c r="O6" t="s">
        <v>1818</v>
      </c>
      <c r="Q6" t="s">
        <v>205</v>
      </c>
      <c r="R6" t="s">
        <v>1818</v>
      </c>
      <c r="T6" t="s">
        <v>1843</v>
      </c>
      <c r="U6" t="s">
        <v>1844</v>
      </c>
      <c r="W6" t="s">
        <v>1843</v>
      </c>
      <c r="X6" t="s">
        <v>1844</v>
      </c>
      <c r="Z6" t="s">
        <v>222</v>
      </c>
      <c r="AA6" t="s">
        <v>1845</v>
      </c>
      <c r="AC6" t="s">
        <v>1846</v>
      </c>
      <c r="AD6" t="s">
        <v>1847</v>
      </c>
      <c r="AF6" t="s">
        <v>1798</v>
      </c>
      <c r="AG6" t="s">
        <v>1799</v>
      </c>
      <c r="AI6" t="s">
        <v>1798</v>
      </c>
      <c r="AJ6" t="s">
        <v>1799</v>
      </c>
      <c r="AL6" t="s">
        <v>1794</v>
      </c>
      <c r="AM6" t="s">
        <v>1795</v>
      </c>
      <c r="AO6" t="s">
        <v>222</v>
      </c>
      <c r="AP6" t="s">
        <v>1848</v>
      </c>
      <c r="AR6" t="s">
        <v>222</v>
      </c>
      <c r="AS6" t="s">
        <v>1848</v>
      </c>
      <c r="AU6" t="s">
        <v>1773</v>
      </c>
      <c r="AV6" t="s">
        <v>1849</v>
      </c>
      <c r="AX6" t="s">
        <v>1792</v>
      </c>
      <c r="AY6" t="s">
        <v>1850</v>
      </c>
      <c r="BA6" t="s">
        <v>1773</v>
      </c>
      <c r="BB6" t="s">
        <v>1851</v>
      </c>
      <c r="BD6" t="s">
        <v>1852</v>
      </c>
      <c r="BE6" t="s">
        <v>1853</v>
      </c>
      <c r="BG6" t="s">
        <v>1854</v>
      </c>
      <c r="BH6" t="s">
        <v>1855</v>
      </c>
      <c r="BI6" t="s">
        <v>1855</v>
      </c>
      <c r="BK6" t="s">
        <v>1773</v>
      </c>
      <c r="BL6" t="s">
        <v>1856</v>
      </c>
      <c r="BN6" t="s">
        <v>205</v>
      </c>
      <c r="BO6" t="s">
        <v>1857</v>
      </c>
    </row>
    <row r="7" spans="2:67" x14ac:dyDescent="0.2">
      <c r="B7" t="s">
        <v>1858</v>
      </c>
      <c r="C7" t="s">
        <v>1859</v>
      </c>
      <c r="E7" t="s">
        <v>1860</v>
      </c>
      <c r="F7" t="s">
        <v>1861</v>
      </c>
      <c r="H7" t="s">
        <v>1862</v>
      </c>
      <c r="I7" t="s">
        <v>1863</v>
      </c>
      <c r="K7" t="s">
        <v>1862</v>
      </c>
      <c r="L7" t="s">
        <v>1863</v>
      </c>
      <c r="N7" t="s">
        <v>1864</v>
      </c>
      <c r="O7" t="s">
        <v>1842</v>
      </c>
      <c r="Q7" t="s">
        <v>1864</v>
      </c>
      <c r="R7" t="s">
        <v>1842</v>
      </c>
      <c r="T7" t="s">
        <v>1817</v>
      </c>
      <c r="U7" t="s">
        <v>1818</v>
      </c>
      <c r="W7" t="s">
        <v>1817</v>
      </c>
      <c r="X7" t="s">
        <v>1818</v>
      </c>
      <c r="Z7" t="s">
        <v>1865</v>
      </c>
      <c r="AA7" t="s">
        <v>1866</v>
      </c>
      <c r="AC7" t="s">
        <v>1867</v>
      </c>
      <c r="AD7" t="s">
        <v>1868</v>
      </c>
      <c r="AF7" t="s">
        <v>517</v>
      </c>
      <c r="AG7" t="s">
        <v>1869</v>
      </c>
      <c r="AI7" t="s">
        <v>517</v>
      </c>
      <c r="AJ7" t="s">
        <v>1869</v>
      </c>
      <c r="AL7" t="s">
        <v>1870</v>
      </c>
      <c r="AM7" t="s">
        <v>1871</v>
      </c>
      <c r="AO7" t="s">
        <v>205</v>
      </c>
      <c r="AP7" t="s">
        <v>1872</v>
      </c>
      <c r="AR7" t="s">
        <v>205</v>
      </c>
      <c r="AS7" t="s">
        <v>1872</v>
      </c>
      <c r="AU7" t="s">
        <v>205</v>
      </c>
      <c r="AV7" t="s">
        <v>1828</v>
      </c>
      <c r="AX7" t="s">
        <v>1765</v>
      </c>
      <c r="AY7" t="s">
        <v>1873</v>
      </c>
      <c r="BA7" t="s">
        <v>205</v>
      </c>
      <c r="BB7" t="s">
        <v>1818</v>
      </c>
      <c r="BD7" t="s">
        <v>222</v>
      </c>
      <c r="BE7" t="s">
        <v>1874</v>
      </c>
      <c r="BG7" t="s">
        <v>222</v>
      </c>
      <c r="BH7" t="s">
        <v>1875</v>
      </c>
      <c r="BI7" t="s">
        <v>1875</v>
      </c>
      <c r="BK7" t="s">
        <v>205</v>
      </c>
      <c r="BL7" t="s">
        <v>1876</v>
      </c>
      <c r="BN7" t="s">
        <v>222</v>
      </c>
      <c r="BO7" t="s">
        <v>1877</v>
      </c>
    </row>
    <row r="8" spans="2:67" x14ac:dyDescent="0.2">
      <c r="B8" t="s">
        <v>1878</v>
      </c>
      <c r="C8" t="s">
        <v>1879</v>
      </c>
      <c r="E8" t="s">
        <v>1880</v>
      </c>
      <c r="F8" t="s">
        <v>1881</v>
      </c>
      <c r="H8" t="s">
        <v>222</v>
      </c>
      <c r="I8" t="s">
        <v>1882</v>
      </c>
      <c r="K8" t="s">
        <v>222</v>
      </c>
      <c r="L8" t="s">
        <v>1882</v>
      </c>
      <c r="N8" t="s">
        <v>1883</v>
      </c>
      <c r="O8" t="s">
        <v>1820</v>
      </c>
      <c r="Q8" t="s">
        <v>1883</v>
      </c>
      <c r="R8" t="s">
        <v>1820</v>
      </c>
      <c r="T8" t="s">
        <v>1773</v>
      </c>
      <c r="U8" t="s">
        <v>1790</v>
      </c>
      <c r="W8" t="s">
        <v>1773</v>
      </c>
      <c r="X8" t="s">
        <v>1790</v>
      </c>
      <c r="Z8" t="s">
        <v>1773</v>
      </c>
      <c r="AA8" t="s">
        <v>1884</v>
      </c>
      <c r="AC8" t="s">
        <v>1885</v>
      </c>
      <c r="AD8" t="s">
        <v>1886</v>
      </c>
      <c r="AF8" t="s">
        <v>1887</v>
      </c>
      <c r="AG8" t="s">
        <v>1768</v>
      </c>
      <c r="AI8" t="s">
        <v>1887</v>
      </c>
      <c r="AJ8" t="s">
        <v>1768</v>
      </c>
      <c r="AL8" t="s">
        <v>1888</v>
      </c>
      <c r="AM8" t="s">
        <v>1886</v>
      </c>
      <c r="AO8" t="s">
        <v>1889</v>
      </c>
      <c r="AP8" t="s">
        <v>1890</v>
      </c>
      <c r="AR8" t="s">
        <v>1889</v>
      </c>
      <c r="AS8" t="s">
        <v>1890</v>
      </c>
      <c r="AU8" t="s">
        <v>1792</v>
      </c>
      <c r="AV8" t="s">
        <v>1850</v>
      </c>
      <c r="AX8" t="s">
        <v>1072</v>
      </c>
      <c r="AY8" t="s">
        <v>1891</v>
      </c>
      <c r="BA8" t="s">
        <v>1892</v>
      </c>
      <c r="BB8" t="s">
        <v>1877</v>
      </c>
      <c r="BD8" t="s">
        <v>1893</v>
      </c>
      <c r="BE8" t="s">
        <v>1894</v>
      </c>
      <c r="BG8" t="s">
        <v>1527</v>
      </c>
      <c r="BH8" t="s">
        <v>1895</v>
      </c>
      <c r="BI8" t="s">
        <v>1895</v>
      </c>
      <c r="BK8" t="s">
        <v>1862</v>
      </c>
      <c r="BL8" t="s">
        <v>1863</v>
      </c>
      <c r="BN8" t="s">
        <v>1761</v>
      </c>
      <c r="BO8" t="s">
        <v>1762</v>
      </c>
    </row>
    <row r="9" spans="2:67" x14ac:dyDescent="0.2">
      <c r="B9" t="s">
        <v>1896</v>
      </c>
      <c r="C9" t="s">
        <v>1897</v>
      </c>
      <c r="E9" t="s">
        <v>1898</v>
      </c>
      <c r="F9" t="s">
        <v>1899</v>
      </c>
      <c r="H9" t="s">
        <v>1798</v>
      </c>
      <c r="I9" t="s">
        <v>1799</v>
      </c>
      <c r="K9" t="s">
        <v>1798</v>
      </c>
      <c r="L9" t="s">
        <v>1799</v>
      </c>
      <c r="N9" t="s">
        <v>1843</v>
      </c>
      <c r="O9" t="s">
        <v>1844</v>
      </c>
      <c r="Q9" t="s">
        <v>1843</v>
      </c>
      <c r="R9" t="s">
        <v>1844</v>
      </c>
      <c r="T9" t="s">
        <v>1477</v>
      </c>
      <c r="U9" t="s">
        <v>1877</v>
      </c>
      <c r="W9" t="s">
        <v>1477</v>
      </c>
      <c r="X9" t="s">
        <v>1877</v>
      </c>
      <c r="Z9" t="s">
        <v>205</v>
      </c>
      <c r="AA9" t="s">
        <v>1900</v>
      </c>
      <c r="AC9" t="s">
        <v>1901</v>
      </c>
      <c r="AD9" t="s">
        <v>1902</v>
      </c>
      <c r="AF9" t="s">
        <v>1903</v>
      </c>
      <c r="AG9" t="s">
        <v>1795</v>
      </c>
      <c r="AI9" t="s">
        <v>1903</v>
      </c>
      <c r="AJ9" t="s">
        <v>1795</v>
      </c>
      <c r="AL9" t="s">
        <v>1901</v>
      </c>
      <c r="AM9" t="s">
        <v>1902</v>
      </c>
      <c r="AO9" t="s">
        <v>1904</v>
      </c>
      <c r="AP9" t="s">
        <v>1905</v>
      </c>
      <c r="AR9" t="s">
        <v>1904</v>
      </c>
      <c r="AS9" t="s">
        <v>1905</v>
      </c>
      <c r="AU9" t="s">
        <v>1765</v>
      </c>
      <c r="AV9" t="s">
        <v>1873</v>
      </c>
      <c r="AX9" t="s">
        <v>222</v>
      </c>
      <c r="AY9" t="s">
        <v>1906</v>
      </c>
      <c r="BA9" t="s">
        <v>1424</v>
      </c>
      <c r="BB9" t="s">
        <v>1907</v>
      </c>
      <c r="BD9" t="s">
        <v>1908</v>
      </c>
      <c r="BE9" t="s">
        <v>1909</v>
      </c>
      <c r="BG9" t="s">
        <v>1526</v>
      </c>
      <c r="BH9" t="s">
        <v>1910</v>
      </c>
      <c r="BI9" t="s">
        <v>1910</v>
      </c>
      <c r="BK9" t="s">
        <v>1798</v>
      </c>
      <c r="BL9" t="s">
        <v>1799</v>
      </c>
      <c r="BN9" t="s">
        <v>1865</v>
      </c>
      <c r="BO9" t="s">
        <v>1911</v>
      </c>
    </row>
    <row r="10" spans="2:67" x14ac:dyDescent="0.2">
      <c r="B10" t="s">
        <v>1912</v>
      </c>
      <c r="C10" t="s">
        <v>1913</v>
      </c>
      <c r="E10" t="s">
        <v>1761</v>
      </c>
      <c r="F10" t="s">
        <v>1814</v>
      </c>
      <c r="H10" t="s">
        <v>1914</v>
      </c>
      <c r="I10" t="s">
        <v>1820</v>
      </c>
      <c r="K10" t="s">
        <v>1914</v>
      </c>
      <c r="L10" t="s">
        <v>1820</v>
      </c>
      <c r="N10" t="s">
        <v>1477</v>
      </c>
      <c r="O10" t="s">
        <v>1801</v>
      </c>
      <c r="Q10" t="s">
        <v>1477</v>
      </c>
      <c r="R10" t="s">
        <v>1801</v>
      </c>
      <c r="T10" t="s">
        <v>1915</v>
      </c>
      <c r="U10" t="s">
        <v>1842</v>
      </c>
      <c r="W10" t="s">
        <v>1915</v>
      </c>
      <c r="X10" t="s">
        <v>1842</v>
      </c>
      <c r="Z10" t="s">
        <v>1846</v>
      </c>
      <c r="AA10" t="s">
        <v>1916</v>
      </c>
      <c r="AC10" t="s">
        <v>1917</v>
      </c>
      <c r="AD10" t="s">
        <v>1918</v>
      </c>
      <c r="AF10" t="s">
        <v>1919</v>
      </c>
      <c r="AG10" t="s">
        <v>1920</v>
      </c>
      <c r="AI10" t="s">
        <v>1919</v>
      </c>
      <c r="AJ10" t="s">
        <v>1920</v>
      </c>
      <c r="AL10" t="s">
        <v>1921</v>
      </c>
      <c r="AM10" t="s">
        <v>1922</v>
      </c>
      <c r="AO10" t="s">
        <v>1923</v>
      </c>
      <c r="AP10" t="s">
        <v>1924</v>
      </c>
      <c r="AR10" t="s">
        <v>1923</v>
      </c>
      <c r="AS10" t="s">
        <v>1924</v>
      </c>
      <c r="AU10" t="s">
        <v>1072</v>
      </c>
      <c r="AV10" t="s">
        <v>1925</v>
      </c>
      <c r="AX10" t="s">
        <v>1798</v>
      </c>
      <c r="AY10" t="s">
        <v>1799</v>
      </c>
      <c r="BA10" t="s">
        <v>1887</v>
      </c>
      <c r="BB10" t="s">
        <v>1768</v>
      </c>
      <c r="BD10" t="s">
        <v>1926</v>
      </c>
      <c r="BE10" t="s">
        <v>1927</v>
      </c>
      <c r="BG10" t="s">
        <v>1908</v>
      </c>
      <c r="BH10" t="s">
        <v>1928</v>
      </c>
      <c r="BI10" t="s">
        <v>1928</v>
      </c>
      <c r="BK10" t="s">
        <v>1929</v>
      </c>
      <c r="BL10" t="s">
        <v>1930</v>
      </c>
      <c r="BN10" t="s">
        <v>1931</v>
      </c>
      <c r="BO10" t="s">
        <v>1932</v>
      </c>
    </row>
    <row r="11" spans="2:67" x14ac:dyDescent="0.2">
      <c r="B11" t="s">
        <v>1933</v>
      </c>
      <c r="C11" t="s">
        <v>1934</v>
      </c>
      <c r="E11" t="s">
        <v>1935</v>
      </c>
      <c r="F11" t="s">
        <v>1936</v>
      </c>
      <c r="H11" t="s">
        <v>1843</v>
      </c>
      <c r="I11" t="s">
        <v>1937</v>
      </c>
      <c r="K11" t="s">
        <v>1843</v>
      </c>
      <c r="L11" t="s">
        <v>1844</v>
      </c>
      <c r="N11" t="s">
        <v>1938</v>
      </c>
      <c r="O11" t="s">
        <v>1939</v>
      </c>
      <c r="Q11" t="s">
        <v>1938</v>
      </c>
      <c r="R11" t="s">
        <v>1939</v>
      </c>
      <c r="T11" t="s">
        <v>1940</v>
      </c>
      <c r="U11" t="s">
        <v>1799</v>
      </c>
      <c r="W11" t="s">
        <v>1940</v>
      </c>
      <c r="X11" t="s">
        <v>1799</v>
      </c>
      <c r="Z11" t="s">
        <v>1941</v>
      </c>
      <c r="AA11" t="s">
        <v>1942</v>
      </c>
      <c r="AC11" t="s">
        <v>1943</v>
      </c>
      <c r="AD11" t="s">
        <v>1944</v>
      </c>
      <c r="AF11" t="s">
        <v>1870</v>
      </c>
      <c r="AG11" t="s">
        <v>1871</v>
      </c>
      <c r="AI11" t="s">
        <v>1870</v>
      </c>
      <c r="AJ11" t="s">
        <v>1871</v>
      </c>
      <c r="AL11" t="s">
        <v>1945</v>
      </c>
      <c r="AM11" t="s">
        <v>1766</v>
      </c>
      <c r="AO11" t="s">
        <v>1946</v>
      </c>
      <c r="AP11" t="s">
        <v>1947</v>
      </c>
      <c r="AR11" t="s">
        <v>1946</v>
      </c>
      <c r="AS11" t="s">
        <v>1947</v>
      </c>
      <c r="AU11" t="s">
        <v>1846</v>
      </c>
      <c r="AV11" t="s">
        <v>1948</v>
      </c>
      <c r="AX11" t="s">
        <v>1949</v>
      </c>
      <c r="AY11" t="s">
        <v>1950</v>
      </c>
      <c r="BA11" t="s">
        <v>1951</v>
      </c>
      <c r="BB11" t="s">
        <v>1952</v>
      </c>
      <c r="BD11" t="s">
        <v>1063</v>
      </c>
      <c r="BE11" t="s">
        <v>1953</v>
      </c>
      <c r="BG11" t="s">
        <v>1954</v>
      </c>
      <c r="BH11" t="s">
        <v>1955</v>
      </c>
      <c r="BK11" t="s">
        <v>1956</v>
      </c>
      <c r="BL11" t="s">
        <v>1957</v>
      </c>
      <c r="BN11" t="s">
        <v>1958</v>
      </c>
      <c r="BO11" t="s">
        <v>1959</v>
      </c>
    </row>
    <row r="12" spans="2:67" x14ac:dyDescent="0.2">
      <c r="B12" t="s">
        <v>1788</v>
      </c>
      <c r="C12" t="s">
        <v>1789</v>
      </c>
      <c r="E12" t="s">
        <v>1730</v>
      </c>
      <c r="F12" t="s">
        <v>256</v>
      </c>
      <c r="H12" t="s">
        <v>1960</v>
      </c>
      <c r="I12" t="s">
        <v>1961</v>
      </c>
      <c r="K12" t="s">
        <v>1960</v>
      </c>
      <c r="L12" t="s">
        <v>1961</v>
      </c>
      <c r="N12" t="s">
        <v>1962</v>
      </c>
      <c r="O12" t="s">
        <v>1963</v>
      </c>
      <c r="Q12" t="s">
        <v>1962</v>
      </c>
      <c r="R12" t="s">
        <v>1963</v>
      </c>
      <c r="T12" t="s">
        <v>1964</v>
      </c>
      <c r="U12" t="s">
        <v>1965</v>
      </c>
      <c r="W12" t="s">
        <v>1964</v>
      </c>
      <c r="X12" t="s">
        <v>1965</v>
      </c>
      <c r="Z12" t="s">
        <v>1526</v>
      </c>
      <c r="AA12" t="s">
        <v>1966</v>
      </c>
      <c r="AC12" t="s">
        <v>1921</v>
      </c>
      <c r="AD12" t="s">
        <v>1922</v>
      </c>
      <c r="AF12" t="s">
        <v>1888</v>
      </c>
      <c r="AG12" t="s">
        <v>1967</v>
      </c>
      <c r="AI12" t="s">
        <v>1888</v>
      </c>
      <c r="AJ12" t="s">
        <v>1967</v>
      </c>
      <c r="AL12" t="s">
        <v>1773</v>
      </c>
      <c r="AM12" t="s">
        <v>1968</v>
      </c>
      <c r="AO12" t="s">
        <v>1969</v>
      </c>
      <c r="AP12" t="s">
        <v>1970</v>
      </c>
      <c r="AR12" t="s">
        <v>1969</v>
      </c>
      <c r="AS12" t="s">
        <v>1970</v>
      </c>
      <c r="AU12" t="s">
        <v>1798</v>
      </c>
      <c r="AV12" t="s">
        <v>1799</v>
      </c>
      <c r="AX12" t="s">
        <v>1971</v>
      </c>
      <c r="AY12" t="s">
        <v>1972</v>
      </c>
      <c r="BA12" t="s">
        <v>1973</v>
      </c>
      <c r="BB12" t="s">
        <v>1974</v>
      </c>
      <c r="BD12" t="s">
        <v>1975</v>
      </c>
      <c r="BE12" t="s">
        <v>1976</v>
      </c>
      <c r="BG12" t="s">
        <v>313</v>
      </c>
      <c r="BH12" t="s">
        <v>1977</v>
      </c>
      <c r="BI12" t="s">
        <v>1977</v>
      </c>
      <c r="BK12" t="s">
        <v>1978</v>
      </c>
      <c r="BL12" t="s">
        <v>1979</v>
      </c>
      <c r="BN12" t="s">
        <v>1964</v>
      </c>
      <c r="BO12" t="s">
        <v>1980</v>
      </c>
    </row>
    <row r="13" spans="2:67" x14ac:dyDescent="0.2">
      <c r="B13" t="s">
        <v>1815</v>
      </c>
      <c r="C13" t="s">
        <v>1816</v>
      </c>
      <c r="H13" t="s">
        <v>1981</v>
      </c>
      <c r="I13" t="s">
        <v>1982</v>
      </c>
      <c r="K13" t="s">
        <v>1981</v>
      </c>
      <c r="L13" t="s">
        <v>1982</v>
      </c>
      <c r="N13" t="s">
        <v>1798</v>
      </c>
      <c r="O13" t="s">
        <v>1799</v>
      </c>
      <c r="Q13" t="s">
        <v>1798</v>
      </c>
      <c r="R13" t="s">
        <v>1799</v>
      </c>
      <c r="T13" t="s">
        <v>1983</v>
      </c>
      <c r="U13" t="s">
        <v>1984</v>
      </c>
      <c r="W13" t="s">
        <v>1983</v>
      </c>
      <c r="X13" t="s">
        <v>1984</v>
      </c>
      <c r="Z13" t="s">
        <v>1964</v>
      </c>
      <c r="AA13" t="s">
        <v>1985</v>
      </c>
      <c r="AC13" t="s">
        <v>1964</v>
      </c>
      <c r="AD13" t="s">
        <v>1986</v>
      </c>
      <c r="AF13" t="s">
        <v>1901</v>
      </c>
      <c r="AG13" t="s">
        <v>1902</v>
      </c>
      <c r="AI13" t="s">
        <v>1901</v>
      </c>
      <c r="AJ13" t="s">
        <v>1902</v>
      </c>
      <c r="AL13" t="s">
        <v>205</v>
      </c>
      <c r="AM13" t="s">
        <v>1987</v>
      </c>
      <c r="AO13" t="s">
        <v>1887</v>
      </c>
      <c r="AP13" t="s">
        <v>1768</v>
      </c>
      <c r="AR13" t="s">
        <v>1887</v>
      </c>
      <c r="AS13" t="s">
        <v>1768</v>
      </c>
      <c r="AU13" t="s">
        <v>1949</v>
      </c>
      <c r="AV13" t="s">
        <v>1950</v>
      </c>
      <c r="AX13" t="s">
        <v>1988</v>
      </c>
      <c r="AY13" t="s">
        <v>1982</v>
      </c>
      <c r="BA13" t="s">
        <v>1794</v>
      </c>
      <c r="BB13" t="s">
        <v>1795</v>
      </c>
      <c r="BD13" t="s">
        <v>1971</v>
      </c>
      <c r="BE13" t="s">
        <v>1989</v>
      </c>
      <c r="BG13" t="s">
        <v>205</v>
      </c>
      <c r="BH13" t="s">
        <v>1990</v>
      </c>
      <c r="BI13" t="s">
        <v>1990</v>
      </c>
      <c r="BK13" t="s">
        <v>1991</v>
      </c>
      <c r="BL13" t="s">
        <v>1992</v>
      </c>
      <c r="BN13" t="s">
        <v>1949</v>
      </c>
      <c r="BO13" t="s">
        <v>1993</v>
      </c>
    </row>
    <row r="14" spans="2:67" x14ac:dyDescent="0.2">
      <c r="B14" t="s">
        <v>1994</v>
      </c>
      <c r="C14" t="s">
        <v>1995</v>
      </c>
      <c r="H14" t="s">
        <v>1996</v>
      </c>
      <c r="I14" t="s">
        <v>1997</v>
      </c>
      <c r="K14" t="s">
        <v>1996</v>
      </c>
      <c r="L14" t="s">
        <v>1997</v>
      </c>
      <c r="N14" t="s">
        <v>1998</v>
      </c>
      <c r="O14" t="s">
        <v>1999</v>
      </c>
      <c r="Q14" t="s">
        <v>1998</v>
      </c>
      <c r="R14" t="s">
        <v>1999</v>
      </c>
      <c r="T14" t="s">
        <v>2000</v>
      </c>
      <c r="U14" t="s">
        <v>1985</v>
      </c>
      <c r="W14" t="s">
        <v>2000</v>
      </c>
      <c r="X14" t="s">
        <v>1985</v>
      </c>
      <c r="Z14" t="s">
        <v>2001</v>
      </c>
      <c r="AA14" t="s">
        <v>2002</v>
      </c>
      <c r="AC14" t="s">
        <v>2003</v>
      </c>
      <c r="AD14" t="s">
        <v>2004</v>
      </c>
      <c r="AF14" t="s">
        <v>1765</v>
      </c>
      <c r="AG14" t="s">
        <v>1766</v>
      </c>
      <c r="AI14" t="s">
        <v>1765</v>
      </c>
      <c r="AJ14" t="s">
        <v>1766</v>
      </c>
      <c r="AL14" t="s">
        <v>2005</v>
      </c>
      <c r="AM14" t="s">
        <v>1835</v>
      </c>
      <c r="AO14" t="s">
        <v>1794</v>
      </c>
      <c r="AP14" t="s">
        <v>1795</v>
      </c>
      <c r="AR14" t="s">
        <v>1794</v>
      </c>
      <c r="AS14" t="s">
        <v>1795</v>
      </c>
      <c r="AU14" t="s">
        <v>2006</v>
      </c>
      <c r="AV14" t="s">
        <v>2007</v>
      </c>
      <c r="AX14" t="s">
        <v>2008</v>
      </c>
      <c r="AY14" t="s">
        <v>1997</v>
      </c>
      <c r="BA14" t="s">
        <v>2009</v>
      </c>
      <c r="BB14" t="s">
        <v>2010</v>
      </c>
      <c r="BD14" t="s">
        <v>2011</v>
      </c>
      <c r="BE14" t="s">
        <v>2012</v>
      </c>
      <c r="BG14" t="s">
        <v>2013</v>
      </c>
      <c r="BH14" t="s">
        <v>2014</v>
      </c>
      <c r="BI14" t="s">
        <v>2014</v>
      </c>
      <c r="BK14" t="s">
        <v>1755</v>
      </c>
      <c r="BL14" t="s">
        <v>256</v>
      </c>
      <c r="BN14" t="s">
        <v>1971</v>
      </c>
      <c r="BO14" t="s">
        <v>2015</v>
      </c>
    </row>
    <row r="15" spans="2:67" x14ac:dyDescent="0.2">
      <c r="B15" t="s">
        <v>2016</v>
      </c>
      <c r="C15" t="s">
        <v>2017</v>
      </c>
      <c r="H15" t="s">
        <v>2018</v>
      </c>
      <c r="I15" t="s">
        <v>2019</v>
      </c>
      <c r="K15" t="s">
        <v>2020</v>
      </c>
      <c r="L15" t="s">
        <v>1972</v>
      </c>
      <c r="N15" t="s">
        <v>2021</v>
      </c>
      <c r="O15" t="s">
        <v>2022</v>
      </c>
      <c r="Q15" t="s">
        <v>2021</v>
      </c>
      <c r="R15" t="s">
        <v>2022</v>
      </c>
      <c r="T15" t="s">
        <v>2023</v>
      </c>
      <c r="U15" t="s">
        <v>2010</v>
      </c>
      <c r="W15" t="s">
        <v>2023</v>
      </c>
      <c r="X15" t="s">
        <v>2010</v>
      </c>
      <c r="Z15" t="s">
        <v>2024</v>
      </c>
      <c r="AA15" t="s">
        <v>2025</v>
      </c>
      <c r="AC15" t="s">
        <v>2026</v>
      </c>
      <c r="AD15" t="s">
        <v>2027</v>
      </c>
      <c r="AF15" t="s">
        <v>205</v>
      </c>
      <c r="AG15" t="s">
        <v>2028</v>
      </c>
      <c r="AI15" t="s">
        <v>205</v>
      </c>
      <c r="AJ15" t="s">
        <v>2028</v>
      </c>
      <c r="AL15" t="s">
        <v>222</v>
      </c>
      <c r="AM15" t="s">
        <v>2029</v>
      </c>
      <c r="AO15" t="s">
        <v>1798</v>
      </c>
      <c r="AP15" t="s">
        <v>1799</v>
      </c>
      <c r="AR15" t="s">
        <v>1805</v>
      </c>
      <c r="AS15" t="s">
        <v>2030</v>
      </c>
      <c r="AU15" t="s">
        <v>1988</v>
      </c>
      <c r="AV15" t="s">
        <v>1982</v>
      </c>
      <c r="AX15" t="s">
        <v>1747</v>
      </c>
      <c r="AY15" t="s">
        <v>256</v>
      </c>
      <c r="BA15" t="s">
        <v>2031</v>
      </c>
      <c r="BB15" t="s">
        <v>1911</v>
      </c>
      <c r="BD15" t="s">
        <v>1750</v>
      </c>
      <c r="BE15" t="s">
        <v>256</v>
      </c>
      <c r="BG15" t="s">
        <v>2032</v>
      </c>
      <c r="BH15" t="s">
        <v>2033</v>
      </c>
      <c r="BI15" t="s">
        <v>2033</v>
      </c>
      <c r="BN15" t="s">
        <v>2034</v>
      </c>
      <c r="BO15" t="s">
        <v>1827</v>
      </c>
    </row>
    <row r="16" spans="2:67" x14ac:dyDescent="0.2">
      <c r="B16" t="s">
        <v>2035</v>
      </c>
      <c r="C16" t="s">
        <v>2036</v>
      </c>
      <c r="H16" t="s">
        <v>1949</v>
      </c>
      <c r="I16" t="s">
        <v>2037</v>
      </c>
      <c r="K16" t="s">
        <v>1949</v>
      </c>
      <c r="L16" t="s">
        <v>2038</v>
      </c>
      <c r="N16" t="s">
        <v>2039</v>
      </c>
      <c r="O16" t="s">
        <v>2040</v>
      </c>
      <c r="Q16" t="s">
        <v>2039</v>
      </c>
      <c r="R16" t="s">
        <v>2040</v>
      </c>
      <c r="T16" t="s">
        <v>2041</v>
      </c>
      <c r="U16" t="s">
        <v>1866</v>
      </c>
      <c r="W16" t="s">
        <v>2041</v>
      </c>
      <c r="X16" t="s">
        <v>1866</v>
      </c>
      <c r="Z16" t="s">
        <v>2042</v>
      </c>
      <c r="AA16" t="s">
        <v>1982</v>
      </c>
      <c r="AC16" t="s">
        <v>1765</v>
      </c>
      <c r="AD16" t="s">
        <v>1766</v>
      </c>
      <c r="AF16" t="s">
        <v>1773</v>
      </c>
      <c r="AG16" t="s">
        <v>2043</v>
      </c>
      <c r="AI16" t="s">
        <v>1773</v>
      </c>
      <c r="AJ16" t="s">
        <v>2043</v>
      </c>
      <c r="AL16" t="s">
        <v>2044</v>
      </c>
      <c r="AM16" t="s">
        <v>2045</v>
      </c>
      <c r="AO16" t="s">
        <v>2046</v>
      </c>
      <c r="AP16" t="s">
        <v>2047</v>
      </c>
      <c r="AR16" t="s">
        <v>1798</v>
      </c>
      <c r="AS16" t="s">
        <v>1799</v>
      </c>
      <c r="AU16" t="s">
        <v>1971</v>
      </c>
      <c r="AV16" t="s">
        <v>1972</v>
      </c>
      <c r="BA16" t="s">
        <v>2048</v>
      </c>
      <c r="BB16" t="s">
        <v>2049</v>
      </c>
      <c r="BG16" t="s">
        <v>2050</v>
      </c>
      <c r="BH16" t="s">
        <v>2051</v>
      </c>
      <c r="BI16" t="s">
        <v>2051</v>
      </c>
      <c r="BN16" t="s">
        <v>1988</v>
      </c>
      <c r="BO16" t="s">
        <v>2052</v>
      </c>
    </row>
    <row r="17" spans="2:67" x14ac:dyDescent="0.2">
      <c r="B17" t="s">
        <v>1729</v>
      </c>
      <c r="C17" t="s">
        <v>256</v>
      </c>
      <c r="H17" t="s">
        <v>2053</v>
      </c>
      <c r="I17" t="s">
        <v>689</v>
      </c>
      <c r="K17" t="s">
        <v>2053</v>
      </c>
      <c r="L17" t="s">
        <v>689</v>
      </c>
      <c r="N17" t="s">
        <v>1811</v>
      </c>
      <c r="O17" t="s">
        <v>2054</v>
      </c>
      <c r="Q17" t="s">
        <v>1811</v>
      </c>
      <c r="R17" t="s">
        <v>2054</v>
      </c>
      <c r="T17" t="s">
        <v>2055</v>
      </c>
      <c r="U17" t="s">
        <v>2056</v>
      </c>
      <c r="W17" t="s">
        <v>2055</v>
      </c>
      <c r="X17" t="s">
        <v>2056</v>
      </c>
      <c r="Z17" t="s">
        <v>1738</v>
      </c>
      <c r="AA17" t="s">
        <v>256</v>
      </c>
      <c r="AC17" t="s">
        <v>205</v>
      </c>
      <c r="AD17" t="s">
        <v>1987</v>
      </c>
      <c r="AF17" t="s">
        <v>222</v>
      </c>
      <c r="AG17" t="s">
        <v>2057</v>
      </c>
      <c r="AI17" t="s">
        <v>222</v>
      </c>
      <c r="AJ17" t="s">
        <v>2057</v>
      </c>
      <c r="AL17" t="s">
        <v>1988</v>
      </c>
      <c r="AM17" t="s">
        <v>2058</v>
      </c>
      <c r="AO17" t="s">
        <v>1901</v>
      </c>
      <c r="AP17" t="s">
        <v>1902</v>
      </c>
      <c r="AR17" t="s">
        <v>2046</v>
      </c>
      <c r="AS17" t="s">
        <v>2059</v>
      </c>
      <c r="AU17" t="s">
        <v>1746</v>
      </c>
      <c r="AV17" t="s">
        <v>256</v>
      </c>
      <c r="BA17" t="s">
        <v>2060</v>
      </c>
      <c r="BB17" t="s">
        <v>2061</v>
      </c>
      <c r="BG17" t="s">
        <v>2062</v>
      </c>
      <c r="BH17" t="s">
        <v>2063</v>
      </c>
      <c r="BI17" t="s">
        <v>2063</v>
      </c>
      <c r="BN17" t="s">
        <v>1757</v>
      </c>
      <c r="BO17" t="s">
        <v>256</v>
      </c>
    </row>
    <row r="18" spans="2:67" x14ac:dyDescent="0.2">
      <c r="H18" t="s">
        <v>2064</v>
      </c>
      <c r="I18" t="s">
        <v>2065</v>
      </c>
      <c r="K18" t="s">
        <v>2064</v>
      </c>
      <c r="L18" t="s">
        <v>2065</v>
      </c>
      <c r="N18" t="s">
        <v>1923</v>
      </c>
      <c r="O18" t="s">
        <v>2066</v>
      </c>
      <c r="Q18" t="s">
        <v>1923</v>
      </c>
      <c r="R18" t="s">
        <v>2066</v>
      </c>
      <c r="T18" t="s">
        <v>2067</v>
      </c>
      <c r="U18" t="s">
        <v>1961</v>
      </c>
      <c r="W18" t="s">
        <v>2067</v>
      </c>
      <c r="X18" t="s">
        <v>1961</v>
      </c>
      <c r="AC18" t="s">
        <v>1773</v>
      </c>
      <c r="AD18" t="s">
        <v>1968</v>
      </c>
      <c r="AF18" t="s">
        <v>1946</v>
      </c>
      <c r="AG18" t="s">
        <v>2068</v>
      </c>
      <c r="AI18" t="s">
        <v>1946</v>
      </c>
      <c r="AJ18" t="s">
        <v>2068</v>
      </c>
      <c r="AL18" t="s">
        <v>2069</v>
      </c>
      <c r="AM18" t="s">
        <v>2070</v>
      </c>
      <c r="AO18" t="s">
        <v>1870</v>
      </c>
      <c r="AP18" t="s">
        <v>1871</v>
      </c>
      <c r="AR18" t="s">
        <v>1901</v>
      </c>
      <c r="AS18" t="s">
        <v>2071</v>
      </c>
      <c r="BA18" t="s">
        <v>2072</v>
      </c>
      <c r="BB18" t="s">
        <v>2073</v>
      </c>
      <c r="BG18" t="s">
        <v>1971</v>
      </c>
      <c r="BH18" t="s">
        <v>2074</v>
      </c>
      <c r="BI18" t="s">
        <v>2074</v>
      </c>
    </row>
    <row r="19" spans="2:67" x14ac:dyDescent="0.2">
      <c r="H19" t="s">
        <v>1765</v>
      </c>
      <c r="I19" t="s">
        <v>1829</v>
      </c>
      <c r="K19" t="s">
        <v>1765</v>
      </c>
      <c r="L19" t="s">
        <v>1829</v>
      </c>
      <c r="N19" t="s">
        <v>2075</v>
      </c>
      <c r="O19" t="s">
        <v>1961</v>
      </c>
      <c r="Q19" t="s">
        <v>2075</v>
      </c>
      <c r="R19" t="s">
        <v>1961</v>
      </c>
      <c r="T19" t="s">
        <v>2042</v>
      </c>
      <c r="U19" t="s">
        <v>1982</v>
      </c>
      <c r="W19" t="s">
        <v>2042</v>
      </c>
      <c r="X19" t="s">
        <v>1982</v>
      </c>
      <c r="AC19" t="s">
        <v>222</v>
      </c>
      <c r="AD19" t="s">
        <v>2029</v>
      </c>
      <c r="AF19" t="s">
        <v>2076</v>
      </c>
      <c r="AG19" t="s">
        <v>2077</v>
      </c>
      <c r="AI19" t="s">
        <v>2076</v>
      </c>
      <c r="AJ19" t="s">
        <v>2077</v>
      </c>
      <c r="AL19" t="s">
        <v>2001</v>
      </c>
      <c r="AM19" t="s">
        <v>2078</v>
      </c>
      <c r="AO19" t="s">
        <v>1888</v>
      </c>
      <c r="AP19" t="s">
        <v>2079</v>
      </c>
      <c r="AR19" t="s">
        <v>1870</v>
      </c>
      <c r="AS19" t="s">
        <v>1871</v>
      </c>
      <c r="BA19" t="s">
        <v>2080</v>
      </c>
      <c r="BB19" t="s">
        <v>1804</v>
      </c>
      <c r="BG19" t="s">
        <v>2081</v>
      </c>
      <c r="BH19" t="s">
        <v>2082</v>
      </c>
      <c r="BI19" t="s">
        <v>2082</v>
      </c>
    </row>
    <row r="20" spans="2:67" x14ac:dyDescent="0.2">
      <c r="H20" t="s">
        <v>1731</v>
      </c>
      <c r="I20" t="s">
        <v>256</v>
      </c>
      <c r="K20" t="s">
        <v>1732</v>
      </c>
      <c r="L20" t="s">
        <v>256</v>
      </c>
      <c r="N20" t="s">
        <v>2083</v>
      </c>
      <c r="O20" t="s">
        <v>1982</v>
      </c>
      <c r="Q20" t="s">
        <v>2083</v>
      </c>
      <c r="R20" t="s">
        <v>1982</v>
      </c>
      <c r="T20" t="s">
        <v>2008</v>
      </c>
      <c r="U20" t="s">
        <v>1997</v>
      </c>
      <c r="W20" t="s">
        <v>2008</v>
      </c>
      <c r="X20" t="s">
        <v>1997</v>
      </c>
      <c r="AC20" t="s">
        <v>1821</v>
      </c>
      <c r="AD20" t="s">
        <v>1835</v>
      </c>
      <c r="AF20" t="s">
        <v>2084</v>
      </c>
      <c r="AG20" t="s">
        <v>2085</v>
      </c>
      <c r="AI20" t="s">
        <v>2084</v>
      </c>
      <c r="AJ20" t="s">
        <v>2085</v>
      </c>
      <c r="AL20" t="s">
        <v>1743</v>
      </c>
      <c r="AM20" t="s">
        <v>256</v>
      </c>
      <c r="AO20" t="s">
        <v>1964</v>
      </c>
      <c r="AP20" t="s">
        <v>2086</v>
      </c>
      <c r="AR20" t="s">
        <v>1888</v>
      </c>
      <c r="AS20" t="s">
        <v>2079</v>
      </c>
      <c r="BA20" t="s">
        <v>1949</v>
      </c>
      <c r="BB20" t="s">
        <v>2087</v>
      </c>
      <c r="BG20" t="s">
        <v>2088</v>
      </c>
      <c r="BH20" t="s">
        <v>2089</v>
      </c>
      <c r="BI20" t="s">
        <v>2089</v>
      </c>
    </row>
    <row r="21" spans="2:67" x14ac:dyDescent="0.2">
      <c r="N21" t="s">
        <v>1996</v>
      </c>
      <c r="O21" t="s">
        <v>1997</v>
      </c>
      <c r="Q21" t="s">
        <v>1996</v>
      </c>
      <c r="R21" t="s">
        <v>1997</v>
      </c>
      <c r="T21" t="s">
        <v>2090</v>
      </c>
      <c r="U21" t="s">
        <v>1785</v>
      </c>
      <c r="W21" t="s">
        <v>2090</v>
      </c>
      <c r="X21" t="s">
        <v>1785</v>
      </c>
      <c r="AC21" t="s">
        <v>1072</v>
      </c>
      <c r="AD21" t="s">
        <v>2091</v>
      </c>
      <c r="AF21" t="s">
        <v>2092</v>
      </c>
      <c r="AG21" t="s">
        <v>2093</v>
      </c>
      <c r="AI21" t="s">
        <v>2092</v>
      </c>
      <c r="AJ21" t="s">
        <v>2093</v>
      </c>
      <c r="AO21" t="s">
        <v>1921</v>
      </c>
      <c r="AP21" t="s">
        <v>2094</v>
      </c>
      <c r="AR21" t="s">
        <v>1964</v>
      </c>
      <c r="AS21" t="s">
        <v>2086</v>
      </c>
      <c r="BA21" t="s">
        <v>1971</v>
      </c>
      <c r="BB21" t="s">
        <v>1972</v>
      </c>
      <c r="BG21" t="s">
        <v>2095</v>
      </c>
      <c r="BH21" t="s">
        <v>2096</v>
      </c>
      <c r="BI21" t="s">
        <v>2096</v>
      </c>
    </row>
    <row r="22" spans="2:67" x14ac:dyDescent="0.2">
      <c r="N22" t="s">
        <v>2018</v>
      </c>
      <c r="O22" t="s">
        <v>2019</v>
      </c>
      <c r="Q22" t="s">
        <v>2020</v>
      </c>
      <c r="R22" t="s">
        <v>1972</v>
      </c>
      <c r="T22" t="s">
        <v>1765</v>
      </c>
      <c r="U22" t="s">
        <v>1829</v>
      </c>
      <c r="W22" t="s">
        <v>1765</v>
      </c>
      <c r="X22" t="s">
        <v>1829</v>
      </c>
      <c r="AC22" t="s">
        <v>1908</v>
      </c>
      <c r="AD22" t="s">
        <v>2093</v>
      </c>
      <c r="AF22" t="s">
        <v>2097</v>
      </c>
      <c r="AG22" t="s">
        <v>2091</v>
      </c>
      <c r="AI22" t="s">
        <v>2097</v>
      </c>
      <c r="AJ22" t="s">
        <v>2091</v>
      </c>
      <c r="AO22" t="s">
        <v>2098</v>
      </c>
      <c r="AP22" t="s">
        <v>2099</v>
      </c>
      <c r="AR22" t="s">
        <v>1921</v>
      </c>
      <c r="AS22" t="s">
        <v>2094</v>
      </c>
      <c r="BA22" t="s">
        <v>2100</v>
      </c>
      <c r="BB22" t="s">
        <v>2101</v>
      </c>
      <c r="BG22" t="s">
        <v>2102</v>
      </c>
      <c r="BH22" t="s">
        <v>2103</v>
      </c>
      <c r="BI22" t="s">
        <v>2103</v>
      </c>
    </row>
    <row r="23" spans="2:67" x14ac:dyDescent="0.2">
      <c r="N23" t="s">
        <v>1949</v>
      </c>
      <c r="O23" t="s">
        <v>2037</v>
      </c>
      <c r="Q23" t="s">
        <v>1949</v>
      </c>
      <c r="R23" t="s">
        <v>2038</v>
      </c>
      <c r="T23" t="s">
        <v>1971</v>
      </c>
      <c r="U23" t="s">
        <v>2104</v>
      </c>
      <c r="W23" t="s">
        <v>1971</v>
      </c>
      <c r="X23" t="s">
        <v>2105</v>
      </c>
      <c r="AC23" t="s">
        <v>1865</v>
      </c>
      <c r="AD23" t="s">
        <v>2068</v>
      </c>
      <c r="AF23" t="s">
        <v>1921</v>
      </c>
      <c r="AG23" t="s">
        <v>2094</v>
      </c>
      <c r="AI23" t="s">
        <v>1921</v>
      </c>
      <c r="AJ23" t="s">
        <v>2094</v>
      </c>
      <c r="AO23" t="s">
        <v>1775</v>
      </c>
      <c r="AP23" t="s">
        <v>2106</v>
      </c>
      <c r="AR23" t="s">
        <v>2098</v>
      </c>
      <c r="AS23" t="s">
        <v>2107</v>
      </c>
      <c r="BA23" t="s">
        <v>1921</v>
      </c>
      <c r="BB23" t="s">
        <v>2094</v>
      </c>
      <c r="BG23" t="s">
        <v>1988</v>
      </c>
      <c r="BH23" t="s">
        <v>2108</v>
      </c>
      <c r="BI23" t="s">
        <v>2108</v>
      </c>
    </row>
    <row r="24" spans="2:67" x14ac:dyDescent="0.2">
      <c r="N24" t="s">
        <v>2053</v>
      </c>
      <c r="O24" t="s">
        <v>689</v>
      </c>
      <c r="Q24" t="s">
        <v>2053</v>
      </c>
      <c r="R24" t="s">
        <v>689</v>
      </c>
      <c r="T24" t="s">
        <v>2109</v>
      </c>
      <c r="U24" t="s">
        <v>2110</v>
      </c>
      <c r="W24" t="s">
        <v>2109</v>
      </c>
      <c r="X24" t="s">
        <v>2111</v>
      </c>
      <c r="AC24" t="s">
        <v>2076</v>
      </c>
      <c r="AD24" t="s">
        <v>2112</v>
      </c>
      <c r="AF24" t="s">
        <v>2113</v>
      </c>
      <c r="AG24" t="s">
        <v>2114</v>
      </c>
      <c r="AI24" t="s">
        <v>2113</v>
      </c>
      <c r="AJ24" t="s">
        <v>2114</v>
      </c>
      <c r="AO24" t="s">
        <v>1981</v>
      </c>
      <c r="AP24" t="s">
        <v>2115</v>
      </c>
      <c r="AR24" t="s">
        <v>1775</v>
      </c>
      <c r="AS24" t="s">
        <v>2106</v>
      </c>
      <c r="BA24" t="s">
        <v>1771</v>
      </c>
      <c r="BB24" t="s">
        <v>2116</v>
      </c>
      <c r="BG24" t="s">
        <v>1752</v>
      </c>
      <c r="BH24" t="s">
        <v>256</v>
      </c>
      <c r="BI24" t="s">
        <v>256</v>
      </c>
    </row>
    <row r="25" spans="2:67" x14ac:dyDescent="0.2">
      <c r="N25" t="s">
        <v>2064</v>
      </c>
      <c r="O25" t="s">
        <v>2065</v>
      </c>
      <c r="Q25" t="s">
        <v>2064</v>
      </c>
      <c r="R25" t="s">
        <v>2065</v>
      </c>
      <c r="T25" t="s">
        <v>2117</v>
      </c>
      <c r="U25" t="s">
        <v>2118</v>
      </c>
      <c r="W25" t="s">
        <v>2117</v>
      </c>
      <c r="X25" t="s">
        <v>2118</v>
      </c>
      <c r="AC25" t="s">
        <v>2119</v>
      </c>
      <c r="AD25" t="s">
        <v>2120</v>
      </c>
      <c r="AF25" t="s">
        <v>1988</v>
      </c>
      <c r="AG25" t="s">
        <v>2058</v>
      </c>
      <c r="AI25" t="s">
        <v>1988</v>
      </c>
      <c r="AJ25" t="s">
        <v>2121</v>
      </c>
      <c r="AO25" t="s">
        <v>2122</v>
      </c>
      <c r="AP25" t="s">
        <v>2123</v>
      </c>
      <c r="AR25" t="s">
        <v>1981</v>
      </c>
      <c r="AS25" t="s">
        <v>2115</v>
      </c>
      <c r="BA25" t="s">
        <v>2124</v>
      </c>
      <c r="BB25" t="s">
        <v>1980</v>
      </c>
      <c r="BG25" t="s">
        <v>1753</v>
      </c>
      <c r="BH25" t="s">
        <v>256</v>
      </c>
      <c r="BI25" t="s">
        <v>256</v>
      </c>
    </row>
    <row r="26" spans="2:67" x14ac:dyDescent="0.2">
      <c r="N26" t="s">
        <v>1784</v>
      </c>
      <c r="O26" t="s">
        <v>1829</v>
      </c>
      <c r="Q26" t="s">
        <v>1784</v>
      </c>
      <c r="R26" t="s">
        <v>1829</v>
      </c>
      <c r="T26" t="s">
        <v>2125</v>
      </c>
      <c r="U26" t="s">
        <v>2126</v>
      </c>
      <c r="W26" t="s">
        <v>2125</v>
      </c>
      <c r="X26" t="s">
        <v>2126</v>
      </c>
      <c r="AC26" t="s">
        <v>2127</v>
      </c>
      <c r="AD26" t="s">
        <v>2045</v>
      </c>
      <c r="AF26" t="s">
        <v>2128</v>
      </c>
      <c r="AG26" t="s">
        <v>1961</v>
      </c>
      <c r="AI26" t="s">
        <v>2128</v>
      </c>
      <c r="AJ26" t="s">
        <v>1961</v>
      </c>
      <c r="AO26" t="s">
        <v>2008</v>
      </c>
      <c r="AP26" t="s">
        <v>1997</v>
      </c>
      <c r="AR26" t="s">
        <v>2122</v>
      </c>
      <c r="AS26" t="s">
        <v>2123</v>
      </c>
      <c r="BA26" t="s">
        <v>2129</v>
      </c>
      <c r="BB26" t="s">
        <v>2130</v>
      </c>
    </row>
    <row r="27" spans="2:67" x14ac:dyDescent="0.2">
      <c r="N27" t="s">
        <v>2131</v>
      </c>
      <c r="O27" t="s">
        <v>2132</v>
      </c>
      <c r="Q27" t="s">
        <v>2131</v>
      </c>
      <c r="R27" t="s">
        <v>2132</v>
      </c>
      <c r="T27" t="s">
        <v>2133</v>
      </c>
      <c r="U27" t="s">
        <v>2134</v>
      </c>
      <c r="W27" t="s">
        <v>2133</v>
      </c>
      <c r="X27" t="s">
        <v>2134</v>
      </c>
      <c r="AC27" t="s">
        <v>2135</v>
      </c>
      <c r="AD27" t="s">
        <v>2136</v>
      </c>
      <c r="AF27" t="s">
        <v>2008</v>
      </c>
      <c r="AG27" t="s">
        <v>1997</v>
      </c>
      <c r="AI27" t="s">
        <v>2008</v>
      </c>
      <c r="AJ27" t="s">
        <v>1997</v>
      </c>
      <c r="AO27" t="s">
        <v>2137</v>
      </c>
      <c r="AP27" t="s">
        <v>2138</v>
      </c>
      <c r="AR27" t="s">
        <v>2008</v>
      </c>
      <c r="AS27" t="s">
        <v>1997</v>
      </c>
      <c r="BA27" t="s">
        <v>1988</v>
      </c>
      <c r="BB27" t="s">
        <v>1982</v>
      </c>
    </row>
    <row r="28" spans="2:67" x14ac:dyDescent="0.2">
      <c r="N28" t="s">
        <v>2055</v>
      </c>
      <c r="O28" t="s">
        <v>2056</v>
      </c>
      <c r="Q28" t="s">
        <v>2055</v>
      </c>
      <c r="R28" t="s">
        <v>2056</v>
      </c>
      <c r="T28" t="s">
        <v>2139</v>
      </c>
      <c r="U28" t="s">
        <v>2140</v>
      </c>
      <c r="W28" t="s">
        <v>2141</v>
      </c>
      <c r="X28" t="s">
        <v>2140</v>
      </c>
      <c r="AC28" t="s">
        <v>2142</v>
      </c>
      <c r="AD28" t="s">
        <v>2114</v>
      </c>
      <c r="AF28" t="s">
        <v>2137</v>
      </c>
      <c r="AG28" t="s">
        <v>2118</v>
      </c>
      <c r="AI28" t="s">
        <v>2137</v>
      </c>
      <c r="AJ28" t="s">
        <v>2118</v>
      </c>
      <c r="AO28" t="s">
        <v>2143</v>
      </c>
      <c r="AP28" t="s">
        <v>1972</v>
      </c>
      <c r="AR28" t="s">
        <v>2137</v>
      </c>
      <c r="AS28" t="s">
        <v>2138</v>
      </c>
      <c r="BA28" t="s">
        <v>2144</v>
      </c>
      <c r="BB28" t="s">
        <v>1961</v>
      </c>
    </row>
    <row r="29" spans="2:67" x14ac:dyDescent="0.2">
      <c r="N29" t="s">
        <v>1527</v>
      </c>
      <c r="O29" t="s">
        <v>1776</v>
      </c>
      <c r="Q29" t="s">
        <v>1527</v>
      </c>
      <c r="R29" t="s">
        <v>1776</v>
      </c>
      <c r="T29" t="s">
        <v>1735</v>
      </c>
      <c r="U29" t="s">
        <v>256</v>
      </c>
      <c r="W29" t="s">
        <v>1736</v>
      </c>
      <c r="X29" t="s">
        <v>256</v>
      </c>
      <c r="AC29" t="s">
        <v>1988</v>
      </c>
      <c r="AD29" t="s">
        <v>2058</v>
      </c>
      <c r="AF29" t="s">
        <v>2133</v>
      </c>
      <c r="AG29" t="s">
        <v>2134</v>
      </c>
      <c r="AI29" t="s">
        <v>2133</v>
      </c>
      <c r="AJ29" t="s">
        <v>2134</v>
      </c>
      <c r="AO29" t="s">
        <v>1811</v>
      </c>
      <c r="AP29" t="s">
        <v>2145</v>
      </c>
      <c r="AR29" t="s">
        <v>2143</v>
      </c>
      <c r="AS29" t="s">
        <v>1972</v>
      </c>
      <c r="BA29" t="s">
        <v>2146</v>
      </c>
      <c r="BB29" t="s">
        <v>1997</v>
      </c>
    </row>
    <row r="30" spans="2:67" x14ac:dyDescent="0.2">
      <c r="N30" t="s">
        <v>1733</v>
      </c>
      <c r="O30" t="s">
        <v>256</v>
      </c>
      <c r="Q30" t="s">
        <v>1734</v>
      </c>
      <c r="R30" t="s">
        <v>256</v>
      </c>
      <c r="AC30" t="s">
        <v>2147</v>
      </c>
      <c r="AD30" t="s">
        <v>1961</v>
      </c>
      <c r="AF30" t="s">
        <v>2141</v>
      </c>
      <c r="AG30" t="s">
        <v>2140</v>
      </c>
      <c r="AI30" t="s">
        <v>2141</v>
      </c>
      <c r="AJ30" t="s">
        <v>2140</v>
      </c>
      <c r="AO30" t="s">
        <v>1744</v>
      </c>
      <c r="AP30" t="s">
        <v>256</v>
      </c>
      <c r="AR30" t="s">
        <v>1811</v>
      </c>
      <c r="AS30" t="s">
        <v>2145</v>
      </c>
      <c r="BA30" t="s">
        <v>2148</v>
      </c>
      <c r="BB30" t="s">
        <v>2149</v>
      </c>
    </row>
    <row r="31" spans="2:67" x14ac:dyDescent="0.2">
      <c r="AC31" t="s">
        <v>2150</v>
      </c>
      <c r="AD31" t="s">
        <v>1997</v>
      </c>
      <c r="AF31" t="s">
        <v>2151</v>
      </c>
      <c r="AG31" t="s">
        <v>2152</v>
      </c>
      <c r="AI31" t="s">
        <v>2151</v>
      </c>
      <c r="AJ31" t="s">
        <v>2152</v>
      </c>
      <c r="AR31" t="s">
        <v>1745</v>
      </c>
      <c r="AS31" t="s">
        <v>256</v>
      </c>
      <c r="BA31" t="s">
        <v>2144</v>
      </c>
      <c r="BB31" t="s">
        <v>1961</v>
      </c>
    </row>
    <row r="32" spans="2:67" x14ac:dyDescent="0.2">
      <c r="AC32" t="s">
        <v>1949</v>
      </c>
      <c r="AD32" t="s">
        <v>2118</v>
      </c>
      <c r="AF32" t="s">
        <v>2153</v>
      </c>
      <c r="AG32" t="s">
        <v>2154</v>
      </c>
      <c r="AI32" t="s">
        <v>2153</v>
      </c>
      <c r="AJ32" t="s">
        <v>2154</v>
      </c>
      <c r="BA32" t="s">
        <v>2155</v>
      </c>
      <c r="BB32" t="s">
        <v>2156</v>
      </c>
    </row>
    <row r="33" spans="29:54" x14ac:dyDescent="0.2">
      <c r="AC33" t="s">
        <v>2133</v>
      </c>
      <c r="AD33" t="s">
        <v>2134</v>
      </c>
      <c r="AF33" t="s">
        <v>2157</v>
      </c>
      <c r="AG33" t="s">
        <v>2158</v>
      </c>
      <c r="AI33" t="s">
        <v>2157</v>
      </c>
      <c r="AJ33" t="s">
        <v>2158</v>
      </c>
      <c r="BA33" t="s">
        <v>1775</v>
      </c>
      <c r="BB33" t="s">
        <v>1776</v>
      </c>
    </row>
    <row r="34" spans="29:54" x14ac:dyDescent="0.2">
      <c r="AC34" t="s">
        <v>2141</v>
      </c>
      <c r="AD34" t="s">
        <v>2140</v>
      </c>
      <c r="AF34" t="s">
        <v>2159</v>
      </c>
      <c r="AG34" t="s">
        <v>2160</v>
      </c>
      <c r="AI34" t="s">
        <v>2159</v>
      </c>
      <c r="AJ34" t="s">
        <v>2160</v>
      </c>
      <c r="BA34" t="s">
        <v>1748</v>
      </c>
      <c r="BB34" t="s">
        <v>256</v>
      </c>
    </row>
    <row r="35" spans="29:54" x14ac:dyDescent="0.2">
      <c r="AC35" t="s">
        <v>2151</v>
      </c>
      <c r="AD35" t="s">
        <v>2152</v>
      </c>
      <c r="AF35" t="s">
        <v>2161</v>
      </c>
      <c r="AG35" t="s">
        <v>2162</v>
      </c>
      <c r="AI35" t="s">
        <v>2161</v>
      </c>
      <c r="AJ35" t="s">
        <v>2162</v>
      </c>
    </row>
    <row r="36" spans="29:54" x14ac:dyDescent="0.2">
      <c r="AC36" t="s">
        <v>2153</v>
      </c>
      <c r="AD36" t="s">
        <v>2154</v>
      </c>
      <c r="AF36" t="s">
        <v>2163</v>
      </c>
      <c r="AG36" t="s">
        <v>2164</v>
      </c>
      <c r="AI36" t="s">
        <v>2163</v>
      </c>
      <c r="AJ36" t="s">
        <v>817</v>
      </c>
    </row>
    <row r="37" spans="29:54" x14ac:dyDescent="0.2">
      <c r="AC37" t="s">
        <v>2157</v>
      </c>
      <c r="AD37" t="s">
        <v>2158</v>
      </c>
      <c r="AF37" t="s">
        <v>1971</v>
      </c>
      <c r="AG37" t="s">
        <v>2165</v>
      </c>
      <c r="AI37" t="s">
        <v>1971</v>
      </c>
      <c r="AJ37" t="s">
        <v>2166</v>
      </c>
    </row>
    <row r="38" spans="29:54" x14ac:dyDescent="0.2">
      <c r="AC38" t="s">
        <v>2159</v>
      </c>
      <c r="AD38" t="s">
        <v>2160</v>
      </c>
      <c r="AF38" t="s">
        <v>1526</v>
      </c>
      <c r="AI38" t="s">
        <v>1526</v>
      </c>
    </row>
    <row r="39" spans="29:54" x14ac:dyDescent="0.2">
      <c r="AC39" t="s">
        <v>2161</v>
      </c>
      <c r="AD39" t="s">
        <v>2162</v>
      </c>
      <c r="AF39" t="s">
        <v>1740</v>
      </c>
      <c r="AG39" t="s">
        <v>256</v>
      </c>
      <c r="AI39" t="s">
        <v>1741</v>
      </c>
      <c r="AJ39" t="s">
        <v>256</v>
      </c>
    </row>
    <row r="40" spans="29:54" x14ac:dyDescent="0.2">
      <c r="AC40" t="s">
        <v>2163</v>
      </c>
      <c r="AD40" t="s">
        <v>817</v>
      </c>
    </row>
    <row r="41" spans="29:54" x14ac:dyDescent="0.2">
      <c r="AC41" t="s">
        <v>1971</v>
      </c>
      <c r="AD41" t="s">
        <v>2165</v>
      </c>
    </row>
    <row r="42" spans="29:54" x14ac:dyDescent="0.2">
      <c r="AC42" t="s">
        <v>2167</v>
      </c>
      <c r="AD42" t="s">
        <v>2168</v>
      </c>
    </row>
    <row r="43" spans="29:54" x14ac:dyDescent="0.2">
      <c r="AC43" t="s">
        <v>1526</v>
      </c>
      <c r="AD43" t="s">
        <v>1553</v>
      </c>
    </row>
    <row r="44" spans="29:54" x14ac:dyDescent="0.2">
      <c r="AC44" t="s">
        <v>1739</v>
      </c>
      <c r="AD44" t="s">
        <v>256</v>
      </c>
    </row>
    <row r="60" spans="2:3" x14ac:dyDescent="0.2">
      <c r="B60" t="s">
        <v>11232</v>
      </c>
      <c r="C60" t="s">
        <v>11233</v>
      </c>
    </row>
    <row r="61" spans="2:3" x14ac:dyDescent="0.2">
      <c r="B61" t="s">
        <v>222</v>
      </c>
      <c r="C61" t="s">
        <v>7372</v>
      </c>
    </row>
    <row r="62" spans="2:3" x14ac:dyDescent="0.2">
      <c r="B62" t="s">
        <v>1805</v>
      </c>
      <c r="C62" t="s">
        <v>11240</v>
      </c>
    </row>
    <row r="63" spans="2:3" x14ac:dyDescent="0.2">
      <c r="B63" t="s">
        <v>162</v>
      </c>
      <c r="C63" t="s">
        <v>11238</v>
      </c>
    </row>
    <row r="64" spans="2:3" x14ac:dyDescent="0.2">
      <c r="B64" t="s">
        <v>11241</v>
      </c>
      <c r="C64" t="s">
        <v>11242</v>
      </c>
    </row>
    <row r="65" spans="2:3" x14ac:dyDescent="0.2">
      <c r="B65" t="s">
        <v>8407</v>
      </c>
      <c r="C65" t="s">
        <v>1538</v>
      </c>
    </row>
    <row r="66" spans="2:3" x14ac:dyDescent="0.2">
      <c r="B66" t="s">
        <v>11239</v>
      </c>
      <c r="C66" t="s">
        <v>1411</v>
      </c>
    </row>
    <row r="67" spans="2:3" x14ac:dyDescent="0.2">
      <c r="B67" t="s">
        <v>11250</v>
      </c>
      <c r="C67" t="s">
        <v>8775</v>
      </c>
    </row>
    <row r="68" spans="2:3" x14ac:dyDescent="0.2">
      <c r="B68" t="s">
        <v>1908</v>
      </c>
      <c r="C68" t="s">
        <v>11251</v>
      </c>
    </row>
    <row r="69" spans="2:3" x14ac:dyDescent="0.2">
      <c r="B69" t="s">
        <v>1988</v>
      </c>
      <c r="C69" t="s">
        <v>11252</v>
      </c>
    </row>
    <row r="70" spans="2:3" x14ac:dyDescent="0.2">
      <c r="B70" t="s">
        <v>11253</v>
      </c>
      <c r="C70" t="s">
        <v>11254</v>
      </c>
    </row>
    <row r="71" spans="2:3" x14ac:dyDescent="0.2">
      <c r="B71" t="s">
        <v>11255</v>
      </c>
      <c r="C71" t="s">
        <v>7360</v>
      </c>
    </row>
    <row r="72" spans="2:3" x14ac:dyDescent="0.2">
      <c r="B72" t="s">
        <v>11256</v>
      </c>
      <c r="C72" t="s">
        <v>2082</v>
      </c>
    </row>
    <row r="73" spans="2:3" x14ac:dyDescent="0.2">
      <c r="B73" t="s">
        <v>11257</v>
      </c>
      <c r="C73" t="s">
        <v>11258</v>
      </c>
    </row>
    <row r="74" spans="2:3" x14ac:dyDescent="0.2">
      <c r="B74" t="s">
        <v>11259</v>
      </c>
      <c r="C74" t="s">
        <v>10478</v>
      </c>
    </row>
    <row r="75" spans="2:3" x14ac:dyDescent="0.2">
      <c r="B75" t="s">
        <v>579</v>
      </c>
      <c r="C75" t="s">
        <v>11260</v>
      </c>
    </row>
    <row r="76" spans="2:3" x14ac:dyDescent="0.2">
      <c r="B76" t="s">
        <v>1556</v>
      </c>
      <c r="C76" t="s">
        <v>11261</v>
      </c>
    </row>
    <row r="77" spans="2:3" x14ac:dyDescent="0.2">
      <c r="B77" t="s">
        <v>11272</v>
      </c>
      <c r="C77" t="s">
        <v>10974</v>
      </c>
    </row>
    <row r="78" spans="2:3" x14ac:dyDescent="0.2">
      <c r="B78" t="s">
        <v>11273</v>
      </c>
      <c r="C78" t="s">
        <v>10974</v>
      </c>
    </row>
    <row r="79" spans="2:3" x14ac:dyDescent="0.2">
      <c r="B79" t="s">
        <v>11264</v>
      </c>
      <c r="C79" t="s">
        <v>11265</v>
      </c>
    </row>
    <row r="80" spans="2:3" x14ac:dyDescent="0.2">
      <c r="B80" t="s">
        <v>8988</v>
      </c>
      <c r="C80" t="s">
        <v>8987</v>
      </c>
    </row>
    <row r="81" spans="2:3" x14ac:dyDescent="0.2">
      <c r="B81" t="s">
        <v>11266</v>
      </c>
      <c r="C81" t="s">
        <v>9656</v>
      </c>
    </row>
    <row r="82" spans="2:3" x14ac:dyDescent="0.2">
      <c r="B82" t="s">
        <v>11274</v>
      </c>
      <c r="C82" t="s">
        <v>11275</v>
      </c>
    </row>
    <row r="83" spans="2:3" x14ac:dyDescent="0.2">
      <c r="B83" t="s">
        <v>267</v>
      </c>
      <c r="C83" t="s">
        <v>1691</v>
      </c>
    </row>
    <row r="84" spans="2:3" x14ac:dyDescent="0.2">
      <c r="B84" t="s">
        <v>1605</v>
      </c>
      <c r="C84" t="s">
        <v>8316</v>
      </c>
    </row>
    <row r="85" spans="2:3" x14ac:dyDescent="0.2">
      <c r="B85" t="s">
        <v>11235</v>
      </c>
      <c r="C85" t="s">
        <v>299</v>
      </c>
    </row>
    <row r="86" spans="2:3" x14ac:dyDescent="0.2">
      <c r="B86" t="s">
        <v>11234</v>
      </c>
      <c r="C86" t="s">
        <v>4656</v>
      </c>
    </row>
    <row r="87" spans="2:3" x14ac:dyDescent="0.2">
      <c r="B87" t="s">
        <v>11236</v>
      </c>
      <c r="C87" t="s">
        <v>11237</v>
      </c>
    </row>
    <row r="88" spans="2:3" x14ac:dyDescent="0.2">
      <c r="B88" t="s">
        <v>11243</v>
      </c>
      <c r="C88" t="s">
        <v>11244</v>
      </c>
    </row>
    <row r="89" spans="2:3" x14ac:dyDescent="0.2">
      <c r="B89" t="s">
        <v>11245</v>
      </c>
      <c r="C89" t="s">
        <v>11247</v>
      </c>
    </row>
    <row r="90" spans="2:3" x14ac:dyDescent="0.2">
      <c r="B90" t="s">
        <v>11246</v>
      </c>
      <c r="C90" t="s">
        <v>11248</v>
      </c>
    </row>
    <row r="91" spans="2:3" x14ac:dyDescent="0.2">
      <c r="B91" t="s">
        <v>11249</v>
      </c>
      <c r="C91" t="s">
        <v>11064</v>
      </c>
    </row>
    <row r="92" spans="2:3" x14ac:dyDescent="0.2">
      <c r="B92" t="s">
        <v>11262</v>
      </c>
      <c r="C92" t="s">
        <v>11263</v>
      </c>
    </row>
    <row r="93" spans="2:3" x14ac:dyDescent="0.2">
      <c r="B93" t="s">
        <v>11267</v>
      </c>
      <c r="C93" t="s">
        <v>3743</v>
      </c>
    </row>
    <row r="94" spans="2:3" x14ac:dyDescent="0.2">
      <c r="B94" t="s">
        <v>11268</v>
      </c>
      <c r="C94" t="s">
        <v>11269</v>
      </c>
    </row>
    <row r="95" spans="2:3" x14ac:dyDescent="0.2">
      <c r="B95" t="s">
        <v>11271</v>
      </c>
      <c r="C95" t="s">
        <v>6564</v>
      </c>
    </row>
    <row r="96" spans="2:3" x14ac:dyDescent="0.2">
      <c r="B96" t="s">
        <v>11270</v>
      </c>
      <c r="C96" t="s">
        <v>3651</v>
      </c>
    </row>
    <row r="97" spans="2:3" x14ac:dyDescent="0.2">
      <c r="B97" t="s">
        <v>11233</v>
      </c>
      <c r="C97" t="s">
        <v>256</v>
      </c>
    </row>
  </sheetData>
  <pageMargins left="0.7" right="0.7" top="0.75" bottom="0.75" header="0.3" footer="0.3"/>
  <tableParts count="2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9F61-E652-483D-81FA-AF57C5E19F61}">
  <sheetPr codeName="Hoja11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83E43-2FFD-40F2-9827-CF93EB693D06}">
  <sheetPr codeName="Hoja12"/>
  <dimension ref="B2:D43"/>
  <sheetViews>
    <sheetView workbookViewId="0">
      <selection activeCell="H30" sqref="H30"/>
    </sheetView>
  </sheetViews>
  <sheetFormatPr baseColWidth="10" defaultRowHeight="15" x14ac:dyDescent="0.2"/>
  <cols>
    <col min="2" max="2" width="37.1640625" bestFit="1" customWidth="1"/>
    <col min="3" max="4" width="20" customWidth="1"/>
  </cols>
  <sheetData>
    <row r="2" spans="2:4" x14ac:dyDescent="0.2">
      <c r="B2" t="s">
        <v>2202</v>
      </c>
      <c r="C2" t="s">
        <v>1335</v>
      </c>
      <c r="D2" t="s">
        <v>1336</v>
      </c>
    </row>
    <row r="3" spans="2:4" x14ac:dyDescent="0.2">
      <c r="B3" t="s">
        <v>1337</v>
      </c>
      <c r="C3" t="s">
        <v>1338</v>
      </c>
      <c r="D3" t="s">
        <v>1338</v>
      </c>
    </row>
    <row r="4" spans="2:4" x14ac:dyDescent="0.2">
      <c r="B4" t="s">
        <v>1339</v>
      </c>
      <c r="C4" t="s">
        <v>1340</v>
      </c>
      <c r="D4" t="s">
        <v>1340</v>
      </c>
    </row>
    <row r="5" spans="2:4" x14ac:dyDescent="0.2">
      <c r="B5" t="s">
        <v>409</v>
      </c>
      <c r="C5" t="s">
        <v>1341</v>
      </c>
      <c r="D5" t="s">
        <v>1341</v>
      </c>
    </row>
    <row r="6" spans="2:4" x14ac:dyDescent="0.2">
      <c r="B6" t="s">
        <v>1342</v>
      </c>
      <c r="C6" t="s">
        <v>1343</v>
      </c>
      <c r="D6" t="s">
        <v>1343</v>
      </c>
    </row>
    <row r="7" spans="2:4" x14ac:dyDescent="0.2">
      <c r="B7" t="s">
        <v>1344</v>
      </c>
      <c r="C7" t="s">
        <v>627</v>
      </c>
      <c r="D7" t="s">
        <v>627</v>
      </c>
    </row>
    <row r="8" spans="2:4" x14ac:dyDescent="0.2">
      <c r="B8" t="s">
        <v>1345</v>
      </c>
      <c r="C8" t="s">
        <v>667</v>
      </c>
      <c r="D8" t="s">
        <v>667</v>
      </c>
    </row>
    <row r="9" spans="2:4" x14ac:dyDescent="0.2">
      <c r="B9" t="s">
        <v>1346</v>
      </c>
      <c r="C9" t="s">
        <v>1347</v>
      </c>
      <c r="D9" t="s">
        <v>1347</v>
      </c>
    </row>
    <row r="10" spans="2:4" x14ac:dyDescent="0.2">
      <c r="B10" t="s">
        <v>1348</v>
      </c>
      <c r="C10" t="s">
        <v>463</v>
      </c>
      <c r="D10" t="s">
        <v>463</v>
      </c>
    </row>
    <row r="11" spans="2:4" x14ac:dyDescent="0.2">
      <c r="B11" t="s">
        <v>1349</v>
      </c>
      <c r="C11" t="s">
        <v>463</v>
      </c>
      <c r="D11" t="s">
        <v>463</v>
      </c>
    </row>
    <row r="12" spans="2:4" x14ac:dyDescent="0.2">
      <c r="B12" t="s">
        <v>1350</v>
      </c>
      <c r="C12" t="s">
        <v>1351</v>
      </c>
      <c r="D12" t="s">
        <v>1351</v>
      </c>
    </row>
    <row r="13" spans="2:4" x14ac:dyDescent="0.2">
      <c r="B13" t="s">
        <v>1352</v>
      </c>
      <c r="C13" t="s">
        <v>646</v>
      </c>
      <c r="D13" t="s">
        <v>646</v>
      </c>
    </row>
    <row r="14" spans="2:4" x14ac:dyDescent="0.2">
      <c r="B14" t="s">
        <v>1353</v>
      </c>
      <c r="C14" t="s">
        <v>696</v>
      </c>
      <c r="D14" t="s">
        <v>696</v>
      </c>
    </row>
    <row r="15" spans="2:4" x14ac:dyDescent="0.2">
      <c r="B15" t="s">
        <v>1354</v>
      </c>
      <c r="C15" t="s">
        <v>1355</v>
      </c>
      <c r="D15" t="s">
        <v>1355</v>
      </c>
    </row>
    <row r="16" spans="2:4" x14ac:dyDescent="0.2">
      <c r="B16" t="s">
        <v>1356</v>
      </c>
      <c r="C16" t="s">
        <v>1357</v>
      </c>
      <c r="D16" t="s">
        <v>1357</v>
      </c>
    </row>
    <row r="17" spans="2:4" x14ac:dyDescent="0.2">
      <c r="B17" t="s">
        <v>1358</v>
      </c>
      <c r="C17" t="s">
        <v>1359</v>
      </c>
      <c r="D17" t="s">
        <v>1359</v>
      </c>
    </row>
    <row r="18" spans="2:4" x14ac:dyDescent="0.2">
      <c r="B18" t="s">
        <v>1360</v>
      </c>
      <c r="C18" t="s">
        <v>1361</v>
      </c>
      <c r="D18" t="s">
        <v>1361</v>
      </c>
    </row>
    <row r="19" spans="2:4" x14ac:dyDescent="0.2">
      <c r="B19" t="s">
        <v>1362</v>
      </c>
      <c r="C19" t="s">
        <v>1363</v>
      </c>
      <c r="D19" t="s">
        <v>1363</v>
      </c>
    </row>
    <row r="20" spans="2:4" x14ac:dyDescent="0.2">
      <c r="B20" t="s">
        <v>386</v>
      </c>
      <c r="C20" t="s">
        <v>1364</v>
      </c>
      <c r="D20" t="s">
        <v>1364</v>
      </c>
    </row>
    <row r="21" spans="2:4" x14ac:dyDescent="0.2">
      <c r="B21" t="s">
        <v>1365</v>
      </c>
      <c r="C21" t="s">
        <v>1366</v>
      </c>
      <c r="D21" t="s">
        <v>1366</v>
      </c>
    </row>
    <row r="22" spans="2:4" x14ac:dyDescent="0.2">
      <c r="B22" t="s">
        <v>1367</v>
      </c>
      <c r="C22" t="s">
        <v>1368</v>
      </c>
      <c r="D22" t="s">
        <v>1368</v>
      </c>
    </row>
    <row r="23" spans="2:4" x14ac:dyDescent="0.2">
      <c r="B23" t="s">
        <v>1369</v>
      </c>
      <c r="C23" t="s">
        <v>1370</v>
      </c>
      <c r="D23" t="s">
        <v>1370</v>
      </c>
    </row>
    <row r="24" spans="2:4" x14ac:dyDescent="0.2">
      <c r="B24" t="s">
        <v>1371</v>
      </c>
      <c r="C24" t="s">
        <v>1372</v>
      </c>
      <c r="D24" t="s">
        <v>1372</v>
      </c>
    </row>
    <row r="25" spans="2:4" x14ac:dyDescent="0.2">
      <c r="B25" t="s">
        <v>1373</v>
      </c>
      <c r="C25" t="s">
        <v>1374</v>
      </c>
      <c r="D25" t="s">
        <v>1374</v>
      </c>
    </row>
    <row r="26" spans="2:4" x14ac:dyDescent="0.2">
      <c r="B26" t="s">
        <v>1375</v>
      </c>
      <c r="C26" t="s">
        <v>1376</v>
      </c>
      <c r="D26" t="s">
        <v>1376</v>
      </c>
    </row>
    <row r="27" spans="2:4" x14ac:dyDescent="0.2">
      <c r="B27" t="s">
        <v>1377</v>
      </c>
      <c r="C27" t="s">
        <v>1378</v>
      </c>
      <c r="D27" t="s">
        <v>1378</v>
      </c>
    </row>
    <row r="28" spans="2:4" x14ac:dyDescent="0.2">
      <c r="B28" t="s">
        <v>1379</v>
      </c>
      <c r="C28" t="s">
        <v>1380</v>
      </c>
      <c r="D28" t="s">
        <v>1380</v>
      </c>
    </row>
    <row r="29" spans="2:4" x14ac:dyDescent="0.2">
      <c r="B29" t="s">
        <v>1381</v>
      </c>
      <c r="C29" t="s">
        <v>1382</v>
      </c>
      <c r="D29" t="s">
        <v>1382</v>
      </c>
    </row>
    <row r="30" spans="2:4" x14ac:dyDescent="0.2">
      <c r="B30" t="s">
        <v>1383</v>
      </c>
      <c r="C30" t="s">
        <v>1384</v>
      </c>
      <c r="D30" t="s">
        <v>1384</v>
      </c>
    </row>
    <row r="31" spans="2:4" x14ac:dyDescent="0.2">
      <c r="B31" t="s">
        <v>1385</v>
      </c>
      <c r="C31" t="s">
        <v>1386</v>
      </c>
      <c r="D31" t="s">
        <v>1386</v>
      </c>
    </row>
    <row r="32" spans="2:4" x14ac:dyDescent="0.2">
      <c r="B32" t="s">
        <v>1387</v>
      </c>
      <c r="C32" t="s">
        <v>1388</v>
      </c>
      <c r="D32" t="s">
        <v>1388</v>
      </c>
    </row>
    <row r="33" spans="2:4" x14ac:dyDescent="0.2">
      <c r="B33" t="s">
        <v>1389</v>
      </c>
      <c r="C33" t="s">
        <v>1390</v>
      </c>
      <c r="D33" t="s">
        <v>1390</v>
      </c>
    </row>
    <row r="34" spans="2:4" x14ac:dyDescent="0.2">
      <c r="B34" t="s">
        <v>1391</v>
      </c>
      <c r="C34" t="s">
        <v>1392</v>
      </c>
      <c r="D34" t="s">
        <v>1392</v>
      </c>
    </row>
    <row r="35" spans="2:4" x14ac:dyDescent="0.2">
      <c r="B35" t="s">
        <v>1393</v>
      </c>
      <c r="C35" t="s">
        <v>1394</v>
      </c>
      <c r="D35" t="s">
        <v>1394</v>
      </c>
    </row>
    <row r="36" spans="2:4" x14ac:dyDescent="0.2">
      <c r="B36" t="s">
        <v>1395</v>
      </c>
      <c r="C36" t="s">
        <v>1396</v>
      </c>
      <c r="D36" t="s">
        <v>1396</v>
      </c>
    </row>
    <row r="37" spans="2:4" x14ac:dyDescent="0.2">
      <c r="B37" t="s">
        <v>1397</v>
      </c>
      <c r="C37" t="s">
        <v>1398</v>
      </c>
      <c r="D37" t="s">
        <v>1398</v>
      </c>
    </row>
    <row r="38" spans="2:4" x14ac:dyDescent="0.2">
      <c r="B38" t="s">
        <v>1399</v>
      </c>
      <c r="C38" t="s">
        <v>1400</v>
      </c>
      <c r="D38" t="s">
        <v>1400</v>
      </c>
    </row>
    <row r="39" spans="2:4" x14ac:dyDescent="0.2">
      <c r="B39" t="s">
        <v>1401</v>
      </c>
      <c r="C39" t="s">
        <v>1402</v>
      </c>
      <c r="D39" t="s">
        <v>1402</v>
      </c>
    </row>
    <row r="40" spans="2:4" x14ac:dyDescent="0.2">
      <c r="B40" t="s">
        <v>1403</v>
      </c>
      <c r="C40" t="s">
        <v>1404</v>
      </c>
      <c r="D40" t="s">
        <v>1404</v>
      </c>
    </row>
    <row r="41" spans="2:4" x14ac:dyDescent="0.2">
      <c r="B41" t="s">
        <v>1405</v>
      </c>
      <c r="C41" t="s">
        <v>1406</v>
      </c>
      <c r="D41" t="s">
        <v>1406</v>
      </c>
    </row>
    <row r="42" spans="2:4" x14ac:dyDescent="0.2">
      <c r="B42" t="s">
        <v>1335</v>
      </c>
      <c r="C42" t="s">
        <v>256</v>
      </c>
      <c r="D42" t="s">
        <v>256</v>
      </c>
    </row>
    <row r="43" spans="2:4" x14ac:dyDescent="0.2">
      <c r="B43" t="s">
        <v>1336</v>
      </c>
      <c r="C43" t="s">
        <v>256</v>
      </c>
      <c r="D43" t="s">
        <v>256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58D38-B0A3-41F0-AC7E-00BD6923DDC0}">
  <sheetPr codeName="Hoja13"/>
  <dimension ref="B2:D62"/>
  <sheetViews>
    <sheetView workbookViewId="0">
      <selection activeCell="C3" sqref="C3:C60"/>
    </sheetView>
  </sheetViews>
  <sheetFormatPr baseColWidth="10" defaultRowHeight="15" x14ac:dyDescent="0.2"/>
  <cols>
    <col min="2" max="2" width="30" customWidth="1"/>
    <col min="3" max="4" width="20" customWidth="1"/>
  </cols>
  <sheetData>
    <row r="2" spans="2:4" x14ac:dyDescent="0.2">
      <c r="B2" t="s">
        <v>2201</v>
      </c>
      <c r="C2" t="s">
        <v>999</v>
      </c>
      <c r="D2" t="s">
        <v>1000</v>
      </c>
    </row>
    <row r="3" spans="2:4" x14ac:dyDescent="0.2">
      <c r="B3" t="s">
        <v>1001</v>
      </c>
      <c r="C3" t="s">
        <v>1002</v>
      </c>
      <c r="D3" t="s">
        <v>1003</v>
      </c>
    </row>
    <row r="4" spans="2:4" x14ac:dyDescent="0.2">
      <c r="B4" t="s">
        <v>1004</v>
      </c>
      <c r="C4" t="s">
        <v>1005</v>
      </c>
      <c r="D4" t="s">
        <v>1006</v>
      </c>
    </row>
    <row r="5" spans="2:4" x14ac:dyDescent="0.2">
      <c r="B5" t="s">
        <v>390</v>
      </c>
      <c r="C5" t="s">
        <v>1007</v>
      </c>
      <c r="D5" t="s">
        <v>1008</v>
      </c>
    </row>
    <row r="6" spans="2:4" x14ac:dyDescent="0.2">
      <c r="B6" t="s">
        <v>896</v>
      </c>
      <c r="C6" t="s">
        <v>535</v>
      </c>
      <c r="D6" t="s">
        <v>535</v>
      </c>
    </row>
    <row r="7" spans="2:4" x14ac:dyDescent="0.2">
      <c r="B7" t="s">
        <v>1009</v>
      </c>
      <c r="C7" t="s">
        <v>1010</v>
      </c>
      <c r="D7" t="s">
        <v>1010</v>
      </c>
    </row>
    <row r="8" spans="2:4" x14ac:dyDescent="0.2">
      <c r="B8" t="s">
        <v>1011</v>
      </c>
      <c r="C8" t="s">
        <v>1012</v>
      </c>
      <c r="D8" t="s">
        <v>1013</v>
      </c>
    </row>
    <row r="9" spans="2:4" x14ac:dyDescent="0.2">
      <c r="B9" t="s">
        <v>626</v>
      </c>
      <c r="C9" t="s">
        <v>533</v>
      </c>
      <c r="D9" t="s">
        <v>533</v>
      </c>
    </row>
    <row r="10" spans="2:4" x14ac:dyDescent="0.2">
      <c r="B10" t="s">
        <v>1014</v>
      </c>
      <c r="C10" t="s">
        <v>1015</v>
      </c>
    </row>
    <row r="11" spans="2:4" x14ac:dyDescent="0.2">
      <c r="B11" t="s">
        <v>1016</v>
      </c>
      <c r="C11" t="s">
        <v>1017</v>
      </c>
      <c r="D11" t="s">
        <v>1018</v>
      </c>
    </row>
    <row r="12" spans="2:4" x14ac:dyDescent="0.2">
      <c r="B12" t="s">
        <v>1019</v>
      </c>
      <c r="C12" t="s">
        <v>1020</v>
      </c>
      <c r="D12" t="s">
        <v>1021</v>
      </c>
    </row>
    <row r="13" spans="2:4" x14ac:dyDescent="0.2">
      <c r="B13" t="s">
        <v>1022</v>
      </c>
      <c r="C13" t="s">
        <v>1023</v>
      </c>
      <c r="D13" t="s">
        <v>1023</v>
      </c>
    </row>
    <row r="14" spans="2:4" x14ac:dyDescent="0.2">
      <c r="B14" t="s">
        <v>1024</v>
      </c>
      <c r="C14" t="s">
        <v>1025</v>
      </c>
      <c r="D14" t="s">
        <v>1025</v>
      </c>
    </row>
    <row r="15" spans="2:4" x14ac:dyDescent="0.2">
      <c r="B15" t="s">
        <v>1026</v>
      </c>
      <c r="C15" t="s">
        <v>1027</v>
      </c>
      <c r="D15" t="s">
        <v>1027</v>
      </c>
    </row>
    <row r="16" spans="2:4" x14ac:dyDescent="0.2">
      <c r="B16" t="s">
        <v>1028</v>
      </c>
      <c r="C16" t="s">
        <v>1029</v>
      </c>
      <c r="D16" t="s">
        <v>1029</v>
      </c>
    </row>
    <row r="17" spans="2:4" x14ac:dyDescent="0.2">
      <c r="B17" t="s">
        <v>650</v>
      </c>
      <c r="C17" t="s">
        <v>1030</v>
      </c>
      <c r="D17" t="s">
        <v>510</v>
      </c>
    </row>
    <row r="18" spans="2:4" x14ac:dyDescent="0.2">
      <c r="B18" t="s">
        <v>645</v>
      </c>
      <c r="C18" t="s">
        <v>1031</v>
      </c>
      <c r="D18" t="s">
        <v>504</v>
      </c>
    </row>
    <row r="19" spans="2:4" x14ac:dyDescent="0.2">
      <c r="B19" t="s">
        <v>684</v>
      </c>
      <c r="C19" t="s">
        <v>1032</v>
      </c>
      <c r="D19" t="s">
        <v>1033</v>
      </c>
    </row>
    <row r="20" spans="2:4" x14ac:dyDescent="0.2">
      <c r="B20" t="s">
        <v>1034</v>
      </c>
      <c r="C20" t="s">
        <v>1035</v>
      </c>
      <c r="D20" t="s">
        <v>492</v>
      </c>
    </row>
    <row r="21" spans="2:4" x14ac:dyDescent="0.2">
      <c r="B21" t="s">
        <v>654</v>
      </c>
      <c r="C21" t="s">
        <v>516</v>
      </c>
      <c r="D21" t="s">
        <v>1036</v>
      </c>
    </row>
    <row r="22" spans="2:4" x14ac:dyDescent="0.2">
      <c r="B22" t="s">
        <v>721</v>
      </c>
      <c r="C22" t="s">
        <v>1037</v>
      </c>
      <c r="D22" t="s">
        <v>1037</v>
      </c>
    </row>
    <row r="23" spans="2:4" x14ac:dyDescent="0.2">
      <c r="B23" t="s">
        <v>522</v>
      </c>
      <c r="C23" t="s">
        <v>1038</v>
      </c>
      <c r="D23" t="s">
        <v>1039</v>
      </c>
    </row>
    <row r="24" spans="2:4" x14ac:dyDescent="0.2">
      <c r="B24" t="s">
        <v>526</v>
      </c>
      <c r="C24" t="s">
        <v>527</v>
      </c>
      <c r="D24" t="s">
        <v>527</v>
      </c>
    </row>
    <row r="25" spans="2:4" x14ac:dyDescent="0.2">
      <c r="B25" t="s">
        <v>1040</v>
      </c>
      <c r="C25" t="s">
        <v>525</v>
      </c>
      <c r="D25" t="s">
        <v>525</v>
      </c>
    </row>
    <row r="26" spans="2:4" x14ac:dyDescent="0.2">
      <c r="B26" t="s">
        <v>661</v>
      </c>
      <c r="C26" t="s">
        <v>1041</v>
      </c>
      <c r="D26" t="s">
        <v>528</v>
      </c>
    </row>
    <row r="27" spans="2:4" x14ac:dyDescent="0.2">
      <c r="B27" t="s">
        <v>725</v>
      </c>
      <c r="C27" t="s">
        <v>1042</v>
      </c>
      <c r="D27" t="s">
        <v>1043</v>
      </c>
    </row>
    <row r="28" spans="2:4" x14ac:dyDescent="0.2">
      <c r="B28" t="s">
        <v>1044</v>
      </c>
      <c r="C28" t="s">
        <v>1045</v>
      </c>
      <c r="D28" t="s">
        <v>1046</v>
      </c>
    </row>
    <row r="29" spans="2:4" x14ac:dyDescent="0.2">
      <c r="B29" t="s">
        <v>1047</v>
      </c>
      <c r="C29" t="s">
        <v>1045</v>
      </c>
      <c r="D29" t="s">
        <v>1048</v>
      </c>
    </row>
    <row r="30" spans="2:4" x14ac:dyDescent="0.2">
      <c r="B30" t="s">
        <v>1049</v>
      </c>
      <c r="C30" t="s">
        <v>564</v>
      </c>
      <c r="D30" t="s">
        <v>564</v>
      </c>
    </row>
    <row r="31" spans="2:4" x14ac:dyDescent="0.2">
      <c r="B31" t="s">
        <v>744</v>
      </c>
      <c r="C31" t="s">
        <v>558</v>
      </c>
      <c r="D31" t="s">
        <v>558</v>
      </c>
    </row>
    <row r="32" spans="2:4" x14ac:dyDescent="0.2">
      <c r="B32" t="s">
        <v>678</v>
      </c>
      <c r="C32" t="s">
        <v>561</v>
      </c>
      <c r="D32" t="s">
        <v>561</v>
      </c>
    </row>
    <row r="33" spans="2:4" x14ac:dyDescent="0.2">
      <c r="B33" t="s">
        <v>1050</v>
      </c>
      <c r="C33" t="s">
        <v>559</v>
      </c>
      <c r="D33" t="s">
        <v>559</v>
      </c>
    </row>
    <row r="34" spans="2:4" x14ac:dyDescent="0.2">
      <c r="B34" t="s">
        <v>1051</v>
      </c>
      <c r="C34" t="s">
        <v>1052</v>
      </c>
      <c r="D34" t="s">
        <v>552</v>
      </c>
    </row>
    <row r="35" spans="2:4" x14ac:dyDescent="0.2">
      <c r="B35" t="s">
        <v>1053</v>
      </c>
      <c r="C35" t="s">
        <v>1054</v>
      </c>
      <c r="D35" t="s">
        <v>551</v>
      </c>
    </row>
    <row r="36" spans="2:4" x14ac:dyDescent="0.2">
      <c r="B36" t="s">
        <v>1055</v>
      </c>
      <c r="C36" t="s">
        <v>1056</v>
      </c>
      <c r="D36" t="s">
        <v>549</v>
      </c>
    </row>
    <row r="37" spans="2:4" x14ac:dyDescent="0.2">
      <c r="B37" t="s">
        <v>542</v>
      </c>
      <c r="C37" t="s">
        <v>1057</v>
      </c>
      <c r="D37" t="s">
        <v>1058</v>
      </c>
    </row>
    <row r="38" spans="2:4" x14ac:dyDescent="0.2">
      <c r="B38" t="s">
        <v>1059</v>
      </c>
      <c r="C38" t="s">
        <v>1060</v>
      </c>
      <c r="D38" t="s">
        <v>760</v>
      </c>
    </row>
    <row r="39" spans="2:4" x14ac:dyDescent="0.2">
      <c r="B39" t="s">
        <v>378</v>
      </c>
      <c r="C39" t="s">
        <v>1061</v>
      </c>
      <c r="D39" t="s">
        <v>1062</v>
      </c>
    </row>
    <row r="40" spans="2:4" x14ac:dyDescent="0.2">
      <c r="B40" t="s">
        <v>1063</v>
      </c>
      <c r="C40" t="s">
        <v>1064</v>
      </c>
      <c r="D40" t="s">
        <v>1064</v>
      </c>
    </row>
    <row r="41" spans="2:4" x14ac:dyDescent="0.2">
      <c r="B41" t="s">
        <v>1065</v>
      </c>
      <c r="C41" t="s">
        <v>1066</v>
      </c>
      <c r="D41" t="s">
        <v>1066</v>
      </c>
    </row>
    <row r="42" spans="2:4" x14ac:dyDescent="0.2">
      <c r="B42" t="s">
        <v>1067</v>
      </c>
      <c r="C42" t="s">
        <v>1068</v>
      </c>
      <c r="D42" t="s">
        <v>1068</v>
      </c>
    </row>
    <row r="43" spans="2:4" x14ac:dyDescent="0.2">
      <c r="B43" t="s">
        <v>1069</v>
      </c>
      <c r="C43" t="s">
        <v>1070</v>
      </c>
      <c r="D43" t="s">
        <v>1071</v>
      </c>
    </row>
    <row r="44" spans="2:4" x14ac:dyDescent="0.2">
      <c r="B44" t="s">
        <v>1072</v>
      </c>
      <c r="C44" t="s">
        <v>1073</v>
      </c>
      <c r="D44" t="s">
        <v>1074</v>
      </c>
    </row>
    <row r="45" spans="2:4" x14ac:dyDescent="0.2">
      <c r="B45" t="s">
        <v>1075</v>
      </c>
      <c r="C45" t="s">
        <v>1076</v>
      </c>
      <c r="D45" t="s">
        <v>1077</v>
      </c>
    </row>
    <row r="46" spans="2:4" x14ac:dyDescent="0.2">
      <c r="B46" t="s">
        <v>1078</v>
      </c>
      <c r="C46" t="s">
        <v>1079</v>
      </c>
      <c r="D46" t="s">
        <v>1080</v>
      </c>
    </row>
    <row r="47" spans="2:4" x14ac:dyDescent="0.2">
      <c r="B47" t="s">
        <v>1081</v>
      </c>
      <c r="C47" t="s">
        <v>1082</v>
      </c>
      <c r="D47" t="s">
        <v>1083</v>
      </c>
    </row>
    <row r="48" spans="2:4" x14ac:dyDescent="0.2">
      <c r="B48" t="s">
        <v>1084</v>
      </c>
      <c r="C48" t="s">
        <v>570</v>
      </c>
      <c r="D48" t="s">
        <v>1085</v>
      </c>
    </row>
    <row r="49" spans="2:4" x14ac:dyDescent="0.2">
      <c r="B49" t="s">
        <v>1086</v>
      </c>
      <c r="C49" t="s">
        <v>1087</v>
      </c>
    </row>
    <row r="50" spans="2:4" x14ac:dyDescent="0.2">
      <c r="B50" t="s">
        <v>1088</v>
      </c>
      <c r="C50" t="s">
        <v>1089</v>
      </c>
      <c r="D50" t="s">
        <v>1090</v>
      </c>
    </row>
    <row r="51" spans="2:4" x14ac:dyDescent="0.2">
      <c r="B51" t="s">
        <v>1091</v>
      </c>
      <c r="C51" t="s">
        <v>1092</v>
      </c>
      <c r="D51" t="s">
        <v>1093</v>
      </c>
    </row>
    <row r="52" spans="2:4" x14ac:dyDescent="0.2">
      <c r="B52" t="s">
        <v>1094</v>
      </c>
      <c r="C52" t="s">
        <v>1095</v>
      </c>
      <c r="D52" t="s">
        <v>1096</v>
      </c>
    </row>
    <row r="53" spans="2:4" x14ac:dyDescent="0.2">
      <c r="B53" t="s">
        <v>1097</v>
      </c>
      <c r="C53" t="s">
        <v>1098</v>
      </c>
      <c r="D53" t="s">
        <v>1099</v>
      </c>
    </row>
    <row r="54" spans="2:4" x14ac:dyDescent="0.2">
      <c r="B54" t="s">
        <v>1100</v>
      </c>
      <c r="C54" t="s">
        <v>1101</v>
      </c>
      <c r="D54" t="s">
        <v>1101</v>
      </c>
    </row>
    <row r="55" spans="2:4" x14ac:dyDescent="0.2">
      <c r="B55" t="s">
        <v>1102</v>
      </c>
      <c r="C55" t="s">
        <v>1103</v>
      </c>
      <c r="D55" t="s">
        <v>1104</v>
      </c>
    </row>
    <row r="56" spans="2:4" x14ac:dyDescent="0.2">
      <c r="B56" t="s">
        <v>1105</v>
      </c>
      <c r="C56" t="s">
        <v>1106</v>
      </c>
      <c r="D56" t="s">
        <v>1107</v>
      </c>
    </row>
    <row r="57" spans="2:4" x14ac:dyDescent="0.2">
      <c r="B57" t="s">
        <v>1108</v>
      </c>
      <c r="C57" t="s">
        <v>1109</v>
      </c>
      <c r="D57" t="s">
        <v>1110</v>
      </c>
    </row>
    <row r="58" spans="2:4" x14ac:dyDescent="0.2">
      <c r="B58" t="s">
        <v>1111</v>
      </c>
      <c r="C58" t="s">
        <v>1112</v>
      </c>
      <c r="D58" t="s">
        <v>1113</v>
      </c>
    </row>
    <row r="59" spans="2:4" x14ac:dyDescent="0.2">
      <c r="B59" t="s">
        <v>1114</v>
      </c>
      <c r="C59" t="s">
        <v>1115</v>
      </c>
      <c r="D59" t="s">
        <v>1116</v>
      </c>
    </row>
    <row r="60" spans="2:4" x14ac:dyDescent="0.2">
      <c r="B60" t="s">
        <v>540</v>
      </c>
      <c r="C60" t="s">
        <v>1117</v>
      </c>
      <c r="D60" t="s">
        <v>1118</v>
      </c>
    </row>
    <row r="61" spans="2:4" x14ac:dyDescent="0.2">
      <c r="B61" t="s">
        <v>999</v>
      </c>
      <c r="C61" t="s">
        <v>256</v>
      </c>
      <c r="D61" t="s">
        <v>256</v>
      </c>
    </row>
    <row r="62" spans="2:4" x14ac:dyDescent="0.2">
      <c r="B62" t="s">
        <v>1000</v>
      </c>
      <c r="C62" t="s">
        <v>256</v>
      </c>
      <c r="D62" t="s">
        <v>256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6D827-7D9A-432A-AA32-42A3F73C114D}">
  <sheetPr codeName="Hoja14"/>
  <dimension ref="B2:AA92"/>
  <sheetViews>
    <sheetView zoomScale="85" zoomScaleNormal="85" workbookViewId="0">
      <selection activeCell="J3" sqref="J3:J69"/>
    </sheetView>
  </sheetViews>
  <sheetFormatPr baseColWidth="10" defaultRowHeight="15" x14ac:dyDescent="0.2"/>
  <cols>
    <col min="2" max="2" width="53.1640625" bestFit="1" customWidth="1"/>
    <col min="3" max="3" width="26.33203125" customWidth="1"/>
    <col min="4" max="4" width="26.5" customWidth="1"/>
    <col min="6" max="6" width="35.1640625" customWidth="1"/>
    <col min="7" max="7" width="26.33203125" customWidth="1"/>
    <col min="9" max="9" width="36.33203125" customWidth="1"/>
    <col min="10" max="10" width="26" customWidth="1"/>
    <col min="12" max="12" width="34.5" customWidth="1"/>
    <col min="13" max="13" width="26.33203125" customWidth="1"/>
    <col min="14" max="14" width="26.5" customWidth="1"/>
    <col min="16" max="16" width="37.6640625" customWidth="1"/>
    <col min="17" max="17" width="26.33203125" customWidth="1"/>
    <col min="18" max="18" width="26.5" customWidth="1"/>
    <col min="20" max="20" width="35.1640625" customWidth="1"/>
    <col min="21" max="21" width="26.33203125" customWidth="1"/>
    <col min="23" max="23" width="36.33203125" customWidth="1"/>
    <col min="24" max="24" width="26.33203125" customWidth="1"/>
    <col min="26" max="26" width="28.6640625" bestFit="1" customWidth="1"/>
    <col min="27" max="27" width="19.6640625" customWidth="1"/>
  </cols>
  <sheetData>
    <row r="2" spans="2:27" x14ac:dyDescent="0.2">
      <c r="B2" t="s">
        <v>2194</v>
      </c>
      <c r="C2" t="s">
        <v>583</v>
      </c>
      <c r="D2" t="s">
        <v>584</v>
      </c>
      <c r="F2" t="s">
        <v>2195</v>
      </c>
      <c r="G2" t="s">
        <v>585</v>
      </c>
      <c r="I2" t="s">
        <v>2196</v>
      </c>
      <c r="J2" t="s">
        <v>586</v>
      </c>
      <c r="L2" t="s">
        <v>2197</v>
      </c>
      <c r="M2" t="s">
        <v>317</v>
      </c>
      <c r="N2" t="s">
        <v>318</v>
      </c>
      <c r="P2" t="s">
        <v>2198</v>
      </c>
      <c r="Q2" t="s">
        <v>319</v>
      </c>
      <c r="R2" t="s">
        <v>320</v>
      </c>
      <c r="T2" t="s">
        <v>2199</v>
      </c>
      <c r="U2" t="s">
        <v>321</v>
      </c>
      <c r="W2" t="s">
        <v>2200</v>
      </c>
      <c r="X2" t="s">
        <v>322</v>
      </c>
      <c r="Z2" t="s">
        <v>11799</v>
      </c>
      <c r="AA2" t="s">
        <v>11800</v>
      </c>
    </row>
    <row r="3" spans="2:27" x14ac:dyDescent="0.2">
      <c r="B3" t="s">
        <v>323</v>
      </c>
      <c r="C3" t="s">
        <v>587</v>
      </c>
      <c r="D3" t="s">
        <v>587</v>
      </c>
      <c r="F3" t="s">
        <v>257</v>
      </c>
      <c r="G3" t="s">
        <v>588</v>
      </c>
      <c r="I3" t="s">
        <v>589</v>
      </c>
      <c r="J3" t="s">
        <v>590</v>
      </c>
      <c r="L3" t="s">
        <v>323</v>
      </c>
      <c r="M3" t="s">
        <v>324</v>
      </c>
      <c r="N3" t="s">
        <v>324</v>
      </c>
      <c r="P3" t="s">
        <v>323</v>
      </c>
      <c r="Q3" t="s">
        <v>325</v>
      </c>
      <c r="R3" t="s">
        <v>325</v>
      </c>
      <c r="T3" t="s">
        <v>292</v>
      </c>
      <c r="U3" t="s">
        <v>326</v>
      </c>
      <c r="W3" t="s">
        <v>292</v>
      </c>
      <c r="X3" t="s">
        <v>327</v>
      </c>
      <c r="Z3" t="s">
        <v>11801</v>
      </c>
      <c r="AA3" t="s">
        <v>11802</v>
      </c>
    </row>
    <row r="4" spans="2:27" x14ac:dyDescent="0.2">
      <c r="B4" t="s">
        <v>328</v>
      </c>
      <c r="C4" t="s">
        <v>329</v>
      </c>
      <c r="D4" t="s">
        <v>329</v>
      </c>
      <c r="F4" t="s">
        <v>591</v>
      </c>
      <c r="G4" t="s">
        <v>592</v>
      </c>
      <c r="I4" t="s">
        <v>328</v>
      </c>
      <c r="J4" t="s">
        <v>329</v>
      </c>
      <c r="L4" t="s">
        <v>328</v>
      </c>
      <c r="M4" t="s">
        <v>329</v>
      </c>
      <c r="N4" t="s">
        <v>329</v>
      </c>
      <c r="P4" t="s">
        <v>328</v>
      </c>
      <c r="Q4" t="s">
        <v>329</v>
      </c>
      <c r="R4" t="s">
        <v>329</v>
      </c>
      <c r="T4" t="s">
        <v>330</v>
      </c>
      <c r="U4" t="s">
        <v>331</v>
      </c>
      <c r="W4" t="s">
        <v>287</v>
      </c>
      <c r="X4" t="s">
        <v>288</v>
      </c>
      <c r="Z4" t="s">
        <v>328</v>
      </c>
      <c r="AA4" t="s">
        <v>329</v>
      </c>
    </row>
    <row r="5" spans="2:27" x14ac:dyDescent="0.2">
      <c r="B5" t="s">
        <v>332</v>
      </c>
      <c r="C5" t="s">
        <v>333</v>
      </c>
      <c r="D5" t="s">
        <v>333</v>
      </c>
      <c r="F5" t="s">
        <v>162</v>
      </c>
      <c r="G5" t="s">
        <v>593</v>
      </c>
      <c r="I5" t="s">
        <v>332</v>
      </c>
      <c r="J5" t="s">
        <v>333</v>
      </c>
      <c r="L5" t="s">
        <v>332</v>
      </c>
      <c r="M5" t="s">
        <v>333</v>
      </c>
      <c r="N5" t="s">
        <v>333</v>
      </c>
      <c r="P5" t="s">
        <v>332</v>
      </c>
      <c r="Q5" t="s">
        <v>333</v>
      </c>
      <c r="R5" t="s">
        <v>333</v>
      </c>
      <c r="T5" t="s">
        <v>334</v>
      </c>
      <c r="U5" t="s">
        <v>335</v>
      </c>
      <c r="W5" t="s">
        <v>267</v>
      </c>
      <c r="X5" t="s">
        <v>336</v>
      </c>
      <c r="Z5" t="s">
        <v>332</v>
      </c>
      <c r="AA5" t="s">
        <v>333</v>
      </c>
    </row>
    <row r="6" spans="2:27" x14ac:dyDescent="0.2">
      <c r="B6" t="s">
        <v>337</v>
      </c>
      <c r="C6" t="s">
        <v>594</v>
      </c>
      <c r="D6" t="s">
        <v>594</v>
      </c>
      <c r="F6" t="s">
        <v>595</v>
      </c>
      <c r="G6" t="s">
        <v>596</v>
      </c>
      <c r="I6" t="s">
        <v>337</v>
      </c>
      <c r="J6" t="s">
        <v>597</v>
      </c>
      <c r="L6" t="s">
        <v>337</v>
      </c>
      <c r="M6" t="s">
        <v>338</v>
      </c>
      <c r="N6" t="s">
        <v>338</v>
      </c>
      <c r="P6" t="s">
        <v>337</v>
      </c>
      <c r="Q6" t="s">
        <v>338</v>
      </c>
      <c r="R6" t="s">
        <v>338</v>
      </c>
      <c r="T6" t="s">
        <v>339</v>
      </c>
      <c r="U6" t="s">
        <v>340</v>
      </c>
      <c r="W6" t="s">
        <v>341</v>
      </c>
      <c r="X6" t="s">
        <v>342</v>
      </c>
      <c r="Z6" t="s">
        <v>11803</v>
      </c>
      <c r="AA6" t="s">
        <v>11804</v>
      </c>
    </row>
    <row r="7" spans="2:27" x14ac:dyDescent="0.2">
      <c r="B7" t="s">
        <v>598</v>
      </c>
      <c r="C7" t="s">
        <v>599</v>
      </c>
      <c r="D7" t="s">
        <v>599</v>
      </c>
      <c r="F7" t="s">
        <v>600</v>
      </c>
      <c r="G7" t="s">
        <v>601</v>
      </c>
      <c r="I7" t="s">
        <v>598</v>
      </c>
      <c r="J7" t="s">
        <v>602</v>
      </c>
      <c r="L7" t="s">
        <v>343</v>
      </c>
      <c r="M7" t="s">
        <v>344</v>
      </c>
      <c r="N7" t="s">
        <v>344</v>
      </c>
      <c r="P7" t="s">
        <v>343</v>
      </c>
      <c r="Q7" t="s">
        <v>344</v>
      </c>
      <c r="R7" t="s">
        <v>344</v>
      </c>
      <c r="T7" t="s">
        <v>345</v>
      </c>
      <c r="U7" t="s">
        <v>346</v>
      </c>
      <c r="W7" t="s">
        <v>347</v>
      </c>
      <c r="X7" t="s">
        <v>348</v>
      </c>
      <c r="Z7" t="s">
        <v>11806</v>
      </c>
      <c r="AA7" t="s">
        <v>11805</v>
      </c>
    </row>
    <row r="8" spans="2:27" x14ac:dyDescent="0.2">
      <c r="B8" t="s">
        <v>292</v>
      </c>
      <c r="C8" t="s">
        <v>603</v>
      </c>
      <c r="D8" t="s">
        <v>603</v>
      </c>
      <c r="F8" t="s">
        <v>604</v>
      </c>
      <c r="G8" t="s">
        <v>605</v>
      </c>
      <c r="I8" t="s">
        <v>292</v>
      </c>
      <c r="J8" t="s">
        <v>327</v>
      </c>
      <c r="L8" t="s">
        <v>349</v>
      </c>
      <c r="M8" t="s">
        <v>350</v>
      </c>
      <c r="N8" t="s">
        <v>350</v>
      </c>
      <c r="P8" t="s">
        <v>349</v>
      </c>
      <c r="Q8" t="s">
        <v>351</v>
      </c>
      <c r="R8" t="s">
        <v>351</v>
      </c>
      <c r="T8" t="s">
        <v>352</v>
      </c>
      <c r="U8" t="s">
        <v>353</v>
      </c>
      <c r="W8" t="s">
        <v>354</v>
      </c>
      <c r="X8" t="s">
        <v>355</v>
      </c>
      <c r="Z8" t="s">
        <v>267</v>
      </c>
      <c r="AA8" t="s">
        <v>11807</v>
      </c>
    </row>
    <row r="9" spans="2:27" x14ac:dyDescent="0.2">
      <c r="B9" t="s">
        <v>287</v>
      </c>
      <c r="C9" t="s">
        <v>296</v>
      </c>
      <c r="D9" t="s">
        <v>296</v>
      </c>
      <c r="F9" t="s">
        <v>606</v>
      </c>
      <c r="G9" t="s">
        <v>607</v>
      </c>
      <c r="I9" t="s">
        <v>356</v>
      </c>
      <c r="J9" t="s">
        <v>608</v>
      </c>
      <c r="L9" t="s">
        <v>356</v>
      </c>
      <c r="M9" t="s">
        <v>357</v>
      </c>
      <c r="N9" t="s">
        <v>357</v>
      </c>
      <c r="P9" t="s">
        <v>356</v>
      </c>
      <c r="Q9" t="s">
        <v>358</v>
      </c>
      <c r="R9" t="s">
        <v>358</v>
      </c>
      <c r="T9" t="s">
        <v>359</v>
      </c>
      <c r="U9" t="s">
        <v>360</v>
      </c>
      <c r="W9" t="s">
        <v>361</v>
      </c>
      <c r="X9" t="s">
        <v>362</v>
      </c>
      <c r="Z9" t="s">
        <v>11477</v>
      </c>
      <c r="AA9" t="s">
        <v>4532</v>
      </c>
    </row>
    <row r="10" spans="2:27" x14ac:dyDescent="0.2">
      <c r="B10" t="s">
        <v>267</v>
      </c>
      <c r="C10" t="s">
        <v>609</v>
      </c>
      <c r="D10" t="s">
        <v>609</v>
      </c>
      <c r="F10" t="s">
        <v>390</v>
      </c>
      <c r="G10" t="s">
        <v>610</v>
      </c>
      <c r="I10" t="s">
        <v>267</v>
      </c>
      <c r="J10" t="s">
        <v>336</v>
      </c>
      <c r="L10" t="s">
        <v>267</v>
      </c>
      <c r="M10" t="s">
        <v>363</v>
      </c>
      <c r="N10" t="s">
        <v>363</v>
      </c>
      <c r="P10" t="s">
        <v>292</v>
      </c>
      <c r="Q10" t="s">
        <v>364</v>
      </c>
      <c r="R10" t="s">
        <v>364</v>
      </c>
      <c r="T10" t="s">
        <v>365</v>
      </c>
      <c r="U10" t="s">
        <v>366</v>
      </c>
      <c r="W10" t="s">
        <v>367</v>
      </c>
      <c r="X10" t="s">
        <v>368</v>
      </c>
      <c r="Z10" t="s">
        <v>292</v>
      </c>
      <c r="AA10" t="s">
        <v>4656</v>
      </c>
    </row>
    <row r="11" spans="2:27" x14ac:dyDescent="0.2">
      <c r="B11" t="s">
        <v>369</v>
      </c>
      <c r="C11" t="s">
        <v>611</v>
      </c>
      <c r="D11" t="s">
        <v>611</v>
      </c>
      <c r="F11" t="s">
        <v>404</v>
      </c>
      <c r="G11" t="s">
        <v>417</v>
      </c>
      <c r="I11" t="s">
        <v>369</v>
      </c>
      <c r="J11" t="s">
        <v>612</v>
      </c>
      <c r="L11" t="s">
        <v>369</v>
      </c>
      <c r="M11" t="s">
        <v>370</v>
      </c>
      <c r="N11" t="s">
        <v>370</v>
      </c>
      <c r="P11" t="s">
        <v>267</v>
      </c>
      <c r="Q11" t="s">
        <v>371</v>
      </c>
      <c r="R11" t="s">
        <v>371</v>
      </c>
      <c r="T11" t="s">
        <v>372</v>
      </c>
      <c r="U11" t="s">
        <v>373</v>
      </c>
      <c r="W11" t="s">
        <v>374</v>
      </c>
      <c r="X11" t="s">
        <v>375</v>
      </c>
      <c r="Z11" t="s">
        <v>397</v>
      </c>
      <c r="AA11" t="s">
        <v>11808</v>
      </c>
    </row>
    <row r="12" spans="2:27" x14ac:dyDescent="0.2">
      <c r="B12" t="s">
        <v>613</v>
      </c>
      <c r="C12" t="s">
        <v>614</v>
      </c>
      <c r="D12" t="s">
        <v>614</v>
      </c>
      <c r="F12" t="s">
        <v>409</v>
      </c>
      <c r="G12" t="s">
        <v>615</v>
      </c>
      <c r="I12" t="s">
        <v>376</v>
      </c>
      <c r="J12" t="s">
        <v>616</v>
      </c>
      <c r="L12" t="s">
        <v>376</v>
      </c>
      <c r="M12" t="s">
        <v>377</v>
      </c>
      <c r="N12" t="s">
        <v>377</v>
      </c>
      <c r="P12" t="s">
        <v>369</v>
      </c>
      <c r="Q12" t="s">
        <v>370</v>
      </c>
      <c r="R12" t="s">
        <v>370</v>
      </c>
      <c r="T12" t="s">
        <v>378</v>
      </c>
      <c r="U12" t="s">
        <v>379</v>
      </c>
      <c r="W12" t="s">
        <v>380</v>
      </c>
      <c r="X12" t="s">
        <v>381</v>
      </c>
      <c r="Z12" t="s">
        <v>11809</v>
      </c>
      <c r="AA12" t="s">
        <v>11808</v>
      </c>
    </row>
    <row r="13" spans="2:27" x14ac:dyDescent="0.2">
      <c r="B13" t="s">
        <v>382</v>
      </c>
      <c r="C13" t="s">
        <v>617</v>
      </c>
      <c r="D13" t="s">
        <v>617</v>
      </c>
      <c r="F13" t="s">
        <v>618</v>
      </c>
      <c r="G13" t="s">
        <v>619</v>
      </c>
      <c r="I13" t="s">
        <v>388</v>
      </c>
      <c r="J13" t="s">
        <v>620</v>
      </c>
      <c r="L13" t="s">
        <v>382</v>
      </c>
      <c r="M13" t="s">
        <v>383</v>
      </c>
      <c r="N13" t="s">
        <v>383</v>
      </c>
      <c r="P13" t="s">
        <v>376</v>
      </c>
      <c r="Q13" t="s">
        <v>377</v>
      </c>
      <c r="R13" t="s">
        <v>377</v>
      </c>
      <c r="T13" t="s">
        <v>384</v>
      </c>
      <c r="U13" t="s">
        <v>385</v>
      </c>
      <c r="W13" t="s">
        <v>386</v>
      </c>
      <c r="X13" t="s">
        <v>387</v>
      </c>
      <c r="Z13" t="s">
        <v>390</v>
      </c>
      <c r="AA13" t="s">
        <v>11810</v>
      </c>
    </row>
    <row r="14" spans="2:27" x14ac:dyDescent="0.2">
      <c r="B14" t="s">
        <v>388</v>
      </c>
      <c r="C14" t="s">
        <v>621</v>
      </c>
      <c r="D14" t="s">
        <v>621</v>
      </c>
      <c r="F14" t="s">
        <v>361</v>
      </c>
      <c r="G14" t="s">
        <v>622</v>
      </c>
      <c r="I14" t="s">
        <v>401</v>
      </c>
      <c r="J14" t="s">
        <v>623</v>
      </c>
      <c r="L14" t="s">
        <v>388</v>
      </c>
      <c r="M14" t="s">
        <v>389</v>
      </c>
      <c r="N14" t="s">
        <v>389</v>
      </c>
      <c r="P14" t="s">
        <v>382</v>
      </c>
      <c r="Q14" t="s">
        <v>383</v>
      </c>
      <c r="R14" t="s">
        <v>383</v>
      </c>
      <c r="T14" t="s">
        <v>390</v>
      </c>
      <c r="U14" t="s">
        <v>391</v>
      </c>
      <c r="W14" t="s">
        <v>392</v>
      </c>
      <c r="X14" t="s">
        <v>393</v>
      </c>
      <c r="Z14" t="s">
        <v>474</v>
      </c>
      <c r="AA14" t="s">
        <v>11811</v>
      </c>
    </row>
    <row r="15" spans="2:27" x14ac:dyDescent="0.2">
      <c r="B15" t="s">
        <v>624</v>
      </c>
      <c r="C15" t="s">
        <v>625</v>
      </c>
      <c r="D15" t="s">
        <v>625</v>
      </c>
      <c r="F15" t="s">
        <v>626</v>
      </c>
      <c r="G15" t="s">
        <v>627</v>
      </c>
      <c r="I15" t="s">
        <v>404</v>
      </c>
      <c r="J15" t="s">
        <v>417</v>
      </c>
      <c r="L15" t="s">
        <v>394</v>
      </c>
      <c r="M15" t="s">
        <v>395</v>
      </c>
      <c r="N15" t="s">
        <v>395</v>
      </c>
      <c r="P15" t="s">
        <v>388</v>
      </c>
      <c r="Q15" t="s">
        <v>396</v>
      </c>
      <c r="R15" t="s">
        <v>396</v>
      </c>
      <c r="T15" t="s">
        <v>397</v>
      </c>
      <c r="U15" t="s">
        <v>398</v>
      </c>
      <c r="W15" t="s">
        <v>399</v>
      </c>
      <c r="X15" t="s">
        <v>400</v>
      </c>
      <c r="Z15" t="s">
        <v>11812</v>
      </c>
      <c r="AA15" t="s">
        <v>11813</v>
      </c>
    </row>
    <row r="16" spans="2:27" x14ac:dyDescent="0.2">
      <c r="B16" t="s">
        <v>401</v>
      </c>
      <c r="C16" t="s">
        <v>628</v>
      </c>
      <c r="D16" t="s">
        <v>629</v>
      </c>
      <c r="F16" t="s">
        <v>630</v>
      </c>
      <c r="G16" t="s">
        <v>631</v>
      </c>
      <c r="I16" t="s">
        <v>632</v>
      </c>
      <c r="J16" t="s">
        <v>633</v>
      </c>
      <c r="L16" t="s">
        <v>401</v>
      </c>
      <c r="M16" t="s">
        <v>402</v>
      </c>
      <c r="N16" t="s">
        <v>402</v>
      </c>
      <c r="P16" t="s">
        <v>394</v>
      </c>
      <c r="Q16" t="s">
        <v>395</v>
      </c>
      <c r="R16" t="s">
        <v>395</v>
      </c>
      <c r="T16" t="s">
        <v>361</v>
      </c>
      <c r="U16" t="s">
        <v>403</v>
      </c>
      <c r="W16" t="s">
        <v>404</v>
      </c>
      <c r="X16" t="s">
        <v>405</v>
      </c>
      <c r="Z16" t="s">
        <v>386</v>
      </c>
      <c r="AA16" t="s">
        <v>3209</v>
      </c>
    </row>
    <row r="17" spans="2:27" x14ac:dyDescent="0.2">
      <c r="B17" t="s">
        <v>354</v>
      </c>
      <c r="C17" t="s">
        <v>634</v>
      </c>
      <c r="D17" t="s">
        <v>634</v>
      </c>
      <c r="F17" t="s">
        <v>635</v>
      </c>
      <c r="G17" t="s">
        <v>636</v>
      </c>
      <c r="I17" t="s">
        <v>637</v>
      </c>
      <c r="J17" t="s">
        <v>638</v>
      </c>
      <c r="L17" t="s">
        <v>406</v>
      </c>
      <c r="M17" t="s">
        <v>407</v>
      </c>
      <c r="N17" t="s">
        <v>407</v>
      </c>
      <c r="P17" t="s">
        <v>408</v>
      </c>
      <c r="Q17" t="s">
        <v>402</v>
      </c>
      <c r="R17" t="s">
        <v>402</v>
      </c>
      <c r="T17" t="s">
        <v>409</v>
      </c>
      <c r="U17" t="s">
        <v>410</v>
      </c>
      <c r="W17" t="s">
        <v>411</v>
      </c>
      <c r="X17" t="s">
        <v>412</v>
      </c>
      <c r="Z17" t="s">
        <v>526</v>
      </c>
      <c r="AA17" t="s">
        <v>3961</v>
      </c>
    </row>
    <row r="18" spans="2:27" x14ac:dyDescent="0.2">
      <c r="B18" t="s">
        <v>639</v>
      </c>
      <c r="C18" t="s">
        <v>640</v>
      </c>
      <c r="D18" t="s">
        <v>640</v>
      </c>
      <c r="F18" t="s">
        <v>484</v>
      </c>
      <c r="G18" t="s">
        <v>641</v>
      </c>
      <c r="I18" t="s">
        <v>500</v>
      </c>
      <c r="J18" t="s">
        <v>642</v>
      </c>
      <c r="L18" t="s">
        <v>413</v>
      </c>
      <c r="M18" t="s">
        <v>414</v>
      </c>
      <c r="N18" t="s">
        <v>414</v>
      </c>
      <c r="P18" t="s">
        <v>415</v>
      </c>
      <c r="Q18" t="s">
        <v>416</v>
      </c>
      <c r="R18" t="s">
        <v>416</v>
      </c>
      <c r="T18" t="s">
        <v>404</v>
      </c>
      <c r="U18" t="s">
        <v>417</v>
      </c>
      <c r="W18" t="s">
        <v>418</v>
      </c>
      <c r="X18" t="s">
        <v>419</v>
      </c>
      <c r="Z18" t="s">
        <v>11814</v>
      </c>
      <c r="AA18" t="s">
        <v>8359</v>
      </c>
    </row>
    <row r="19" spans="2:27" x14ac:dyDescent="0.2">
      <c r="B19" t="s">
        <v>643</v>
      </c>
      <c r="C19" t="s">
        <v>644</v>
      </c>
      <c r="D19" t="s">
        <v>644</v>
      </c>
      <c r="F19" t="s">
        <v>645</v>
      </c>
      <c r="G19" t="s">
        <v>646</v>
      </c>
      <c r="I19" t="s">
        <v>647</v>
      </c>
      <c r="J19" t="s">
        <v>648</v>
      </c>
      <c r="L19" t="s">
        <v>354</v>
      </c>
      <c r="M19" t="s">
        <v>420</v>
      </c>
      <c r="N19" t="s">
        <v>420</v>
      </c>
      <c r="P19" t="s">
        <v>406</v>
      </c>
      <c r="Q19" t="s">
        <v>407</v>
      </c>
      <c r="R19" t="s">
        <v>407</v>
      </c>
      <c r="T19" t="s">
        <v>421</v>
      </c>
      <c r="U19" t="s">
        <v>422</v>
      </c>
      <c r="W19" t="s">
        <v>423</v>
      </c>
      <c r="X19" t="s">
        <v>424</v>
      </c>
      <c r="Z19" t="s">
        <v>705</v>
      </c>
      <c r="AA19" t="s">
        <v>6672</v>
      </c>
    </row>
    <row r="20" spans="2:27" x14ac:dyDescent="0.2">
      <c r="B20" t="s">
        <v>361</v>
      </c>
      <c r="C20" t="s">
        <v>649</v>
      </c>
      <c r="D20" t="s">
        <v>649</v>
      </c>
      <c r="F20" t="s">
        <v>650</v>
      </c>
      <c r="G20" t="s">
        <v>651</v>
      </c>
      <c r="I20" t="s">
        <v>652</v>
      </c>
      <c r="J20" t="s">
        <v>653</v>
      </c>
      <c r="L20" t="s">
        <v>425</v>
      </c>
      <c r="M20" t="s">
        <v>426</v>
      </c>
      <c r="N20" t="s">
        <v>426</v>
      </c>
      <c r="P20" t="s">
        <v>413</v>
      </c>
      <c r="Q20" t="s">
        <v>414</v>
      </c>
      <c r="R20" t="s">
        <v>414</v>
      </c>
      <c r="T20" t="s">
        <v>427</v>
      </c>
      <c r="U20" t="s">
        <v>428</v>
      </c>
      <c r="W20" t="s">
        <v>429</v>
      </c>
      <c r="X20" t="s">
        <v>430</v>
      </c>
      <c r="Z20" t="s">
        <v>392</v>
      </c>
      <c r="AA20" t="s">
        <v>6558</v>
      </c>
    </row>
    <row r="21" spans="2:27" x14ac:dyDescent="0.2">
      <c r="B21" t="s">
        <v>626</v>
      </c>
      <c r="C21" t="s">
        <v>533</v>
      </c>
      <c r="D21" t="s">
        <v>533</v>
      </c>
      <c r="F21" t="s">
        <v>654</v>
      </c>
      <c r="G21" t="s">
        <v>655</v>
      </c>
      <c r="I21" t="s">
        <v>656</v>
      </c>
      <c r="J21" t="s">
        <v>657</v>
      </c>
      <c r="L21" t="s">
        <v>431</v>
      </c>
      <c r="M21" t="s">
        <v>432</v>
      </c>
      <c r="N21" t="s">
        <v>432</v>
      </c>
      <c r="P21" t="s">
        <v>354</v>
      </c>
      <c r="Q21" t="s">
        <v>420</v>
      </c>
      <c r="R21" t="s">
        <v>420</v>
      </c>
      <c r="T21" t="s">
        <v>433</v>
      </c>
      <c r="U21" t="s">
        <v>434</v>
      </c>
      <c r="W21" t="s">
        <v>435</v>
      </c>
      <c r="X21" t="s">
        <v>436</v>
      </c>
      <c r="Z21" t="s">
        <v>11815</v>
      </c>
      <c r="AA21" t="s">
        <v>4131</v>
      </c>
    </row>
    <row r="22" spans="2:27" x14ac:dyDescent="0.2">
      <c r="B22" t="s">
        <v>536</v>
      </c>
      <c r="C22" t="s">
        <v>537</v>
      </c>
      <c r="D22" t="s">
        <v>537</v>
      </c>
      <c r="F22" t="s">
        <v>452</v>
      </c>
      <c r="G22" t="s">
        <v>658</v>
      </c>
      <c r="I22" t="s">
        <v>361</v>
      </c>
      <c r="J22" t="s">
        <v>659</v>
      </c>
      <c r="L22" t="s">
        <v>361</v>
      </c>
      <c r="M22" t="s">
        <v>437</v>
      </c>
      <c r="N22" t="s">
        <v>437</v>
      </c>
      <c r="P22" t="s">
        <v>438</v>
      </c>
      <c r="Q22" t="s">
        <v>439</v>
      </c>
      <c r="R22" t="s">
        <v>439</v>
      </c>
      <c r="T22" t="s">
        <v>440</v>
      </c>
      <c r="U22" t="s">
        <v>441</v>
      </c>
      <c r="W22" t="s">
        <v>442</v>
      </c>
      <c r="X22" t="s">
        <v>443</v>
      </c>
      <c r="Z22" t="s">
        <v>532</v>
      </c>
      <c r="AA22" t="s">
        <v>533</v>
      </c>
    </row>
    <row r="23" spans="2:27" x14ac:dyDescent="0.2">
      <c r="B23" t="s">
        <v>538</v>
      </c>
      <c r="C23" t="s">
        <v>660</v>
      </c>
      <c r="D23" t="s">
        <v>660</v>
      </c>
      <c r="F23" t="s">
        <v>661</v>
      </c>
      <c r="G23" t="s">
        <v>662</v>
      </c>
      <c r="I23" t="s">
        <v>626</v>
      </c>
      <c r="J23" t="s">
        <v>627</v>
      </c>
      <c r="L23" t="s">
        <v>347</v>
      </c>
      <c r="M23" t="s">
        <v>444</v>
      </c>
      <c r="N23" t="s">
        <v>444</v>
      </c>
      <c r="P23" t="s">
        <v>445</v>
      </c>
      <c r="Q23" t="s">
        <v>446</v>
      </c>
      <c r="R23" t="s">
        <v>446</v>
      </c>
      <c r="T23" t="s">
        <v>447</v>
      </c>
      <c r="U23" t="s">
        <v>448</v>
      </c>
      <c r="W23" t="s">
        <v>449</v>
      </c>
      <c r="X23" t="s">
        <v>450</v>
      </c>
      <c r="Z23" t="s">
        <v>11816</v>
      </c>
      <c r="AA23" t="s">
        <v>539</v>
      </c>
    </row>
    <row r="24" spans="2:27" x14ac:dyDescent="0.2">
      <c r="B24" t="s">
        <v>663</v>
      </c>
      <c r="C24" t="s">
        <v>664</v>
      </c>
      <c r="D24" t="s">
        <v>664</v>
      </c>
      <c r="F24" t="s">
        <v>632</v>
      </c>
      <c r="G24" t="s">
        <v>665</v>
      </c>
      <c r="I24" t="s">
        <v>666</v>
      </c>
      <c r="J24" t="s">
        <v>667</v>
      </c>
      <c r="L24" t="s">
        <v>341</v>
      </c>
      <c r="M24" t="s">
        <v>451</v>
      </c>
      <c r="N24" t="s">
        <v>451</v>
      </c>
      <c r="P24" t="s">
        <v>347</v>
      </c>
      <c r="Q24" t="s">
        <v>444</v>
      </c>
      <c r="R24" t="s">
        <v>444</v>
      </c>
      <c r="T24" t="s">
        <v>452</v>
      </c>
      <c r="U24" t="s">
        <v>453</v>
      </c>
      <c r="W24" t="s">
        <v>454</v>
      </c>
      <c r="X24" t="s">
        <v>455</v>
      </c>
      <c r="Z24" t="s">
        <v>397</v>
      </c>
      <c r="AA24" t="s">
        <v>11817</v>
      </c>
    </row>
    <row r="25" spans="2:27" x14ac:dyDescent="0.2">
      <c r="B25" t="s">
        <v>632</v>
      </c>
      <c r="C25" t="s">
        <v>668</v>
      </c>
      <c r="D25" t="s">
        <v>668</v>
      </c>
      <c r="F25" t="s">
        <v>669</v>
      </c>
      <c r="G25" t="s">
        <v>670</v>
      </c>
      <c r="I25" t="s">
        <v>669</v>
      </c>
      <c r="J25" t="s">
        <v>671</v>
      </c>
      <c r="L25" t="s">
        <v>456</v>
      </c>
      <c r="M25" t="s">
        <v>457</v>
      </c>
      <c r="N25" t="s">
        <v>457</v>
      </c>
      <c r="P25" t="s">
        <v>341</v>
      </c>
      <c r="Q25" t="s">
        <v>451</v>
      </c>
      <c r="R25" t="s">
        <v>451</v>
      </c>
      <c r="T25" t="s">
        <v>458</v>
      </c>
      <c r="U25" t="s">
        <v>459</v>
      </c>
      <c r="W25" t="s">
        <v>460</v>
      </c>
      <c r="X25" t="s">
        <v>461</v>
      </c>
      <c r="Z25" t="s">
        <v>11825</v>
      </c>
      <c r="AA25" t="s">
        <v>996</v>
      </c>
    </row>
    <row r="26" spans="2:27" x14ac:dyDescent="0.2">
      <c r="B26" t="s">
        <v>540</v>
      </c>
      <c r="C26" t="s">
        <v>672</v>
      </c>
      <c r="D26" t="s">
        <v>672</v>
      </c>
      <c r="F26" t="s">
        <v>341</v>
      </c>
      <c r="G26" t="s">
        <v>673</v>
      </c>
      <c r="I26" t="s">
        <v>341</v>
      </c>
      <c r="J26" t="s">
        <v>674</v>
      </c>
      <c r="L26" t="s">
        <v>462</v>
      </c>
      <c r="M26" t="s">
        <v>463</v>
      </c>
      <c r="N26" t="s">
        <v>463</v>
      </c>
      <c r="P26" t="s">
        <v>456</v>
      </c>
      <c r="Q26" t="s">
        <v>457</v>
      </c>
      <c r="R26" t="s">
        <v>457</v>
      </c>
      <c r="T26" t="s">
        <v>464</v>
      </c>
      <c r="U26" t="s">
        <v>465</v>
      </c>
      <c r="W26" t="s">
        <v>466</v>
      </c>
      <c r="X26" t="s">
        <v>467</v>
      </c>
      <c r="Z26" t="s">
        <v>462</v>
      </c>
      <c r="AA26" t="s">
        <v>463</v>
      </c>
    </row>
    <row r="27" spans="2:27" x14ac:dyDescent="0.2">
      <c r="B27" t="s">
        <v>669</v>
      </c>
      <c r="C27" t="s">
        <v>444</v>
      </c>
      <c r="D27" t="s">
        <v>444</v>
      </c>
      <c r="F27" t="s">
        <v>378</v>
      </c>
      <c r="G27" t="s">
        <v>675</v>
      </c>
      <c r="I27" t="s">
        <v>676</v>
      </c>
      <c r="J27" t="s">
        <v>463</v>
      </c>
      <c r="L27" t="s">
        <v>409</v>
      </c>
      <c r="M27" t="s">
        <v>468</v>
      </c>
      <c r="N27" t="s">
        <v>468</v>
      </c>
      <c r="P27" t="s">
        <v>462</v>
      </c>
      <c r="Q27" t="s">
        <v>463</v>
      </c>
      <c r="R27" t="s">
        <v>463</v>
      </c>
      <c r="T27" t="s">
        <v>386</v>
      </c>
      <c r="U27" t="s">
        <v>469</v>
      </c>
      <c r="W27" t="s">
        <v>470</v>
      </c>
      <c r="X27" t="s">
        <v>471</v>
      </c>
      <c r="Z27" t="s">
        <v>11826</v>
      </c>
      <c r="AA27" t="s">
        <v>3576</v>
      </c>
    </row>
    <row r="28" spans="2:27" x14ac:dyDescent="0.2">
      <c r="B28" t="s">
        <v>341</v>
      </c>
      <c r="C28" t="s">
        <v>677</v>
      </c>
      <c r="D28" t="s">
        <v>677</v>
      </c>
      <c r="F28" t="s">
        <v>678</v>
      </c>
      <c r="G28" t="s">
        <v>679</v>
      </c>
      <c r="I28" t="s">
        <v>409</v>
      </c>
      <c r="J28" t="s">
        <v>680</v>
      </c>
      <c r="L28" t="s">
        <v>472</v>
      </c>
      <c r="M28" t="s">
        <v>473</v>
      </c>
      <c r="N28" t="s">
        <v>473</v>
      </c>
      <c r="P28" t="s">
        <v>409</v>
      </c>
      <c r="Q28" t="s">
        <v>468</v>
      </c>
      <c r="R28" t="s">
        <v>468</v>
      </c>
      <c r="T28" t="s">
        <v>474</v>
      </c>
      <c r="U28" t="s">
        <v>475</v>
      </c>
      <c r="W28" t="s">
        <v>476</v>
      </c>
      <c r="X28" t="s">
        <v>477</v>
      </c>
      <c r="Z28" t="s">
        <v>341</v>
      </c>
      <c r="AA28" t="s">
        <v>3536</v>
      </c>
    </row>
    <row r="29" spans="2:27" x14ac:dyDescent="0.2">
      <c r="B29" t="s">
        <v>681</v>
      </c>
      <c r="C29" t="s">
        <v>535</v>
      </c>
      <c r="D29" t="s">
        <v>535</v>
      </c>
      <c r="F29" t="s">
        <v>682</v>
      </c>
      <c r="G29" t="s">
        <v>683</v>
      </c>
      <c r="I29" t="s">
        <v>684</v>
      </c>
      <c r="J29" t="s">
        <v>685</v>
      </c>
      <c r="L29" t="s">
        <v>478</v>
      </c>
      <c r="M29" t="s">
        <v>479</v>
      </c>
      <c r="N29" t="s">
        <v>480</v>
      </c>
      <c r="P29" t="s">
        <v>472</v>
      </c>
      <c r="Q29" t="s">
        <v>473</v>
      </c>
      <c r="R29" t="s">
        <v>473</v>
      </c>
      <c r="T29" t="s">
        <v>341</v>
      </c>
      <c r="U29" t="s">
        <v>481</v>
      </c>
      <c r="W29" t="s">
        <v>482</v>
      </c>
      <c r="X29" t="s">
        <v>483</v>
      </c>
      <c r="Z29" t="s">
        <v>11827</v>
      </c>
      <c r="AA29" t="s">
        <v>4178</v>
      </c>
    </row>
    <row r="30" spans="2:27" x14ac:dyDescent="0.2">
      <c r="B30" t="s">
        <v>686</v>
      </c>
      <c r="C30" t="s">
        <v>687</v>
      </c>
      <c r="D30" t="s">
        <v>687</v>
      </c>
      <c r="F30" t="s">
        <v>688</v>
      </c>
      <c r="G30" t="s">
        <v>689</v>
      </c>
      <c r="I30" t="s">
        <v>509</v>
      </c>
      <c r="J30" t="s">
        <v>690</v>
      </c>
      <c r="L30" t="s">
        <v>484</v>
      </c>
      <c r="M30" t="s">
        <v>485</v>
      </c>
      <c r="N30" t="s">
        <v>485</v>
      </c>
      <c r="P30" t="s">
        <v>478</v>
      </c>
      <c r="Q30" t="s">
        <v>479</v>
      </c>
      <c r="R30" t="s">
        <v>486</v>
      </c>
      <c r="T30" t="s">
        <v>487</v>
      </c>
      <c r="U30" t="s">
        <v>488</v>
      </c>
      <c r="W30" t="s">
        <v>489</v>
      </c>
      <c r="X30" t="s">
        <v>490</v>
      </c>
      <c r="Z30" t="s">
        <v>632</v>
      </c>
      <c r="AA30" t="s">
        <v>11828</v>
      </c>
    </row>
    <row r="31" spans="2:27" x14ac:dyDescent="0.2">
      <c r="B31" t="s">
        <v>409</v>
      </c>
      <c r="C31" t="s">
        <v>691</v>
      </c>
      <c r="D31" t="s">
        <v>691</v>
      </c>
      <c r="F31" t="s">
        <v>654</v>
      </c>
      <c r="G31" t="s">
        <v>692</v>
      </c>
      <c r="I31" t="s">
        <v>645</v>
      </c>
      <c r="J31" t="s">
        <v>693</v>
      </c>
      <c r="L31" t="s">
        <v>491</v>
      </c>
      <c r="M31" t="s">
        <v>492</v>
      </c>
      <c r="N31" t="s">
        <v>492</v>
      </c>
      <c r="P31" t="s">
        <v>484</v>
      </c>
      <c r="Q31" t="s">
        <v>493</v>
      </c>
      <c r="R31" t="s">
        <v>493</v>
      </c>
      <c r="T31" t="s">
        <v>494</v>
      </c>
      <c r="U31" t="s">
        <v>495</v>
      </c>
      <c r="W31" t="s">
        <v>496</v>
      </c>
      <c r="X31" t="s">
        <v>497</v>
      </c>
      <c r="Z31" t="s">
        <v>409</v>
      </c>
      <c r="AA31" t="s">
        <v>8122</v>
      </c>
    </row>
    <row r="32" spans="2:27" x14ac:dyDescent="0.2">
      <c r="B32" t="s">
        <v>676</v>
      </c>
      <c r="C32" t="s">
        <v>463</v>
      </c>
      <c r="D32" t="s">
        <v>463</v>
      </c>
      <c r="F32" t="s">
        <v>694</v>
      </c>
      <c r="G32" t="s">
        <v>695</v>
      </c>
      <c r="I32" t="s">
        <v>654</v>
      </c>
      <c r="J32" t="s">
        <v>696</v>
      </c>
      <c r="L32" t="s">
        <v>498</v>
      </c>
      <c r="M32" t="s">
        <v>499</v>
      </c>
      <c r="N32" t="s">
        <v>499</v>
      </c>
      <c r="P32" t="s">
        <v>491</v>
      </c>
      <c r="Q32" t="s">
        <v>492</v>
      </c>
      <c r="R32" t="s">
        <v>492</v>
      </c>
      <c r="T32" t="s">
        <v>500</v>
      </c>
      <c r="U32" t="s">
        <v>501</v>
      </c>
      <c r="W32" t="s">
        <v>502</v>
      </c>
      <c r="X32" t="s">
        <v>503</v>
      </c>
      <c r="Z32" t="s">
        <v>472</v>
      </c>
      <c r="AA32" t="s">
        <v>473</v>
      </c>
    </row>
    <row r="33" spans="2:27" x14ac:dyDescent="0.2">
      <c r="B33" t="s">
        <v>684</v>
      </c>
      <c r="C33" t="s">
        <v>697</v>
      </c>
      <c r="D33" t="s">
        <v>697</v>
      </c>
      <c r="F33" t="s">
        <v>698</v>
      </c>
      <c r="G33" t="s">
        <v>699</v>
      </c>
      <c r="I33" t="s">
        <v>700</v>
      </c>
      <c r="J33" t="s">
        <v>701</v>
      </c>
      <c r="L33" t="s">
        <v>464</v>
      </c>
      <c r="M33" t="s">
        <v>504</v>
      </c>
      <c r="N33" t="s">
        <v>504</v>
      </c>
      <c r="P33" t="s">
        <v>498</v>
      </c>
      <c r="Q33" t="s">
        <v>499</v>
      </c>
      <c r="R33" t="s">
        <v>499</v>
      </c>
      <c r="T33" t="s">
        <v>505</v>
      </c>
      <c r="U33" t="s">
        <v>506</v>
      </c>
      <c r="W33" t="s">
        <v>507</v>
      </c>
      <c r="X33" t="s">
        <v>508</v>
      </c>
      <c r="Z33" t="s">
        <v>361</v>
      </c>
      <c r="AA33" t="s">
        <v>6443</v>
      </c>
    </row>
    <row r="34" spans="2:27" x14ac:dyDescent="0.2">
      <c r="B34" t="s">
        <v>509</v>
      </c>
      <c r="C34" t="s">
        <v>702</v>
      </c>
      <c r="D34" t="s">
        <v>702</v>
      </c>
      <c r="F34" t="s">
        <v>703</v>
      </c>
      <c r="G34" t="s">
        <v>704</v>
      </c>
      <c r="I34" t="s">
        <v>705</v>
      </c>
      <c r="J34" t="s">
        <v>706</v>
      </c>
      <c r="L34" t="s">
        <v>509</v>
      </c>
      <c r="M34" t="s">
        <v>510</v>
      </c>
      <c r="N34" t="s">
        <v>510</v>
      </c>
      <c r="P34" t="s">
        <v>464</v>
      </c>
      <c r="Q34" t="s">
        <v>504</v>
      </c>
      <c r="R34" t="s">
        <v>504</v>
      </c>
      <c r="T34" t="s">
        <v>511</v>
      </c>
      <c r="U34" t="s">
        <v>512</v>
      </c>
      <c r="W34" t="s">
        <v>513</v>
      </c>
      <c r="X34" t="s">
        <v>514</v>
      </c>
      <c r="Z34" t="s">
        <v>11829</v>
      </c>
      <c r="AA34" t="s">
        <v>9857</v>
      </c>
    </row>
    <row r="35" spans="2:27" x14ac:dyDescent="0.2">
      <c r="B35" t="s">
        <v>645</v>
      </c>
      <c r="C35" t="s">
        <v>707</v>
      </c>
      <c r="D35" t="s">
        <v>707</v>
      </c>
      <c r="F35" t="s">
        <v>708</v>
      </c>
      <c r="G35" t="s">
        <v>709</v>
      </c>
      <c r="I35" t="s">
        <v>710</v>
      </c>
      <c r="J35" t="s">
        <v>711</v>
      </c>
      <c r="L35" t="s">
        <v>515</v>
      </c>
      <c r="M35" t="s">
        <v>516</v>
      </c>
      <c r="N35" t="s">
        <v>516</v>
      </c>
      <c r="P35" t="s">
        <v>509</v>
      </c>
      <c r="Q35" t="s">
        <v>510</v>
      </c>
      <c r="R35" t="s">
        <v>510</v>
      </c>
      <c r="T35" t="s">
        <v>321</v>
      </c>
      <c r="U35" t="s">
        <v>256</v>
      </c>
      <c r="W35" t="s">
        <v>517</v>
      </c>
      <c r="X35" t="s">
        <v>518</v>
      </c>
      <c r="Z35" t="s">
        <v>11830</v>
      </c>
      <c r="AA35" t="s">
        <v>2887</v>
      </c>
    </row>
    <row r="36" spans="2:27" x14ac:dyDescent="0.2">
      <c r="B36" t="s">
        <v>654</v>
      </c>
      <c r="C36" t="s">
        <v>712</v>
      </c>
      <c r="D36" t="s">
        <v>712</v>
      </c>
      <c r="F36" t="s">
        <v>713</v>
      </c>
      <c r="G36" t="s">
        <v>714</v>
      </c>
      <c r="I36" t="s">
        <v>715</v>
      </c>
      <c r="J36" t="s">
        <v>716</v>
      </c>
      <c r="L36" t="s">
        <v>519</v>
      </c>
      <c r="M36" t="s">
        <v>520</v>
      </c>
      <c r="N36" t="s">
        <v>520</v>
      </c>
      <c r="P36" t="s">
        <v>515</v>
      </c>
      <c r="Q36" t="s">
        <v>516</v>
      </c>
      <c r="R36" t="s">
        <v>516</v>
      </c>
      <c r="W36" t="s">
        <v>322</v>
      </c>
      <c r="X36" t="s">
        <v>256</v>
      </c>
      <c r="Z36" t="s">
        <v>11831</v>
      </c>
      <c r="AA36" t="s">
        <v>10631</v>
      </c>
    </row>
    <row r="37" spans="2:27" x14ac:dyDescent="0.2">
      <c r="B37" t="s">
        <v>700</v>
      </c>
      <c r="C37" t="s">
        <v>717</v>
      </c>
      <c r="D37" t="s">
        <v>717</v>
      </c>
      <c r="F37" t="s">
        <v>718</v>
      </c>
      <c r="G37" t="s">
        <v>719</v>
      </c>
      <c r="I37" t="s">
        <v>661</v>
      </c>
      <c r="J37" t="s">
        <v>720</v>
      </c>
      <c r="L37" t="s">
        <v>392</v>
      </c>
      <c r="M37" t="s">
        <v>521</v>
      </c>
      <c r="N37" t="s">
        <v>521</v>
      </c>
      <c r="P37" t="s">
        <v>519</v>
      </c>
      <c r="Q37" t="s">
        <v>520</v>
      </c>
      <c r="R37" t="s">
        <v>520</v>
      </c>
      <c r="Z37" t="s">
        <v>515</v>
      </c>
      <c r="AA37" t="s">
        <v>477</v>
      </c>
    </row>
    <row r="38" spans="2:27" x14ac:dyDescent="0.2">
      <c r="B38" t="s">
        <v>721</v>
      </c>
      <c r="C38" t="s">
        <v>722</v>
      </c>
      <c r="D38" t="s">
        <v>722</v>
      </c>
      <c r="F38" t="s">
        <v>723</v>
      </c>
      <c r="G38" t="s">
        <v>724</v>
      </c>
      <c r="I38" t="s">
        <v>725</v>
      </c>
      <c r="J38" t="s">
        <v>726</v>
      </c>
      <c r="L38" t="s">
        <v>522</v>
      </c>
      <c r="M38" t="s">
        <v>523</v>
      </c>
      <c r="N38" t="s">
        <v>523</v>
      </c>
      <c r="P38" t="s">
        <v>392</v>
      </c>
      <c r="Q38" t="s">
        <v>521</v>
      </c>
      <c r="R38" t="s">
        <v>521</v>
      </c>
      <c r="Z38" t="s">
        <v>464</v>
      </c>
      <c r="AA38" t="s">
        <v>707</v>
      </c>
    </row>
    <row r="39" spans="2:27" x14ac:dyDescent="0.2">
      <c r="B39" t="s">
        <v>705</v>
      </c>
      <c r="C39" t="s">
        <v>727</v>
      </c>
      <c r="D39" t="s">
        <v>727</v>
      </c>
      <c r="F39" t="s">
        <v>728</v>
      </c>
      <c r="G39" t="s">
        <v>729</v>
      </c>
      <c r="I39" t="s">
        <v>365</v>
      </c>
      <c r="J39" t="s">
        <v>366</v>
      </c>
      <c r="L39" t="s">
        <v>524</v>
      </c>
      <c r="M39" t="s">
        <v>525</v>
      </c>
      <c r="N39" t="s">
        <v>525</v>
      </c>
      <c r="P39" t="s">
        <v>522</v>
      </c>
      <c r="Q39" t="s">
        <v>523</v>
      </c>
      <c r="R39" t="s">
        <v>523</v>
      </c>
      <c r="Z39" t="s">
        <v>11832</v>
      </c>
      <c r="AA39" t="s">
        <v>3051</v>
      </c>
    </row>
    <row r="40" spans="2:27" x14ac:dyDescent="0.2">
      <c r="B40" t="s">
        <v>710</v>
      </c>
      <c r="C40" t="s">
        <v>730</v>
      </c>
      <c r="D40" t="s">
        <v>730</v>
      </c>
      <c r="F40" t="s">
        <v>731</v>
      </c>
      <c r="G40" t="s">
        <v>732</v>
      </c>
      <c r="I40" t="s">
        <v>694</v>
      </c>
      <c r="J40" t="s">
        <v>353</v>
      </c>
      <c r="L40" t="s">
        <v>526</v>
      </c>
      <c r="M40" t="s">
        <v>527</v>
      </c>
      <c r="N40" t="s">
        <v>527</v>
      </c>
      <c r="P40" t="s">
        <v>524</v>
      </c>
      <c r="Q40" t="s">
        <v>525</v>
      </c>
      <c r="R40" t="s">
        <v>525</v>
      </c>
      <c r="Z40" t="s">
        <v>484</v>
      </c>
      <c r="AA40" t="s">
        <v>11833</v>
      </c>
    </row>
    <row r="41" spans="2:27" x14ac:dyDescent="0.2">
      <c r="B41" t="s">
        <v>715</v>
      </c>
      <c r="C41" t="s">
        <v>733</v>
      </c>
      <c r="D41" t="s">
        <v>733</v>
      </c>
      <c r="F41" t="s">
        <v>734</v>
      </c>
      <c r="G41" t="s">
        <v>735</v>
      </c>
      <c r="I41" t="s">
        <v>736</v>
      </c>
      <c r="J41" t="s">
        <v>737</v>
      </c>
      <c r="L41" t="s">
        <v>386</v>
      </c>
      <c r="M41" t="s">
        <v>528</v>
      </c>
      <c r="N41" t="s">
        <v>528</v>
      </c>
      <c r="P41" t="s">
        <v>526</v>
      </c>
      <c r="Q41" t="s">
        <v>527</v>
      </c>
      <c r="R41" t="s">
        <v>527</v>
      </c>
      <c r="Z41" t="s">
        <v>11834</v>
      </c>
      <c r="AA41" t="s">
        <v>3268</v>
      </c>
    </row>
    <row r="42" spans="2:27" x14ac:dyDescent="0.2">
      <c r="B42" t="s">
        <v>661</v>
      </c>
      <c r="C42" t="s">
        <v>738</v>
      </c>
      <c r="D42" t="s">
        <v>738</v>
      </c>
      <c r="F42" t="s">
        <v>739</v>
      </c>
      <c r="G42" t="s">
        <v>740</v>
      </c>
      <c r="I42" t="s">
        <v>741</v>
      </c>
      <c r="J42" t="s">
        <v>689</v>
      </c>
      <c r="L42" t="s">
        <v>529</v>
      </c>
      <c r="M42" t="s">
        <v>530</v>
      </c>
      <c r="N42" t="s">
        <v>530</v>
      </c>
      <c r="P42" t="s">
        <v>386</v>
      </c>
      <c r="Q42" t="s">
        <v>528</v>
      </c>
      <c r="R42" t="s">
        <v>528</v>
      </c>
      <c r="W42" t="s">
        <v>11858</v>
      </c>
      <c r="X42" t="s">
        <v>11859</v>
      </c>
      <c r="Z42" t="s">
        <v>11835</v>
      </c>
      <c r="AA42" t="s">
        <v>545</v>
      </c>
    </row>
    <row r="43" spans="2:27" x14ac:dyDescent="0.2">
      <c r="B43" t="s">
        <v>725</v>
      </c>
      <c r="C43" t="s">
        <v>742</v>
      </c>
      <c r="D43" t="s">
        <v>742</v>
      </c>
      <c r="F43" t="s">
        <v>369</v>
      </c>
      <c r="G43" t="s">
        <v>743</v>
      </c>
      <c r="I43" t="s">
        <v>378</v>
      </c>
      <c r="J43" t="s">
        <v>675</v>
      </c>
      <c r="L43" t="s">
        <v>474</v>
      </c>
      <c r="M43" t="s">
        <v>531</v>
      </c>
      <c r="N43" t="s">
        <v>531</v>
      </c>
      <c r="P43" t="s">
        <v>529</v>
      </c>
      <c r="Q43" t="s">
        <v>530</v>
      </c>
      <c r="R43" t="s">
        <v>530</v>
      </c>
      <c r="W43" t="s">
        <v>11868</v>
      </c>
      <c r="X43" t="s">
        <v>11869</v>
      </c>
      <c r="Z43" t="s">
        <v>372</v>
      </c>
      <c r="AA43" t="s">
        <v>753</v>
      </c>
    </row>
    <row r="44" spans="2:27" x14ac:dyDescent="0.2">
      <c r="B44" t="s">
        <v>744</v>
      </c>
      <c r="C44" t="s">
        <v>745</v>
      </c>
      <c r="D44" t="s">
        <v>745</v>
      </c>
      <c r="F44" t="s">
        <v>267</v>
      </c>
      <c r="G44" t="s">
        <v>746</v>
      </c>
      <c r="I44" t="s">
        <v>747</v>
      </c>
      <c r="J44" t="s">
        <v>748</v>
      </c>
      <c r="L44" t="s">
        <v>532</v>
      </c>
      <c r="M44" t="s">
        <v>533</v>
      </c>
      <c r="N44" t="s">
        <v>533</v>
      </c>
      <c r="P44" t="s">
        <v>474</v>
      </c>
      <c r="Q44" t="s">
        <v>531</v>
      </c>
      <c r="R44" t="s">
        <v>531</v>
      </c>
      <c r="W44" t="s">
        <v>11870</v>
      </c>
      <c r="X44" t="s">
        <v>11871</v>
      </c>
      <c r="Z44" t="s">
        <v>352</v>
      </c>
      <c r="AA44" t="s">
        <v>11836</v>
      </c>
    </row>
    <row r="45" spans="2:27" x14ac:dyDescent="0.2">
      <c r="B45" t="s">
        <v>694</v>
      </c>
      <c r="C45" t="s">
        <v>749</v>
      </c>
      <c r="D45" t="s">
        <v>749</v>
      </c>
      <c r="F45" t="s">
        <v>356</v>
      </c>
      <c r="G45" t="s">
        <v>750</v>
      </c>
      <c r="I45" t="s">
        <v>751</v>
      </c>
      <c r="J45" t="s">
        <v>752</v>
      </c>
      <c r="L45" t="s">
        <v>534</v>
      </c>
      <c r="M45" t="s">
        <v>535</v>
      </c>
      <c r="N45" t="s">
        <v>535</v>
      </c>
      <c r="P45" t="s">
        <v>532</v>
      </c>
      <c r="Q45" t="s">
        <v>533</v>
      </c>
      <c r="R45" t="s">
        <v>533</v>
      </c>
      <c r="W45" t="s">
        <v>11872</v>
      </c>
      <c r="X45" t="s">
        <v>11873</v>
      </c>
      <c r="Z45" t="s">
        <v>11838</v>
      </c>
      <c r="AA45" t="s">
        <v>11837</v>
      </c>
    </row>
    <row r="46" spans="2:27" x14ac:dyDescent="0.2">
      <c r="B46" t="s">
        <v>736</v>
      </c>
      <c r="C46" t="s">
        <v>753</v>
      </c>
      <c r="D46" t="s">
        <v>753</v>
      </c>
      <c r="F46" t="s">
        <v>292</v>
      </c>
      <c r="G46" t="s">
        <v>754</v>
      </c>
      <c r="I46" t="s">
        <v>755</v>
      </c>
      <c r="J46" t="s">
        <v>545</v>
      </c>
      <c r="L46" t="s">
        <v>536</v>
      </c>
      <c r="M46" t="s">
        <v>537</v>
      </c>
      <c r="N46" t="s">
        <v>537</v>
      </c>
      <c r="P46" t="s">
        <v>534</v>
      </c>
      <c r="Q46" t="s">
        <v>535</v>
      </c>
      <c r="R46" t="s">
        <v>535</v>
      </c>
      <c r="W46" t="s">
        <v>11878</v>
      </c>
      <c r="X46" t="s">
        <v>11879</v>
      </c>
      <c r="Z46" t="s">
        <v>11750</v>
      </c>
      <c r="AA46" t="s">
        <v>764</v>
      </c>
    </row>
    <row r="47" spans="2:27" x14ac:dyDescent="0.2">
      <c r="B47" t="s">
        <v>747</v>
      </c>
      <c r="C47" t="s">
        <v>756</v>
      </c>
      <c r="D47" t="s">
        <v>756</v>
      </c>
      <c r="F47" t="s">
        <v>757</v>
      </c>
      <c r="G47" t="s">
        <v>758</v>
      </c>
      <c r="I47" t="s">
        <v>162</v>
      </c>
      <c r="J47" t="s">
        <v>759</v>
      </c>
      <c r="L47" t="s">
        <v>538</v>
      </c>
      <c r="M47" t="s">
        <v>539</v>
      </c>
      <c r="N47" t="s">
        <v>539</v>
      </c>
      <c r="P47" t="s">
        <v>536</v>
      </c>
      <c r="Q47" t="s">
        <v>537</v>
      </c>
      <c r="R47" t="s">
        <v>537</v>
      </c>
      <c r="Z47" t="s">
        <v>11839</v>
      </c>
      <c r="AA47" t="s">
        <v>765</v>
      </c>
    </row>
    <row r="48" spans="2:27" x14ac:dyDescent="0.2">
      <c r="B48" t="s">
        <v>751</v>
      </c>
      <c r="C48" t="s">
        <v>760</v>
      </c>
      <c r="D48" t="s">
        <v>760</v>
      </c>
      <c r="F48" t="s">
        <v>11860</v>
      </c>
      <c r="G48" t="s">
        <v>11927</v>
      </c>
      <c r="I48" t="s">
        <v>761</v>
      </c>
      <c r="J48" t="s">
        <v>762</v>
      </c>
      <c r="L48" t="s">
        <v>540</v>
      </c>
      <c r="M48" t="s">
        <v>541</v>
      </c>
      <c r="N48" t="s">
        <v>541</v>
      </c>
      <c r="P48" t="s">
        <v>538</v>
      </c>
      <c r="Q48" t="s">
        <v>539</v>
      </c>
      <c r="R48" t="s">
        <v>539</v>
      </c>
      <c r="Z48" t="s">
        <v>11840</v>
      </c>
      <c r="AA48" t="s">
        <v>11841</v>
      </c>
    </row>
    <row r="49" spans="2:27" x14ac:dyDescent="0.2">
      <c r="B49" t="s">
        <v>763</v>
      </c>
      <c r="C49" t="s">
        <v>545</v>
      </c>
      <c r="D49" t="s">
        <v>545</v>
      </c>
      <c r="F49" t="s">
        <v>703</v>
      </c>
      <c r="G49" t="s">
        <v>11928</v>
      </c>
      <c r="I49" t="s">
        <v>11854</v>
      </c>
      <c r="J49" t="s">
        <v>11907</v>
      </c>
      <c r="L49" t="s">
        <v>542</v>
      </c>
      <c r="M49" t="s">
        <v>543</v>
      </c>
      <c r="N49" t="s">
        <v>543</v>
      </c>
      <c r="P49" t="s">
        <v>540</v>
      </c>
      <c r="Q49" t="s">
        <v>541</v>
      </c>
      <c r="R49" t="s">
        <v>541</v>
      </c>
      <c r="Z49" t="s">
        <v>378</v>
      </c>
      <c r="AA49" t="s">
        <v>766</v>
      </c>
    </row>
    <row r="50" spans="2:27" x14ac:dyDescent="0.2">
      <c r="B50" t="s">
        <v>678</v>
      </c>
      <c r="C50" t="s">
        <v>764</v>
      </c>
      <c r="D50" t="s">
        <v>764</v>
      </c>
      <c r="F50" t="s">
        <v>11877</v>
      </c>
      <c r="G50" t="s">
        <v>11929</v>
      </c>
      <c r="I50" t="s">
        <v>11855</v>
      </c>
      <c r="J50" t="s">
        <v>11908</v>
      </c>
      <c r="L50" t="s">
        <v>544</v>
      </c>
      <c r="M50" t="s">
        <v>545</v>
      </c>
      <c r="N50" t="s">
        <v>545</v>
      </c>
      <c r="P50" t="s">
        <v>542</v>
      </c>
      <c r="Q50" t="s">
        <v>543</v>
      </c>
      <c r="R50" t="s">
        <v>543</v>
      </c>
      <c r="Z50" t="s">
        <v>11842</v>
      </c>
      <c r="AA50" t="s">
        <v>6285</v>
      </c>
    </row>
    <row r="51" spans="2:27" x14ac:dyDescent="0.2">
      <c r="B51" t="s">
        <v>741</v>
      </c>
      <c r="C51" t="s">
        <v>765</v>
      </c>
      <c r="D51" t="s">
        <v>765</v>
      </c>
      <c r="F51" t="s">
        <v>11906</v>
      </c>
      <c r="G51" t="s">
        <v>8971</v>
      </c>
      <c r="I51" t="s">
        <v>11900</v>
      </c>
      <c r="J51" t="s">
        <v>11857</v>
      </c>
      <c r="L51" t="s">
        <v>546</v>
      </c>
      <c r="M51" t="s">
        <v>547</v>
      </c>
      <c r="N51" t="s">
        <v>547</v>
      </c>
      <c r="P51" t="s">
        <v>544</v>
      </c>
      <c r="Q51" t="s">
        <v>545</v>
      </c>
      <c r="R51" t="s">
        <v>545</v>
      </c>
      <c r="Z51" t="s">
        <v>925</v>
      </c>
      <c r="AA51" t="s">
        <v>3259</v>
      </c>
    </row>
    <row r="52" spans="2:27" x14ac:dyDescent="0.2">
      <c r="B52" t="s">
        <v>378</v>
      </c>
      <c r="C52" t="s">
        <v>766</v>
      </c>
      <c r="D52" t="s">
        <v>766</v>
      </c>
      <c r="F52" t="s">
        <v>11853</v>
      </c>
      <c r="G52" t="s">
        <v>11914</v>
      </c>
      <c r="I52" t="s">
        <v>703</v>
      </c>
      <c r="J52" t="s">
        <v>11909</v>
      </c>
      <c r="L52" t="s">
        <v>548</v>
      </c>
      <c r="M52" t="s">
        <v>549</v>
      </c>
      <c r="N52" t="s">
        <v>549</v>
      </c>
      <c r="P52" t="s">
        <v>546</v>
      </c>
      <c r="Q52" t="s">
        <v>547</v>
      </c>
      <c r="R52" t="s">
        <v>547</v>
      </c>
      <c r="Z52" t="s">
        <v>11843</v>
      </c>
      <c r="AA52" t="s">
        <v>11844</v>
      </c>
    </row>
    <row r="53" spans="2:27" x14ac:dyDescent="0.2">
      <c r="B53" t="s">
        <v>767</v>
      </c>
      <c r="C53" t="s">
        <v>768</v>
      </c>
      <c r="D53" t="s">
        <v>768</v>
      </c>
      <c r="F53" t="s">
        <v>11925</v>
      </c>
      <c r="G53" t="s">
        <v>11930</v>
      </c>
      <c r="I53" t="s">
        <v>11934</v>
      </c>
      <c r="J53" t="s">
        <v>11881</v>
      </c>
      <c r="L53" t="s">
        <v>550</v>
      </c>
      <c r="M53" t="s">
        <v>551</v>
      </c>
      <c r="N53" t="s">
        <v>551</v>
      </c>
      <c r="P53" t="s">
        <v>548</v>
      </c>
      <c r="Q53" t="s">
        <v>549</v>
      </c>
      <c r="R53" t="s">
        <v>549</v>
      </c>
      <c r="Z53" t="s">
        <v>345</v>
      </c>
      <c r="AA53" t="s">
        <v>11845</v>
      </c>
    </row>
    <row r="54" spans="2:27" x14ac:dyDescent="0.2">
      <c r="B54" t="s">
        <v>761</v>
      </c>
      <c r="C54" t="s">
        <v>769</v>
      </c>
      <c r="D54" t="s">
        <v>769</v>
      </c>
      <c r="F54" t="s">
        <v>11926</v>
      </c>
      <c r="G54" t="s">
        <v>11931</v>
      </c>
      <c r="I54" t="s">
        <v>11856</v>
      </c>
      <c r="J54" t="s">
        <v>11910</v>
      </c>
      <c r="L54" t="s">
        <v>352</v>
      </c>
      <c r="M54" t="s">
        <v>552</v>
      </c>
      <c r="N54" t="s">
        <v>552</v>
      </c>
      <c r="P54" t="s">
        <v>550</v>
      </c>
      <c r="Q54" t="s">
        <v>551</v>
      </c>
      <c r="R54" t="s">
        <v>551</v>
      </c>
      <c r="Z54" t="s">
        <v>11800</v>
      </c>
      <c r="AA54" t="s">
        <v>256</v>
      </c>
    </row>
    <row r="55" spans="2:27" x14ac:dyDescent="0.2">
      <c r="B55" t="s">
        <v>770</v>
      </c>
      <c r="C55" t="s">
        <v>771</v>
      </c>
      <c r="D55" t="s">
        <v>771</v>
      </c>
      <c r="F55" t="s">
        <v>11861</v>
      </c>
      <c r="G55" t="s">
        <v>11932</v>
      </c>
      <c r="I55" t="s">
        <v>11874</v>
      </c>
      <c r="J55" t="s">
        <v>11911</v>
      </c>
      <c r="L55" t="s">
        <v>553</v>
      </c>
      <c r="M55" t="s">
        <v>554</v>
      </c>
      <c r="N55" t="s">
        <v>554</v>
      </c>
      <c r="P55" t="s">
        <v>352</v>
      </c>
      <c r="Q55" t="s">
        <v>552</v>
      </c>
      <c r="R55" t="s">
        <v>552</v>
      </c>
    </row>
    <row r="56" spans="2:27" x14ac:dyDescent="0.2">
      <c r="B56" t="s">
        <v>162</v>
      </c>
      <c r="C56" t="s">
        <v>772</v>
      </c>
      <c r="D56" t="s">
        <v>772</v>
      </c>
      <c r="F56" t="s">
        <v>11902</v>
      </c>
      <c r="G56" t="s">
        <v>11933</v>
      </c>
      <c r="I56" t="s">
        <v>11875</v>
      </c>
      <c r="J56" t="s">
        <v>11912</v>
      </c>
      <c r="L56" t="s">
        <v>555</v>
      </c>
      <c r="M56" t="s">
        <v>556</v>
      </c>
      <c r="N56" t="s">
        <v>556</v>
      </c>
      <c r="P56" t="s">
        <v>553</v>
      </c>
      <c r="Q56" t="s">
        <v>554</v>
      </c>
      <c r="R56" t="s">
        <v>554</v>
      </c>
    </row>
    <row r="57" spans="2:27" x14ac:dyDescent="0.2">
      <c r="B57" t="s">
        <v>11852</v>
      </c>
      <c r="C57" t="s">
        <v>11885</v>
      </c>
      <c r="D57" t="s">
        <v>11885</v>
      </c>
      <c r="F57" t="s">
        <v>585</v>
      </c>
      <c r="G57" t="s">
        <v>256</v>
      </c>
      <c r="I57" t="s">
        <v>11935</v>
      </c>
      <c r="J57" t="s">
        <v>11876</v>
      </c>
      <c r="L57" t="s">
        <v>557</v>
      </c>
      <c r="M57" t="s">
        <v>558</v>
      </c>
      <c r="N57" t="s">
        <v>558</v>
      </c>
      <c r="P57" t="s">
        <v>555</v>
      </c>
      <c r="Q57" t="s">
        <v>556</v>
      </c>
      <c r="R57" t="s">
        <v>556</v>
      </c>
    </row>
    <row r="58" spans="2:27" x14ac:dyDescent="0.2">
      <c r="B58" t="s">
        <v>11936</v>
      </c>
      <c r="C58" t="s">
        <v>11886</v>
      </c>
      <c r="D58" t="s">
        <v>11886</v>
      </c>
      <c r="I58" t="s">
        <v>11880</v>
      </c>
      <c r="J58" t="s">
        <v>11913</v>
      </c>
      <c r="L58" t="s">
        <v>515</v>
      </c>
      <c r="M58" t="s">
        <v>559</v>
      </c>
      <c r="N58" t="s">
        <v>559</v>
      </c>
      <c r="P58" t="s">
        <v>557</v>
      </c>
      <c r="Q58" t="s">
        <v>558</v>
      </c>
      <c r="R58" t="s">
        <v>558</v>
      </c>
    </row>
    <row r="59" spans="2:27" x14ac:dyDescent="0.2">
      <c r="B59" t="s">
        <v>11882</v>
      </c>
      <c r="C59" t="s">
        <v>11887</v>
      </c>
      <c r="D59" t="s">
        <v>11887</v>
      </c>
      <c r="I59" t="s">
        <v>11853</v>
      </c>
      <c r="J59" t="s">
        <v>11914</v>
      </c>
      <c r="L59" t="s">
        <v>560</v>
      </c>
      <c r="M59" t="s">
        <v>561</v>
      </c>
      <c r="N59" t="s">
        <v>561</v>
      </c>
      <c r="P59" t="s">
        <v>562</v>
      </c>
      <c r="Q59" t="s">
        <v>559</v>
      </c>
      <c r="R59" t="s">
        <v>559</v>
      </c>
    </row>
    <row r="60" spans="2:27" x14ac:dyDescent="0.2">
      <c r="B60" t="s">
        <v>11883</v>
      </c>
      <c r="C60" t="s">
        <v>11888</v>
      </c>
      <c r="D60" t="s">
        <v>11888</v>
      </c>
      <c r="I60" t="s">
        <v>11903</v>
      </c>
      <c r="J60" t="s">
        <v>11915</v>
      </c>
      <c r="L60" t="s">
        <v>563</v>
      </c>
      <c r="M60" t="s">
        <v>564</v>
      </c>
      <c r="N60" t="s">
        <v>564</v>
      </c>
      <c r="P60" t="s">
        <v>560</v>
      </c>
      <c r="Q60" t="s">
        <v>561</v>
      </c>
      <c r="R60" t="s">
        <v>561</v>
      </c>
    </row>
    <row r="61" spans="2:27" x14ac:dyDescent="0.2">
      <c r="B61" t="s">
        <v>11884</v>
      </c>
      <c r="C61" t="s">
        <v>11889</v>
      </c>
      <c r="D61" t="s">
        <v>11889</v>
      </c>
      <c r="I61" t="s">
        <v>11905</v>
      </c>
      <c r="J61" t="s">
        <v>11916</v>
      </c>
      <c r="L61" t="s">
        <v>565</v>
      </c>
      <c r="M61" t="s">
        <v>566</v>
      </c>
      <c r="N61" t="s">
        <v>566</v>
      </c>
      <c r="P61" t="s">
        <v>563</v>
      </c>
      <c r="Q61" t="s">
        <v>564</v>
      </c>
      <c r="R61" t="s">
        <v>564</v>
      </c>
    </row>
    <row r="62" spans="2:27" x14ac:dyDescent="0.2">
      <c r="B62" t="s">
        <v>11041</v>
      </c>
      <c r="C62" t="s">
        <v>11890</v>
      </c>
      <c r="D62" t="s">
        <v>11890</v>
      </c>
      <c r="I62" t="s">
        <v>11862</v>
      </c>
      <c r="J62" t="s">
        <v>11917</v>
      </c>
      <c r="L62" t="s">
        <v>567</v>
      </c>
      <c r="M62" t="s">
        <v>568</v>
      </c>
      <c r="N62" t="s">
        <v>568</v>
      </c>
      <c r="P62" t="s">
        <v>569</v>
      </c>
      <c r="Q62" t="s">
        <v>570</v>
      </c>
      <c r="R62" t="s">
        <v>570</v>
      </c>
    </row>
    <row r="63" spans="2:27" x14ac:dyDescent="0.2">
      <c r="B63" t="s">
        <v>11937</v>
      </c>
      <c r="C63" t="s">
        <v>4278</v>
      </c>
      <c r="D63" t="s">
        <v>4278</v>
      </c>
      <c r="I63" t="s">
        <v>11902</v>
      </c>
      <c r="J63" t="s">
        <v>11918</v>
      </c>
      <c r="L63" t="s">
        <v>569</v>
      </c>
      <c r="M63" t="s">
        <v>570</v>
      </c>
      <c r="N63" t="s">
        <v>570</v>
      </c>
      <c r="P63" t="s">
        <v>571</v>
      </c>
      <c r="Q63" t="s">
        <v>572</v>
      </c>
      <c r="R63" t="s">
        <v>572</v>
      </c>
    </row>
    <row r="64" spans="2:27" x14ac:dyDescent="0.2">
      <c r="B64" t="s">
        <v>11939</v>
      </c>
      <c r="C64" t="s">
        <v>8226</v>
      </c>
      <c r="D64" t="s">
        <v>8226</v>
      </c>
      <c r="I64" t="s">
        <v>11863</v>
      </c>
      <c r="J64" t="s">
        <v>11919</v>
      </c>
      <c r="L64" t="s">
        <v>571</v>
      </c>
      <c r="M64" t="s">
        <v>572</v>
      </c>
      <c r="N64" t="s">
        <v>572</v>
      </c>
      <c r="P64" t="s">
        <v>573</v>
      </c>
      <c r="Q64" t="s">
        <v>574</v>
      </c>
      <c r="R64" t="s">
        <v>574</v>
      </c>
    </row>
    <row r="65" spans="2:18" x14ac:dyDescent="0.2">
      <c r="B65" t="s">
        <v>11897</v>
      </c>
      <c r="C65" t="s">
        <v>11898</v>
      </c>
      <c r="D65" t="s">
        <v>11898</v>
      </c>
      <c r="I65" t="s">
        <v>11864</v>
      </c>
      <c r="J65" t="s">
        <v>11920</v>
      </c>
      <c r="L65" t="s">
        <v>573</v>
      </c>
      <c r="M65" t="s">
        <v>574</v>
      </c>
      <c r="N65" t="s">
        <v>574</v>
      </c>
      <c r="P65" t="s">
        <v>575</v>
      </c>
      <c r="Q65" t="s">
        <v>576</v>
      </c>
      <c r="R65" t="s">
        <v>576</v>
      </c>
    </row>
    <row r="66" spans="2:18" x14ac:dyDescent="0.2">
      <c r="B66" t="s">
        <v>11904</v>
      </c>
      <c r="C66" t="s">
        <v>11899</v>
      </c>
      <c r="D66" t="s">
        <v>11899</v>
      </c>
      <c r="I66" t="s">
        <v>11865</v>
      </c>
      <c r="J66" t="s">
        <v>11921</v>
      </c>
      <c r="L66" t="s">
        <v>517</v>
      </c>
      <c r="M66" t="s">
        <v>577</v>
      </c>
      <c r="N66" t="s">
        <v>577</v>
      </c>
      <c r="P66" t="s">
        <v>517</v>
      </c>
      <c r="Q66" t="s">
        <v>578</v>
      </c>
      <c r="R66" t="s">
        <v>578</v>
      </c>
    </row>
    <row r="67" spans="2:18" x14ac:dyDescent="0.2">
      <c r="B67" t="s">
        <v>11846</v>
      </c>
      <c r="C67" t="s">
        <v>11891</v>
      </c>
      <c r="D67" t="s">
        <v>11891</v>
      </c>
      <c r="I67" t="s">
        <v>11866</v>
      </c>
      <c r="J67" t="s">
        <v>11922</v>
      </c>
      <c r="L67" t="s">
        <v>579</v>
      </c>
      <c r="M67" t="s">
        <v>580</v>
      </c>
      <c r="N67" t="s">
        <v>580</v>
      </c>
      <c r="P67" t="s">
        <v>579</v>
      </c>
      <c r="Q67" t="s">
        <v>580</v>
      </c>
      <c r="R67" t="s">
        <v>580</v>
      </c>
    </row>
    <row r="68" spans="2:18" x14ac:dyDescent="0.2">
      <c r="B68" t="s">
        <v>11847</v>
      </c>
      <c r="C68" t="s">
        <v>11892</v>
      </c>
      <c r="D68" t="s">
        <v>11892</v>
      </c>
      <c r="I68" t="s">
        <v>11867</v>
      </c>
      <c r="J68" t="s">
        <v>11923</v>
      </c>
      <c r="L68" t="s">
        <v>581</v>
      </c>
      <c r="M68" t="s">
        <v>582</v>
      </c>
      <c r="N68" t="s">
        <v>582</v>
      </c>
      <c r="P68" t="s">
        <v>581</v>
      </c>
      <c r="Q68" t="s">
        <v>582</v>
      </c>
      <c r="R68" t="s">
        <v>582</v>
      </c>
    </row>
    <row r="69" spans="2:18" x14ac:dyDescent="0.2">
      <c r="B69" t="s">
        <v>11848</v>
      </c>
      <c r="C69" t="s">
        <v>11893</v>
      </c>
      <c r="D69" t="s">
        <v>11893</v>
      </c>
      <c r="I69" t="s">
        <v>11906</v>
      </c>
      <c r="J69" t="s">
        <v>11924</v>
      </c>
      <c r="L69" t="s">
        <v>317</v>
      </c>
      <c r="M69" t="s">
        <v>256</v>
      </c>
      <c r="N69" t="s">
        <v>256</v>
      </c>
      <c r="P69" t="s">
        <v>319</v>
      </c>
      <c r="Q69" t="s">
        <v>256</v>
      </c>
      <c r="R69" t="s">
        <v>256</v>
      </c>
    </row>
    <row r="70" spans="2:18" x14ac:dyDescent="0.2">
      <c r="B70" t="s">
        <v>11849</v>
      </c>
      <c r="C70" t="s">
        <v>11894</v>
      </c>
      <c r="D70" t="s">
        <v>11894</v>
      </c>
      <c r="I70" t="s">
        <v>586</v>
      </c>
      <c r="J70" t="s">
        <v>256</v>
      </c>
      <c r="L70" t="s">
        <v>318</v>
      </c>
      <c r="M70" t="s">
        <v>256</v>
      </c>
      <c r="N70" t="s">
        <v>256</v>
      </c>
      <c r="P70" t="s">
        <v>320</v>
      </c>
      <c r="Q70" t="s">
        <v>256</v>
      </c>
      <c r="R70" t="s">
        <v>256</v>
      </c>
    </row>
    <row r="71" spans="2:18" x14ac:dyDescent="0.2">
      <c r="B71" t="s">
        <v>11850</v>
      </c>
      <c r="C71" t="s">
        <v>11895</v>
      </c>
      <c r="D71" t="s">
        <v>11895</v>
      </c>
    </row>
    <row r="72" spans="2:18" x14ac:dyDescent="0.2">
      <c r="B72" t="s">
        <v>11851</v>
      </c>
      <c r="C72" t="s">
        <v>11896</v>
      </c>
      <c r="D72" t="s">
        <v>11896</v>
      </c>
    </row>
    <row r="73" spans="2:18" x14ac:dyDescent="0.2">
      <c r="B73" t="s">
        <v>11854</v>
      </c>
      <c r="C73" t="s">
        <v>11907</v>
      </c>
      <c r="D73" t="s">
        <v>11907</v>
      </c>
    </row>
    <row r="74" spans="2:18" x14ac:dyDescent="0.2">
      <c r="B74" t="s">
        <v>11855</v>
      </c>
      <c r="C74" t="s">
        <v>11908</v>
      </c>
      <c r="D74" t="s">
        <v>11908</v>
      </c>
    </row>
    <row r="75" spans="2:18" x14ac:dyDescent="0.2">
      <c r="B75" t="s">
        <v>11938</v>
      </c>
      <c r="C75" t="s">
        <v>11909</v>
      </c>
      <c r="D75" t="s">
        <v>11909</v>
      </c>
    </row>
    <row r="76" spans="2:18" x14ac:dyDescent="0.2">
      <c r="B76" t="s">
        <v>11856</v>
      </c>
      <c r="C76" t="s">
        <v>11910</v>
      </c>
      <c r="D76" t="s">
        <v>11910</v>
      </c>
    </row>
    <row r="77" spans="2:18" x14ac:dyDescent="0.2">
      <c r="B77" t="s">
        <v>11874</v>
      </c>
      <c r="C77" t="s">
        <v>11911</v>
      </c>
      <c r="D77" t="s">
        <v>11911</v>
      </c>
    </row>
    <row r="78" spans="2:18" x14ac:dyDescent="0.2">
      <c r="B78" t="s">
        <v>11875</v>
      </c>
      <c r="C78" t="s">
        <v>11912</v>
      </c>
      <c r="D78" t="s">
        <v>11912</v>
      </c>
    </row>
    <row r="79" spans="2:18" x14ac:dyDescent="0.2">
      <c r="B79" t="s">
        <v>11880</v>
      </c>
      <c r="C79" t="s">
        <v>11913</v>
      </c>
      <c r="D79" t="s">
        <v>11913</v>
      </c>
    </row>
    <row r="80" spans="2:18" x14ac:dyDescent="0.2">
      <c r="B80" t="s">
        <v>11853</v>
      </c>
      <c r="C80" t="s">
        <v>11914</v>
      </c>
      <c r="D80" t="s">
        <v>11914</v>
      </c>
    </row>
    <row r="81" spans="2:4" x14ac:dyDescent="0.2">
      <c r="B81" t="s">
        <v>11903</v>
      </c>
      <c r="C81" t="s">
        <v>11915</v>
      </c>
      <c r="D81" t="s">
        <v>11915</v>
      </c>
    </row>
    <row r="82" spans="2:4" x14ac:dyDescent="0.2">
      <c r="B82" t="s">
        <v>11905</v>
      </c>
      <c r="C82" t="s">
        <v>11916</v>
      </c>
      <c r="D82" t="s">
        <v>11916</v>
      </c>
    </row>
    <row r="83" spans="2:4" x14ac:dyDescent="0.2">
      <c r="B83" t="s">
        <v>11862</v>
      </c>
      <c r="C83" t="s">
        <v>11917</v>
      </c>
      <c r="D83" t="s">
        <v>11917</v>
      </c>
    </row>
    <row r="84" spans="2:4" x14ac:dyDescent="0.2">
      <c r="B84" t="s">
        <v>11902</v>
      </c>
      <c r="C84" t="s">
        <v>11918</v>
      </c>
      <c r="D84" t="s">
        <v>11918</v>
      </c>
    </row>
    <row r="85" spans="2:4" x14ac:dyDescent="0.2">
      <c r="B85" t="s">
        <v>11863</v>
      </c>
      <c r="C85" t="s">
        <v>11919</v>
      </c>
      <c r="D85" t="s">
        <v>11919</v>
      </c>
    </row>
    <row r="86" spans="2:4" x14ac:dyDescent="0.2">
      <c r="B86" t="s">
        <v>11864</v>
      </c>
      <c r="C86" t="s">
        <v>11920</v>
      </c>
      <c r="D86" t="s">
        <v>11920</v>
      </c>
    </row>
    <row r="87" spans="2:4" x14ac:dyDescent="0.2">
      <c r="B87" t="s">
        <v>11865</v>
      </c>
      <c r="C87" t="s">
        <v>11921</v>
      </c>
      <c r="D87" t="s">
        <v>11921</v>
      </c>
    </row>
    <row r="88" spans="2:4" x14ac:dyDescent="0.2">
      <c r="B88" t="s">
        <v>11866</v>
      </c>
      <c r="C88" t="s">
        <v>11922</v>
      </c>
      <c r="D88" t="s">
        <v>11922</v>
      </c>
    </row>
    <row r="89" spans="2:4" x14ac:dyDescent="0.2">
      <c r="B89" t="s">
        <v>11867</v>
      </c>
      <c r="C89" t="s">
        <v>11923</v>
      </c>
      <c r="D89" t="s">
        <v>11923</v>
      </c>
    </row>
    <row r="90" spans="2:4" x14ac:dyDescent="0.2">
      <c r="B90" t="s">
        <v>11901</v>
      </c>
      <c r="C90" t="s">
        <v>11924</v>
      </c>
      <c r="D90" t="s">
        <v>11924</v>
      </c>
    </row>
    <row r="91" spans="2:4" x14ac:dyDescent="0.2">
      <c r="B91" t="s">
        <v>583</v>
      </c>
      <c r="C91" t="s">
        <v>256</v>
      </c>
      <c r="D91" t="s">
        <v>256</v>
      </c>
    </row>
    <row r="92" spans="2:4" x14ac:dyDescent="0.2">
      <c r="B92" t="s">
        <v>584</v>
      </c>
      <c r="C92" t="s">
        <v>256</v>
      </c>
      <c r="D92" t="s">
        <v>256</v>
      </c>
    </row>
  </sheetData>
  <phoneticPr fontId="1" type="noConversion"/>
  <pageMargins left="0.7" right="0.7" top="0.75" bottom="0.75" header="0.3" footer="0.3"/>
  <pageSetup orientation="portrait" horizontalDpi="0" verticalDpi="0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0D3D6-AEF8-45A5-A8CF-023D64957EC2}">
  <sheetPr codeName="Hoja16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EF9D-AE13-467F-98E4-6024723EA645}">
  <sheetPr codeName="Hoja17"/>
  <dimension ref="B2:L42"/>
  <sheetViews>
    <sheetView workbookViewId="0">
      <selection activeCell="C3" sqref="C3:C24"/>
    </sheetView>
  </sheetViews>
  <sheetFormatPr baseColWidth="10" defaultRowHeight="15" x14ac:dyDescent="0.2"/>
  <cols>
    <col min="2" max="2" width="41.33203125" bestFit="1" customWidth="1"/>
    <col min="3" max="3" width="20" customWidth="1"/>
    <col min="5" max="5" width="33.5" bestFit="1" customWidth="1"/>
    <col min="6" max="6" width="20" customWidth="1"/>
    <col min="8" max="8" width="40" bestFit="1" customWidth="1"/>
    <col min="9" max="9" width="19.6640625" customWidth="1"/>
    <col min="11" max="11" width="31.83203125" bestFit="1" customWidth="1"/>
    <col min="12" max="12" width="20" customWidth="1"/>
  </cols>
  <sheetData>
    <row r="2" spans="2:12" x14ac:dyDescent="0.2">
      <c r="B2" t="s">
        <v>1407</v>
      </c>
      <c r="C2" t="s">
        <v>960</v>
      </c>
      <c r="E2" t="s">
        <v>11345</v>
      </c>
      <c r="F2" t="s">
        <v>11346</v>
      </c>
      <c r="H2" t="s">
        <v>11387</v>
      </c>
      <c r="I2" t="s">
        <v>11388</v>
      </c>
      <c r="K2" t="s">
        <v>11461</v>
      </c>
      <c r="L2" t="s">
        <v>11462</v>
      </c>
    </row>
    <row r="3" spans="2:12" x14ac:dyDescent="0.2">
      <c r="B3" t="s">
        <v>961</v>
      </c>
      <c r="C3" t="s">
        <v>962</v>
      </c>
      <c r="E3" t="s">
        <v>11347</v>
      </c>
      <c r="F3" t="s">
        <v>11348</v>
      </c>
      <c r="H3" t="s">
        <v>11395</v>
      </c>
      <c r="I3" t="s">
        <v>7923</v>
      </c>
      <c r="K3" t="s">
        <v>11464</v>
      </c>
      <c r="L3" t="s">
        <v>11463</v>
      </c>
    </row>
    <row r="4" spans="2:12" x14ac:dyDescent="0.2">
      <c r="B4" t="s">
        <v>963</v>
      </c>
      <c r="C4" t="s">
        <v>964</v>
      </c>
      <c r="E4" t="s">
        <v>292</v>
      </c>
      <c r="F4" t="s">
        <v>11349</v>
      </c>
      <c r="H4" t="s">
        <v>11398</v>
      </c>
      <c r="I4" t="s">
        <v>11396</v>
      </c>
      <c r="K4" t="s">
        <v>11465</v>
      </c>
      <c r="L4" t="s">
        <v>11466</v>
      </c>
    </row>
    <row r="5" spans="2:12" x14ac:dyDescent="0.2">
      <c r="B5" t="s">
        <v>965</v>
      </c>
      <c r="C5" t="s">
        <v>966</v>
      </c>
      <c r="E5" t="s">
        <v>11350</v>
      </c>
      <c r="F5" t="s">
        <v>11351</v>
      </c>
      <c r="H5" t="s">
        <v>11397</v>
      </c>
      <c r="I5" t="s">
        <v>4543</v>
      </c>
      <c r="K5" t="s">
        <v>11469</v>
      </c>
      <c r="L5" t="s">
        <v>11470</v>
      </c>
    </row>
    <row r="6" spans="2:12" x14ac:dyDescent="0.2">
      <c r="B6" t="s">
        <v>967</v>
      </c>
      <c r="C6" t="s">
        <v>968</v>
      </c>
      <c r="E6" t="s">
        <v>11352</v>
      </c>
      <c r="F6" t="s">
        <v>11353</v>
      </c>
      <c r="H6" t="s">
        <v>1556</v>
      </c>
      <c r="I6" t="s">
        <v>11401</v>
      </c>
      <c r="K6" t="s">
        <v>11471</v>
      </c>
      <c r="L6" t="s">
        <v>11472</v>
      </c>
    </row>
    <row r="7" spans="2:12" x14ac:dyDescent="0.2">
      <c r="B7" t="s">
        <v>149</v>
      </c>
      <c r="C7" t="s">
        <v>969</v>
      </c>
      <c r="E7" t="s">
        <v>11354</v>
      </c>
      <c r="F7" t="s">
        <v>11355</v>
      </c>
      <c r="H7" t="s">
        <v>11399</v>
      </c>
      <c r="I7" t="s">
        <v>11400</v>
      </c>
      <c r="K7" t="s">
        <v>11467</v>
      </c>
      <c r="L7" t="s">
        <v>11468</v>
      </c>
    </row>
    <row r="8" spans="2:12" x14ac:dyDescent="0.2">
      <c r="B8" t="s">
        <v>970</v>
      </c>
      <c r="C8" t="s">
        <v>971</v>
      </c>
      <c r="E8" t="s">
        <v>1409</v>
      </c>
      <c r="F8" t="s">
        <v>1538</v>
      </c>
      <c r="H8" t="s">
        <v>11405</v>
      </c>
      <c r="I8" t="s">
        <v>11404</v>
      </c>
      <c r="K8" t="s">
        <v>162</v>
      </c>
      <c r="L8" t="s">
        <v>165</v>
      </c>
    </row>
    <row r="9" spans="2:12" x14ac:dyDescent="0.2">
      <c r="B9" t="s">
        <v>972</v>
      </c>
      <c r="C9" t="s">
        <v>166</v>
      </c>
      <c r="E9" t="s">
        <v>1410</v>
      </c>
      <c r="F9" t="s">
        <v>1411</v>
      </c>
      <c r="H9" t="s">
        <v>11402</v>
      </c>
      <c r="I9" t="s">
        <v>11403</v>
      </c>
      <c r="K9" t="s">
        <v>11473</v>
      </c>
      <c r="L9" t="s">
        <v>978</v>
      </c>
    </row>
    <row r="10" spans="2:12" x14ac:dyDescent="0.2">
      <c r="B10" s="13" t="s">
        <v>1409</v>
      </c>
      <c r="C10" s="14" t="s">
        <v>1538</v>
      </c>
      <c r="E10" t="s">
        <v>11356</v>
      </c>
      <c r="F10" t="s">
        <v>11357</v>
      </c>
      <c r="H10" t="s">
        <v>11407</v>
      </c>
      <c r="I10" t="s">
        <v>11406</v>
      </c>
      <c r="K10" t="s">
        <v>1409</v>
      </c>
      <c r="L10" t="s">
        <v>1538</v>
      </c>
    </row>
    <row r="11" spans="2:12" x14ac:dyDescent="0.2">
      <c r="B11" s="11" t="s">
        <v>1410</v>
      </c>
      <c r="C11" s="12" t="s">
        <v>1411</v>
      </c>
      <c r="E11" t="s">
        <v>1556</v>
      </c>
      <c r="F11" t="s">
        <v>11358</v>
      </c>
      <c r="H11" t="s">
        <v>1339</v>
      </c>
      <c r="I11" t="s">
        <v>5629</v>
      </c>
      <c r="K11" t="s">
        <v>1410</v>
      </c>
      <c r="L11" t="s">
        <v>1411</v>
      </c>
    </row>
    <row r="12" spans="2:12" x14ac:dyDescent="0.2">
      <c r="B12" t="s">
        <v>973</v>
      </c>
      <c r="C12" t="s">
        <v>974</v>
      </c>
      <c r="E12" t="s">
        <v>11359</v>
      </c>
      <c r="F12" t="s">
        <v>9840</v>
      </c>
      <c r="H12" t="s">
        <v>11389</v>
      </c>
      <c r="I12" t="s">
        <v>9308</v>
      </c>
      <c r="K12" t="s">
        <v>1823</v>
      </c>
      <c r="L12" t="s">
        <v>11474</v>
      </c>
    </row>
    <row r="13" spans="2:12" x14ac:dyDescent="0.2">
      <c r="B13" t="s">
        <v>975</v>
      </c>
      <c r="C13" t="s">
        <v>976</v>
      </c>
      <c r="E13" t="s">
        <v>11360</v>
      </c>
      <c r="F13" t="s">
        <v>11361</v>
      </c>
      <c r="H13" t="s">
        <v>11390</v>
      </c>
      <c r="I13" t="s">
        <v>11391</v>
      </c>
      <c r="K13" t="s">
        <v>1424</v>
      </c>
      <c r="L13" t="s">
        <v>7407</v>
      </c>
    </row>
    <row r="14" spans="2:12" x14ac:dyDescent="0.2">
      <c r="B14" t="s">
        <v>977</v>
      </c>
      <c r="C14" t="s">
        <v>978</v>
      </c>
      <c r="E14" t="s">
        <v>11363</v>
      </c>
      <c r="F14" t="s">
        <v>11362</v>
      </c>
      <c r="H14" t="s">
        <v>11393</v>
      </c>
      <c r="I14" t="s">
        <v>11392</v>
      </c>
      <c r="K14" t="s">
        <v>11475</v>
      </c>
      <c r="L14" t="s">
        <v>5481</v>
      </c>
    </row>
    <row r="15" spans="2:12" x14ac:dyDescent="0.2">
      <c r="B15" t="s">
        <v>979</v>
      </c>
      <c r="C15" t="s">
        <v>980</v>
      </c>
      <c r="E15" t="s">
        <v>11364</v>
      </c>
      <c r="F15" t="s">
        <v>11365</v>
      </c>
      <c r="H15" t="s">
        <v>11350</v>
      </c>
      <c r="I15" t="s">
        <v>11394</v>
      </c>
      <c r="K15" t="s">
        <v>11476</v>
      </c>
      <c r="L15" t="s">
        <v>10633</v>
      </c>
    </row>
    <row r="16" spans="2:12" x14ac:dyDescent="0.2">
      <c r="B16" t="s">
        <v>981</v>
      </c>
      <c r="C16" t="s">
        <v>982</v>
      </c>
      <c r="E16" t="s">
        <v>11366</v>
      </c>
      <c r="F16" t="s">
        <v>6698</v>
      </c>
      <c r="H16" t="s">
        <v>11408</v>
      </c>
      <c r="I16" t="s">
        <v>11409</v>
      </c>
      <c r="K16" t="s">
        <v>1425</v>
      </c>
      <c r="L16" t="s">
        <v>297</v>
      </c>
    </row>
    <row r="17" spans="2:12" x14ac:dyDescent="0.2">
      <c r="B17" t="s">
        <v>983</v>
      </c>
      <c r="C17" t="s">
        <v>984</v>
      </c>
      <c r="E17" t="s">
        <v>11367</v>
      </c>
      <c r="F17" t="s">
        <v>9602</v>
      </c>
      <c r="H17" t="s">
        <v>11410</v>
      </c>
      <c r="I17" t="s">
        <v>3446</v>
      </c>
      <c r="K17" t="s">
        <v>11477</v>
      </c>
      <c r="L17" t="s">
        <v>608</v>
      </c>
    </row>
    <row r="18" spans="2:12" x14ac:dyDescent="0.2">
      <c r="B18" t="s">
        <v>985</v>
      </c>
      <c r="C18" t="s">
        <v>986</v>
      </c>
      <c r="E18" t="s">
        <v>11368</v>
      </c>
      <c r="F18" t="s">
        <v>11369</v>
      </c>
      <c r="H18" t="s">
        <v>11416</v>
      </c>
      <c r="I18" t="s">
        <v>11411</v>
      </c>
      <c r="K18" t="s">
        <v>292</v>
      </c>
      <c r="L18" t="s">
        <v>11478</v>
      </c>
    </row>
    <row r="19" spans="2:12" x14ac:dyDescent="0.2">
      <c r="B19" t="s">
        <v>987</v>
      </c>
      <c r="C19" t="s">
        <v>988</v>
      </c>
      <c r="E19" t="s">
        <v>222</v>
      </c>
      <c r="F19" t="s">
        <v>6241</v>
      </c>
      <c r="H19" t="s">
        <v>11412</v>
      </c>
      <c r="I19" t="s">
        <v>11414</v>
      </c>
      <c r="K19" t="s">
        <v>11479</v>
      </c>
      <c r="L19" t="s">
        <v>11480</v>
      </c>
    </row>
    <row r="20" spans="2:12" x14ac:dyDescent="0.2">
      <c r="B20" t="s">
        <v>989</v>
      </c>
      <c r="C20" t="s">
        <v>990</v>
      </c>
      <c r="E20" t="s">
        <v>1821</v>
      </c>
      <c r="F20" t="s">
        <v>11370</v>
      </c>
      <c r="H20" t="s">
        <v>11413</v>
      </c>
      <c r="I20" t="s">
        <v>11415</v>
      </c>
      <c r="K20" t="s">
        <v>11483</v>
      </c>
      <c r="L20" t="s">
        <v>11481</v>
      </c>
    </row>
    <row r="21" spans="2:12" x14ac:dyDescent="0.2">
      <c r="B21" t="s">
        <v>991</v>
      </c>
      <c r="C21" t="s">
        <v>992</v>
      </c>
      <c r="E21" t="s">
        <v>11371</v>
      </c>
      <c r="F21" t="s">
        <v>11372</v>
      </c>
      <c r="H21" t="s">
        <v>11417</v>
      </c>
      <c r="I21" t="s">
        <v>11418</v>
      </c>
      <c r="K21" t="s">
        <v>11482</v>
      </c>
      <c r="L21" t="s">
        <v>971</v>
      </c>
    </row>
    <row r="22" spans="2:12" x14ac:dyDescent="0.2">
      <c r="B22" t="s">
        <v>993</v>
      </c>
      <c r="C22" t="s">
        <v>994</v>
      </c>
      <c r="E22" t="s">
        <v>1908</v>
      </c>
      <c r="F22" t="s">
        <v>7114</v>
      </c>
      <c r="H22" t="s">
        <v>11419</v>
      </c>
      <c r="I22" t="s">
        <v>11418</v>
      </c>
      <c r="K22" t="s">
        <v>222</v>
      </c>
      <c r="L22" t="s">
        <v>11484</v>
      </c>
    </row>
    <row r="23" spans="2:12" x14ac:dyDescent="0.2">
      <c r="B23" t="s">
        <v>995</v>
      </c>
      <c r="C23" t="s">
        <v>996</v>
      </c>
      <c r="E23" t="s">
        <v>11373</v>
      </c>
      <c r="F23" t="s">
        <v>11374</v>
      </c>
      <c r="H23" t="s">
        <v>11420</v>
      </c>
      <c r="I23" t="s">
        <v>10132</v>
      </c>
      <c r="K23" t="s">
        <v>1069</v>
      </c>
      <c r="L23" t="s">
        <v>5523</v>
      </c>
    </row>
    <row r="24" spans="2:12" x14ac:dyDescent="0.2">
      <c r="B24" t="s">
        <v>997</v>
      </c>
      <c r="C24" t="s">
        <v>998</v>
      </c>
      <c r="E24" t="s">
        <v>11375</v>
      </c>
      <c r="F24" t="s">
        <v>4019</v>
      </c>
      <c r="H24" t="s">
        <v>1409</v>
      </c>
      <c r="I24" t="s">
        <v>1538</v>
      </c>
      <c r="K24" t="s">
        <v>579</v>
      </c>
      <c r="L24" t="s">
        <v>11485</v>
      </c>
    </row>
    <row r="25" spans="2:12" x14ac:dyDescent="0.2">
      <c r="B25" t="s">
        <v>960</v>
      </c>
      <c r="C25" t="s">
        <v>256</v>
      </c>
      <c r="E25" t="s">
        <v>11376</v>
      </c>
      <c r="F25" t="s">
        <v>11377</v>
      </c>
      <c r="H25" t="s">
        <v>1410</v>
      </c>
      <c r="I25" t="s">
        <v>1411</v>
      </c>
      <c r="K25" t="s">
        <v>987</v>
      </c>
      <c r="L25" t="s">
        <v>986</v>
      </c>
    </row>
    <row r="26" spans="2:12" x14ac:dyDescent="0.2">
      <c r="E26" t="s">
        <v>11378</v>
      </c>
      <c r="F26" t="s">
        <v>11379</v>
      </c>
      <c r="H26" t="s">
        <v>11421</v>
      </c>
      <c r="I26" t="s">
        <v>11422</v>
      </c>
      <c r="K26" t="s">
        <v>985</v>
      </c>
      <c r="L26" t="s">
        <v>988</v>
      </c>
    </row>
    <row r="27" spans="2:12" x14ac:dyDescent="0.2">
      <c r="E27" t="s">
        <v>11380</v>
      </c>
      <c r="F27" t="s">
        <v>11381</v>
      </c>
      <c r="H27" t="s">
        <v>11424</v>
      </c>
      <c r="I27" t="s">
        <v>11423</v>
      </c>
      <c r="K27" t="s">
        <v>11486</v>
      </c>
      <c r="L27" t="s">
        <v>990</v>
      </c>
    </row>
    <row r="28" spans="2:12" x14ac:dyDescent="0.2">
      <c r="E28" t="s">
        <v>11382</v>
      </c>
      <c r="F28" t="s">
        <v>5334</v>
      </c>
      <c r="H28" t="s">
        <v>11425</v>
      </c>
      <c r="I28" t="s">
        <v>10720</v>
      </c>
      <c r="K28" t="s">
        <v>983</v>
      </c>
      <c r="L28" t="s">
        <v>11487</v>
      </c>
    </row>
    <row r="29" spans="2:12" x14ac:dyDescent="0.2">
      <c r="E29" t="s">
        <v>11385</v>
      </c>
      <c r="F29" t="s">
        <v>11386</v>
      </c>
      <c r="H29" t="s">
        <v>11427</v>
      </c>
      <c r="I29" t="s">
        <v>11426</v>
      </c>
      <c r="K29" t="s">
        <v>11488</v>
      </c>
      <c r="L29" t="s">
        <v>11073</v>
      </c>
    </row>
    <row r="30" spans="2:12" x14ac:dyDescent="0.2">
      <c r="E30" t="s">
        <v>11383</v>
      </c>
      <c r="F30" t="s">
        <v>11384</v>
      </c>
      <c r="H30" t="s">
        <v>11428</v>
      </c>
      <c r="I30" t="s">
        <v>11429</v>
      </c>
      <c r="K30" t="s">
        <v>11489</v>
      </c>
      <c r="L30" t="s">
        <v>4521</v>
      </c>
    </row>
    <row r="31" spans="2:12" x14ac:dyDescent="0.2">
      <c r="E31" t="s">
        <v>11346</v>
      </c>
      <c r="F31" t="s">
        <v>256</v>
      </c>
      <c r="H31" t="s">
        <v>11431</v>
      </c>
      <c r="I31" t="s">
        <v>11430</v>
      </c>
      <c r="K31" t="s">
        <v>11462</v>
      </c>
      <c r="L31" t="s">
        <v>256</v>
      </c>
    </row>
    <row r="32" spans="2:12" x14ac:dyDescent="0.2">
      <c r="H32" t="s">
        <v>222</v>
      </c>
      <c r="I32" t="s">
        <v>11432</v>
      </c>
    </row>
    <row r="33" spans="8:9" x14ac:dyDescent="0.2">
      <c r="H33" t="s">
        <v>11433</v>
      </c>
      <c r="I33" t="s">
        <v>11434</v>
      </c>
    </row>
    <row r="34" spans="8:9" x14ac:dyDescent="0.2">
      <c r="H34" t="s">
        <v>1823</v>
      </c>
      <c r="I34" t="s">
        <v>11435</v>
      </c>
    </row>
    <row r="35" spans="8:9" x14ac:dyDescent="0.2">
      <c r="H35" t="s">
        <v>11436</v>
      </c>
      <c r="I35" t="s">
        <v>11437</v>
      </c>
    </row>
    <row r="36" spans="8:9" x14ac:dyDescent="0.2">
      <c r="H36" t="s">
        <v>11438</v>
      </c>
      <c r="I36" t="s">
        <v>6062</v>
      </c>
    </row>
    <row r="37" spans="8:9" x14ac:dyDescent="0.2">
      <c r="H37" t="s">
        <v>11439</v>
      </c>
      <c r="I37" t="s">
        <v>11441</v>
      </c>
    </row>
    <row r="38" spans="8:9" x14ac:dyDescent="0.2">
      <c r="H38" t="s">
        <v>11440</v>
      </c>
      <c r="I38" t="s">
        <v>11442</v>
      </c>
    </row>
    <row r="39" spans="8:9" x14ac:dyDescent="0.2">
      <c r="H39" t="s">
        <v>11443</v>
      </c>
      <c r="I39" t="s">
        <v>11444</v>
      </c>
    </row>
    <row r="40" spans="8:9" x14ac:dyDescent="0.2">
      <c r="H40" t="s">
        <v>11445</v>
      </c>
      <c r="I40" t="s">
        <v>11446</v>
      </c>
    </row>
    <row r="41" spans="8:9" x14ac:dyDescent="0.2">
      <c r="H41" t="s">
        <v>11447</v>
      </c>
      <c r="I41" t="s">
        <v>8364</v>
      </c>
    </row>
    <row r="42" spans="8:9" x14ac:dyDescent="0.2">
      <c r="H42" t="s">
        <v>11388</v>
      </c>
      <c r="I42" t="s">
        <v>256</v>
      </c>
    </row>
  </sheetData>
  <pageMargins left="0.7" right="0.7" top="0.75" bottom="0.75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1E2BA-5FED-4DFF-95FD-7D11472EF78A}">
  <sheetPr codeName="Hoja18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C98B0-F5A7-449C-9B8D-D51F413122FC}">
  <sheetPr codeName="Hoja19"/>
  <dimension ref="B2:L21"/>
  <sheetViews>
    <sheetView workbookViewId="0">
      <selection activeCell="C3" sqref="C3:C16"/>
    </sheetView>
  </sheetViews>
  <sheetFormatPr baseColWidth="10" defaultRowHeight="15" x14ac:dyDescent="0.2"/>
  <cols>
    <col min="2" max="2" width="27.6640625" bestFit="1" customWidth="1"/>
    <col min="3" max="3" width="18" bestFit="1" customWidth="1"/>
    <col min="5" max="5" width="30.5" bestFit="1" customWidth="1"/>
    <col min="6" max="6" width="20" customWidth="1"/>
    <col min="8" max="8" width="27.6640625" bestFit="1" customWidth="1"/>
    <col min="9" max="9" width="20" customWidth="1"/>
    <col min="11" max="11" width="27.6640625" bestFit="1" customWidth="1"/>
    <col min="12" max="12" width="20" customWidth="1"/>
  </cols>
  <sheetData>
    <row r="2" spans="2:12" x14ac:dyDescent="0.2">
      <c r="B2" t="s">
        <v>11289</v>
      </c>
      <c r="C2" t="s">
        <v>11290</v>
      </c>
      <c r="E2" t="s">
        <v>11761</v>
      </c>
      <c r="F2" t="s">
        <v>11764</v>
      </c>
      <c r="H2" t="s">
        <v>11762</v>
      </c>
      <c r="I2" t="s">
        <v>11765</v>
      </c>
      <c r="K2" t="s">
        <v>11763</v>
      </c>
      <c r="L2" t="s">
        <v>11766</v>
      </c>
    </row>
    <row r="3" spans="2:12" x14ac:dyDescent="0.2">
      <c r="B3" t="s">
        <v>11291</v>
      </c>
      <c r="C3" t="s">
        <v>7363</v>
      </c>
      <c r="E3" t="s">
        <v>11291</v>
      </c>
      <c r="F3" t="s">
        <v>7363</v>
      </c>
      <c r="H3" t="s">
        <v>11291</v>
      </c>
      <c r="I3" t="s">
        <v>7363</v>
      </c>
      <c r="K3" t="s">
        <v>11291</v>
      </c>
      <c r="L3" t="s">
        <v>7363</v>
      </c>
    </row>
    <row r="4" spans="2:12" x14ac:dyDescent="0.2">
      <c r="B4" t="s">
        <v>11292</v>
      </c>
      <c r="C4" t="s">
        <v>11293</v>
      </c>
      <c r="E4" t="s">
        <v>11292</v>
      </c>
      <c r="F4" t="s">
        <v>11767</v>
      </c>
      <c r="H4" t="s">
        <v>11292</v>
      </c>
      <c r="I4" t="s">
        <v>9535</v>
      </c>
      <c r="K4" t="s">
        <v>11292</v>
      </c>
      <c r="L4" t="s">
        <v>11790</v>
      </c>
    </row>
    <row r="5" spans="2:12" x14ac:dyDescent="0.2">
      <c r="B5" t="s">
        <v>11294</v>
      </c>
      <c r="C5" t="s">
        <v>11295</v>
      </c>
      <c r="E5" t="s">
        <v>11296</v>
      </c>
      <c r="F5" t="s">
        <v>11297</v>
      </c>
      <c r="H5" t="s">
        <v>11785</v>
      </c>
      <c r="I5" t="s">
        <v>11293</v>
      </c>
      <c r="K5" t="s">
        <v>11294</v>
      </c>
      <c r="L5" t="s">
        <v>4535</v>
      </c>
    </row>
    <row r="6" spans="2:12" x14ac:dyDescent="0.2">
      <c r="B6" t="s">
        <v>11296</v>
      </c>
      <c r="C6" t="s">
        <v>11297</v>
      </c>
      <c r="E6" t="s">
        <v>11298</v>
      </c>
      <c r="F6" t="s">
        <v>1538</v>
      </c>
      <c r="H6" t="s">
        <v>11294</v>
      </c>
      <c r="I6" t="s">
        <v>4535</v>
      </c>
      <c r="K6" t="s">
        <v>11296</v>
      </c>
      <c r="L6" t="s">
        <v>11791</v>
      </c>
    </row>
    <row r="7" spans="2:12" x14ac:dyDescent="0.2">
      <c r="B7" t="s">
        <v>11298</v>
      </c>
      <c r="C7" t="s">
        <v>1538</v>
      </c>
      <c r="E7" t="s">
        <v>11239</v>
      </c>
      <c r="F7" t="s">
        <v>1411</v>
      </c>
      <c r="H7" t="s">
        <v>11296</v>
      </c>
      <c r="I7" t="s">
        <v>11784</v>
      </c>
      <c r="K7" t="s">
        <v>11298</v>
      </c>
      <c r="L7" t="s">
        <v>1538</v>
      </c>
    </row>
    <row r="8" spans="2:12" x14ac:dyDescent="0.2">
      <c r="B8" t="s">
        <v>11239</v>
      </c>
      <c r="C8" t="s">
        <v>1411</v>
      </c>
      <c r="E8" t="s">
        <v>162</v>
      </c>
      <c r="F8" t="s">
        <v>11769</v>
      </c>
      <c r="H8" t="s">
        <v>11782</v>
      </c>
      <c r="I8" t="s">
        <v>11783</v>
      </c>
      <c r="K8" t="s">
        <v>11239</v>
      </c>
      <c r="L8" t="s">
        <v>1411</v>
      </c>
    </row>
    <row r="9" spans="2:12" x14ac:dyDescent="0.2">
      <c r="B9" t="s">
        <v>1424</v>
      </c>
      <c r="C9" t="s">
        <v>11299</v>
      </c>
      <c r="E9" t="s">
        <v>11301</v>
      </c>
      <c r="F9" t="s">
        <v>4071</v>
      </c>
      <c r="H9" t="s">
        <v>11298</v>
      </c>
      <c r="I9" t="s">
        <v>1538</v>
      </c>
      <c r="K9" t="s">
        <v>11786</v>
      </c>
      <c r="L9" t="s">
        <v>11792</v>
      </c>
    </row>
    <row r="10" spans="2:12" x14ac:dyDescent="0.2">
      <c r="B10" t="s">
        <v>162</v>
      </c>
      <c r="C10" t="s">
        <v>11300</v>
      </c>
      <c r="E10" t="s">
        <v>11302</v>
      </c>
      <c r="F10" t="s">
        <v>11768</v>
      </c>
      <c r="H10" t="s">
        <v>11239</v>
      </c>
      <c r="I10" t="s">
        <v>1411</v>
      </c>
      <c r="K10" t="s">
        <v>11301</v>
      </c>
      <c r="L10" t="s">
        <v>11789</v>
      </c>
    </row>
    <row r="11" spans="2:12" x14ac:dyDescent="0.2">
      <c r="B11" t="s">
        <v>11301</v>
      </c>
      <c r="C11" t="s">
        <v>4071</v>
      </c>
      <c r="E11" t="s">
        <v>11303</v>
      </c>
      <c r="F11" t="s">
        <v>3937</v>
      </c>
      <c r="H11" t="s">
        <v>1424</v>
      </c>
      <c r="I11" t="s">
        <v>11299</v>
      </c>
      <c r="K11" t="s">
        <v>11302</v>
      </c>
      <c r="L11" t="s">
        <v>4920</v>
      </c>
    </row>
    <row r="12" spans="2:12" x14ac:dyDescent="0.2">
      <c r="B12" t="s">
        <v>11302</v>
      </c>
      <c r="C12" t="s">
        <v>4305</v>
      </c>
      <c r="E12" t="s">
        <v>11770</v>
      </c>
      <c r="F12" t="s">
        <v>11771</v>
      </c>
      <c r="H12" t="s">
        <v>162</v>
      </c>
      <c r="I12" t="s">
        <v>11300</v>
      </c>
      <c r="K12" t="s">
        <v>11303</v>
      </c>
      <c r="L12" t="s">
        <v>11788</v>
      </c>
    </row>
    <row r="13" spans="2:12" x14ac:dyDescent="0.2">
      <c r="B13" t="s">
        <v>11303</v>
      </c>
      <c r="C13" t="s">
        <v>3937</v>
      </c>
      <c r="E13" t="s">
        <v>11772</v>
      </c>
      <c r="F13" t="s">
        <v>11771</v>
      </c>
      <c r="H13" t="s">
        <v>11301</v>
      </c>
      <c r="I13" t="s">
        <v>4071</v>
      </c>
      <c r="K13" t="s">
        <v>11304</v>
      </c>
      <c r="L13" t="s">
        <v>9407</v>
      </c>
    </row>
    <row r="14" spans="2:12" x14ac:dyDescent="0.2">
      <c r="B14" t="s">
        <v>11304</v>
      </c>
      <c r="C14" t="s">
        <v>9407</v>
      </c>
      <c r="E14" t="s">
        <v>11305</v>
      </c>
      <c r="F14" t="s">
        <v>11306</v>
      </c>
      <c r="H14" t="s">
        <v>11302</v>
      </c>
      <c r="I14" t="s">
        <v>4305</v>
      </c>
      <c r="K14" t="s">
        <v>1413</v>
      </c>
      <c r="L14" t="s">
        <v>3709</v>
      </c>
    </row>
    <row r="15" spans="2:12" x14ac:dyDescent="0.2">
      <c r="B15" t="s">
        <v>1413</v>
      </c>
      <c r="C15" t="s">
        <v>3709</v>
      </c>
      <c r="E15" t="s">
        <v>220</v>
      </c>
      <c r="F15" t="s">
        <v>11773</v>
      </c>
      <c r="H15" t="s">
        <v>11303</v>
      </c>
      <c r="I15" t="s">
        <v>3937</v>
      </c>
      <c r="K15" t="s">
        <v>11305</v>
      </c>
      <c r="L15" t="s">
        <v>11306</v>
      </c>
    </row>
    <row r="16" spans="2:12" x14ac:dyDescent="0.2">
      <c r="B16" t="s">
        <v>11305</v>
      </c>
      <c r="C16" t="s">
        <v>11306</v>
      </c>
      <c r="E16" t="s">
        <v>11774</v>
      </c>
      <c r="F16" t="s">
        <v>3473</v>
      </c>
      <c r="H16" t="s">
        <v>11786</v>
      </c>
      <c r="I16" t="s">
        <v>6687</v>
      </c>
      <c r="K16" t="s">
        <v>11766</v>
      </c>
      <c r="L16" t="s">
        <v>256</v>
      </c>
    </row>
    <row r="17" spans="2:9" x14ac:dyDescent="0.2">
      <c r="B17" t="s">
        <v>11290</v>
      </c>
      <c r="C17" t="s">
        <v>256</v>
      </c>
      <c r="E17" t="s">
        <v>11775</v>
      </c>
      <c r="F17" t="s">
        <v>11776</v>
      </c>
      <c r="H17" t="s">
        <v>1413</v>
      </c>
      <c r="I17" t="s">
        <v>3709</v>
      </c>
    </row>
    <row r="18" spans="2:9" x14ac:dyDescent="0.2">
      <c r="E18" t="s">
        <v>11777</v>
      </c>
      <c r="F18" t="s">
        <v>11778</v>
      </c>
      <c r="H18" t="s">
        <v>11305</v>
      </c>
      <c r="I18" t="s">
        <v>11306</v>
      </c>
    </row>
    <row r="19" spans="2:9" x14ac:dyDescent="0.2">
      <c r="E19" t="s">
        <v>11779</v>
      </c>
      <c r="F19" t="s">
        <v>3619</v>
      </c>
      <c r="H19" t="s">
        <v>220</v>
      </c>
      <c r="I19" t="s">
        <v>11787</v>
      </c>
    </row>
    <row r="20" spans="2:9" x14ac:dyDescent="0.2">
      <c r="E20" t="s">
        <v>11780</v>
      </c>
      <c r="F20" t="s">
        <v>11781</v>
      </c>
      <c r="H20" t="s">
        <v>11779</v>
      </c>
      <c r="I20" t="s">
        <v>3619</v>
      </c>
    </row>
    <row r="21" spans="2:9" x14ac:dyDescent="0.2">
      <c r="E21" t="s">
        <v>11764</v>
      </c>
      <c r="F21" t="s">
        <v>256</v>
      </c>
      <c r="H21" t="s">
        <v>11765</v>
      </c>
      <c r="I21" t="s">
        <v>256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24F5A-7EF9-4A04-B262-C2A9937BFE5F}">
  <sheetPr codeName="Hoja21"/>
  <dimension ref="B2:F3909"/>
  <sheetViews>
    <sheetView workbookViewId="0">
      <selection activeCell="H4" sqref="H4"/>
    </sheetView>
  </sheetViews>
  <sheetFormatPr baseColWidth="10" defaultRowHeight="15" x14ac:dyDescent="0.2"/>
  <cols>
    <col min="2" max="2" width="20.33203125" customWidth="1"/>
    <col min="3" max="3" width="23.83203125" customWidth="1"/>
    <col min="4" max="4" width="19.83203125" customWidth="1"/>
    <col min="5" max="5" width="16.1640625" customWidth="1"/>
  </cols>
  <sheetData>
    <row r="2" spans="2:6" x14ac:dyDescent="0.2">
      <c r="B2" t="s">
        <v>2778</v>
      </c>
      <c r="C2" t="s">
        <v>2779</v>
      </c>
      <c r="D2" t="s">
        <v>2780</v>
      </c>
      <c r="E2" t="s">
        <v>2781</v>
      </c>
      <c r="F2" t="s">
        <v>2782</v>
      </c>
    </row>
    <row r="3" spans="2:6" x14ac:dyDescent="0.2">
      <c r="B3" t="s">
        <v>2783</v>
      </c>
      <c r="C3" t="s">
        <v>2784</v>
      </c>
      <c r="D3">
        <v>7</v>
      </c>
      <c r="E3" t="s">
        <v>2785</v>
      </c>
      <c r="F3">
        <v>3</v>
      </c>
    </row>
    <row r="4" spans="2:6" x14ac:dyDescent="0.2">
      <c r="B4" t="s">
        <v>2786</v>
      </c>
      <c r="C4" t="s">
        <v>2787</v>
      </c>
      <c r="D4">
        <v>7</v>
      </c>
      <c r="E4" t="s">
        <v>2788</v>
      </c>
      <c r="F4">
        <v>1</v>
      </c>
    </row>
    <row r="5" spans="2:6" x14ac:dyDescent="0.2">
      <c r="B5" t="s">
        <v>2789</v>
      </c>
      <c r="C5" t="s">
        <v>2790</v>
      </c>
      <c r="D5">
        <v>7</v>
      </c>
      <c r="E5" t="s">
        <v>2791</v>
      </c>
      <c r="F5">
        <v>2</v>
      </c>
    </row>
    <row r="6" spans="2:6" x14ac:dyDescent="0.2">
      <c r="B6" t="s">
        <v>329</v>
      </c>
      <c r="C6" t="s">
        <v>2792</v>
      </c>
      <c r="D6">
        <v>7</v>
      </c>
      <c r="E6" t="s">
        <v>2793</v>
      </c>
      <c r="F6">
        <v>2</v>
      </c>
    </row>
    <row r="7" spans="2:6" x14ac:dyDescent="0.2">
      <c r="B7" t="s">
        <v>2794</v>
      </c>
      <c r="C7" t="s">
        <v>2795</v>
      </c>
      <c r="D7">
        <v>7</v>
      </c>
      <c r="E7" t="s">
        <v>2796</v>
      </c>
      <c r="F7">
        <v>2</v>
      </c>
    </row>
    <row r="8" spans="2:6" x14ac:dyDescent="0.2">
      <c r="B8" t="s">
        <v>2797</v>
      </c>
      <c r="C8" t="s">
        <v>2798</v>
      </c>
      <c r="D8">
        <v>7</v>
      </c>
      <c r="E8" t="s">
        <v>2799</v>
      </c>
      <c r="F8">
        <v>1</v>
      </c>
    </row>
    <row r="9" spans="2:6" x14ac:dyDescent="0.2">
      <c r="B9" t="s">
        <v>2800</v>
      </c>
      <c r="C9" t="s">
        <v>2801</v>
      </c>
      <c r="D9">
        <v>7</v>
      </c>
      <c r="E9" t="s">
        <v>2802</v>
      </c>
      <c r="F9">
        <v>3</v>
      </c>
    </row>
    <row r="10" spans="2:6" x14ac:dyDescent="0.2">
      <c r="B10" t="s">
        <v>2803</v>
      </c>
      <c r="C10" t="s">
        <v>2804</v>
      </c>
      <c r="D10">
        <v>7</v>
      </c>
      <c r="E10" t="s">
        <v>2805</v>
      </c>
      <c r="F10">
        <v>2</v>
      </c>
    </row>
    <row r="11" spans="2:6" x14ac:dyDescent="0.2">
      <c r="B11" t="s">
        <v>2806</v>
      </c>
      <c r="C11" t="s">
        <v>2807</v>
      </c>
      <c r="D11">
        <v>7</v>
      </c>
      <c r="E11" t="s">
        <v>2808</v>
      </c>
      <c r="F11">
        <v>2</v>
      </c>
    </row>
    <row r="12" spans="2:6" x14ac:dyDescent="0.2">
      <c r="B12" t="s">
        <v>2809</v>
      </c>
      <c r="C12" t="s">
        <v>2810</v>
      </c>
      <c r="D12">
        <v>7</v>
      </c>
      <c r="E12" t="s">
        <v>2811</v>
      </c>
      <c r="F12">
        <v>1</v>
      </c>
    </row>
    <row r="13" spans="2:6" x14ac:dyDescent="0.2">
      <c r="B13" t="s">
        <v>2812</v>
      </c>
      <c r="C13" t="s">
        <v>2813</v>
      </c>
      <c r="D13">
        <v>7</v>
      </c>
      <c r="E13" t="s">
        <v>2814</v>
      </c>
      <c r="F13">
        <v>5</v>
      </c>
    </row>
    <row r="14" spans="2:6" x14ac:dyDescent="0.2">
      <c r="B14" t="s">
        <v>2815</v>
      </c>
      <c r="C14" t="s">
        <v>2816</v>
      </c>
      <c r="D14">
        <v>7</v>
      </c>
      <c r="E14" t="s">
        <v>2817</v>
      </c>
      <c r="F14">
        <v>1</v>
      </c>
    </row>
    <row r="15" spans="2:6" x14ac:dyDescent="0.2">
      <c r="B15" t="s">
        <v>702</v>
      </c>
      <c r="C15" t="s">
        <v>2818</v>
      </c>
      <c r="D15">
        <v>7</v>
      </c>
      <c r="E15" t="s">
        <v>2819</v>
      </c>
      <c r="F15">
        <v>1</v>
      </c>
    </row>
    <row r="16" spans="2:6" x14ac:dyDescent="0.2">
      <c r="B16" t="s">
        <v>473</v>
      </c>
      <c r="C16" t="s">
        <v>2820</v>
      </c>
      <c r="D16">
        <v>7</v>
      </c>
      <c r="E16" t="s">
        <v>2821</v>
      </c>
      <c r="F16">
        <v>94</v>
      </c>
    </row>
    <row r="17" spans="2:6" x14ac:dyDescent="0.2">
      <c r="B17" t="s">
        <v>2822</v>
      </c>
      <c r="C17" t="s">
        <v>2823</v>
      </c>
      <c r="D17">
        <v>7</v>
      </c>
      <c r="E17" t="s">
        <v>2824</v>
      </c>
      <c r="F17">
        <v>8</v>
      </c>
    </row>
    <row r="18" spans="2:6" x14ac:dyDescent="0.2">
      <c r="B18" t="s">
        <v>2825</v>
      </c>
      <c r="C18" t="s">
        <v>2826</v>
      </c>
      <c r="D18">
        <v>7</v>
      </c>
      <c r="E18" t="s">
        <v>2827</v>
      </c>
      <c r="F18">
        <v>6</v>
      </c>
    </row>
    <row r="19" spans="2:6" x14ac:dyDescent="0.2">
      <c r="B19" t="s">
        <v>2828</v>
      </c>
      <c r="C19" t="s">
        <v>2829</v>
      </c>
      <c r="D19">
        <v>7</v>
      </c>
      <c r="E19" t="s">
        <v>2830</v>
      </c>
      <c r="F19">
        <v>10</v>
      </c>
    </row>
    <row r="20" spans="2:6" x14ac:dyDescent="0.2">
      <c r="B20" t="s">
        <v>2831</v>
      </c>
      <c r="C20" t="s">
        <v>2832</v>
      </c>
      <c r="D20">
        <v>7</v>
      </c>
      <c r="E20" t="s">
        <v>2833</v>
      </c>
      <c r="F20">
        <v>30</v>
      </c>
    </row>
    <row r="21" spans="2:6" x14ac:dyDescent="0.2">
      <c r="B21" t="s">
        <v>2834</v>
      </c>
      <c r="C21" t="s">
        <v>2835</v>
      </c>
      <c r="D21">
        <v>7</v>
      </c>
      <c r="E21" t="s">
        <v>2836</v>
      </c>
      <c r="F21">
        <v>2</v>
      </c>
    </row>
    <row r="22" spans="2:6" x14ac:dyDescent="0.2">
      <c r="B22" t="s">
        <v>2837</v>
      </c>
      <c r="C22" t="s">
        <v>2838</v>
      </c>
      <c r="D22">
        <v>7</v>
      </c>
      <c r="E22" t="s">
        <v>2839</v>
      </c>
      <c r="F22">
        <v>25</v>
      </c>
    </row>
    <row r="23" spans="2:6" x14ac:dyDescent="0.2">
      <c r="B23" t="s">
        <v>2840</v>
      </c>
      <c r="C23" t="s">
        <v>2841</v>
      </c>
      <c r="D23">
        <v>7</v>
      </c>
      <c r="E23" t="s">
        <v>2842</v>
      </c>
      <c r="F23">
        <v>1</v>
      </c>
    </row>
    <row r="24" spans="2:6" x14ac:dyDescent="0.2">
      <c r="B24" t="s">
        <v>2843</v>
      </c>
      <c r="C24" t="s">
        <v>2844</v>
      </c>
      <c r="D24">
        <v>7</v>
      </c>
      <c r="E24" t="s">
        <v>2845</v>
      </c>
      <c r="F24">
        <v>3</v>
      </c>
    </row>
    <row r="25" spans="2:6" x14ac:dyDescent="0.2">
      <c r="B25" t="s">
        <v>1806</v>
      </c>
      <c r="C25" t="s">
        <v>2846</v>
      </c>
      <c r="D25">
        <v>7</v>
      </c>
      <c r="E25" t="s">
        <v>2847</v>
      </c>
      <c r="F25">
        <v>2</v>
      </c>
    </row>
    <row r="26" spans="2:6" x14ac:dyDescent="0.2">
      <c r="B26" t="s">
        <v>2848</v>
      </c>
      <c r="C26" t="s">
        <v>2849</v>
      </c>
      <c r="D26">
        <v>7</v>
      </c>
      <c r="E26" t="s">
        <v>2850</v>
      </c>
      <c r="F26">
        <v>2</v>
      </c>
    </row>
    <row r="27" spans="2:6" x14ac:dyDescent="0.2">
      <c r="B27" t="s">
        <v>2851</v>
      </c>
      <c r="C27" t="s">
        <v>2852</v>
      </c>
      <c r="D27">
        <v>7</v>
      </c>
      <c r="E27" t="s">
        <v>2802</v>
      </c>
      <c r="F27">
        <v>1</v>
      </c>
    </row>
    <row r="28" spans="2:6" x14ac:dyDescent="0.2">
      <c r="B28" t="s">
        <v>2853</v>
      </c>
      <c r="C28" t="s">
        <v>2854</v>
      </c>
      <c r="D28">
        <v>7</v>
      </c>
      <c r="E28" t="s">
        <v>2855</v>
      </c>
      <c r="F28">
        <v>4</v>
      </c>
    </row>
    <row r="29" spans="2:6" x14ac:dyDescent="0.2">
      <c r="B29" t="s">
        <v>1881</v>
      </c>
      <c r="C29" t="s">
        <v>2856</v>
      </c>
      <c r="D29">
        <v>7</v>
      </c>
      <c r="E29" t="s">
        <v>2857</v>
      </c>
      <c r="F29">
        <v>1</v>
      </c>
    </row>
    <row r="30" spans="2:6" x14ac:dyDescent="0.2">
      <c r="B30" t="s">
        <v>2858</v>
      </c>
      <c r="C30" t="s">
        <v>2859</v>
      </c>
      <c r="D30">
        <v>7</v>
      </c>
      <c r="E30" t="s">
        <v>2860</v>
      </c>
      <c r="F30">
        <v>2</v>
      </c>
    </row>
    <row r="31" spans="2:6" x14ac:dyDescent="0.2">
      <c r="B31" t="s">
        <v>2861</v>
      </c>
      <c r="C31" t="s">
        <v>2862</v>
      </c>
      <c r="D31">
        <v>7</v>
      </c>
      <c r="E31" t="s">
        <v>2863</v>
      </c>
      <c r="F31">
        <v>4</v>
      </c>
    </row>
    <row r="32" spans="2:6" x14ac:dyDescent="0.2">
      <c r="B32" t="s">
        <v>2864</v>
      </c>
      <c r="C32" t="s">
        <v>2865</v>
      </c>
      <c r="D32">
        <v>7</v>
      </c>
      <c r="E32" t="s">
        <v>2866</v>
      </c>
      <c r="F32">
        <v>3</v>
      </c>
    </row>
    <row r="33" spans="2:6" x14ac:dyDescent="0.2">
      <c r="B33" t="s">
        <v>2867</v>
      </c>
      <c r="C33" t="s">
        <v>2868</v>
      </c>
      <c r="D33">
        <v>7</v>
      </c>
      <c r="E33" t="s">
        <v>2869</v>
      </c>
      <c r="F33">
        <v>7</v>
      </c>
    </row>
    <row r="34" spans="2:6" x14ac:dyDescent="0.2">
      <c r="B34" t="s">
        <v>2870</v>
      </c>
      <c r="C34" t="s">
        <v>2871</v>
      </c>
      <c r="D34">
        <v>7</v>
      </c>
      <c r="E34" t="s">
        <v>2872</v>
      </c>
      <c r="F34">
        <v>2</v>
      </c>
    </row>
    <row r="35" spans="2:6" x14ac:dyDescent="0.2">
      <c r="B35" t="s">
        <v>2873</v>
      </c>
      <c r="C35" t="s">
        <v>2874</v>
      </c>
      <c r="D35">
        <v>7</v>
      </c>
      <c r="E35" t="s">
        <v>2875</v>
      </c>
      <c r="F35">
        <v>3</v>
      </c>
    </row>
    <row r="36" spans="2:6" x14ac:dyDescent="0.2">
      <c r="B36" t="s">
        <v>2876</v>
      </c>
      <c r="C36" t="s">
        <v>2877</v>
      </c>
      <c r="D36">
        <v>7</v>
      </c>
      <c r="E36" t="s">
        <v>2878</v>
      </c>
      <c r="F36">
        <v>5</v>
      </c>
    </row>
    <row r="37" spans="2:6" x14ac:dyDescent="0.2">
      <c r="B37" t="s">
        <v>2879</v>
      </c>
      <c r="C37" t="s">
        <v>2880</v>
      </c>
      <c r="D37">
        <v>7</v>
      </c>
      <c r="E37" t="s">
        <v>2881</v>
      </c>
      <c r="F37">
        <v>1</v>
      </c>
    </row>
    <row r="38" spans="2:6" x14ac:dyDescent="0.2">
      <c r="B38" t="s">
        <v>2882</v>
      </c>
      <c r="C38" t="s">
        <v>2883</v>
      </c>
      <c r="D38">
        <v>7</v>
      </c>
      <c r="E38" t="s">
        <v>2884</v>
      </c>
      <c r="F38">
        <v>6</v>
      </c>
    </row>
    <row r="39" spans="2:6" x14ac:dyDescent="0.2">
      <c r="B39" t="s">
        <v>2885</v>
      </c>
      <c r="C39" t="s">
        <v>2886</v>
      </c>
      <c r="D39">
        <v>7</v>
      </c>
      <c r="E39" t="s">
        <v>2811</v>
      </c>
      <c r="F39">
        <v>3</v>
      </c>
    </row>
    <row r="40" spans="2:6" x14ac:dyDescent="0.2">
      <c r="B40" t="s">
        <v>2887</v>
      </c>
      <c r="C40" t="s">
        <v>2888</v>
      </c>
      <c r="D40">
        <v>7</v>
      </c>
      <c r="E40" t="s">
        <v>2889</v>
      </c>
      <c r="F40">
        <v>1</v>
      </c>
    </row>
    <row r="41" spans="2:6" x14ac:dyDescent="0.2">
      <c r="B41" t="s">
        <v>2890</v>
      </c>
      <c r="C41" t="s">
        <v>2891</v>
      </c>
      <c r="D41">
        <v>7</v>
      </c>
      <c r="E41" t="s">
        <v>2892</v>
      </c>
      <c r="F41">
        <v>1</v>
      </c>
    </row>
    <row r="42" spans="2:6" x14ac:dyDescent="0.2">
      <c r="B42" t="s">
        <v>2893</v>
      </c>
      <c r="C42" t="s">
        <v>2894</v>
      </c>
      <c r="D42">
        <v>7</v>
      </c>
      <c r="E42" t="s">
        <v>2895</v>
      </c>
      <c r="F42">
        <v>7</v>
      </c>
    </row>
    <row r="43" spans="2:6" x14ac:dyDescent="0.2">
      <c r="B43" t="s">
        <v>2896</v>
      </c>
      <c r="C43" t="s">
        <v>2897</v>
      </c>
      <c r="D43">
        <v>7</v>
      </c>
      <c r="E43" t="s">
        <v>2788</v>
      </c>
      <c r="F43">
        <v>1</v>
      </c>
    </row>
    <row r="44" spans="2:6" x14ac:dyDescent="0.2">
      <c r="B44" t="s">
        <v>2898</v>
      </c>
      <c r="C44" t="s">
        <v>2899</v>
      </c>
      <c r="D44">
        <v>7</v>
      </c>
      <c r="E44" t="s">
        <v>2900</v>
      </c>
      <c r="F44">
        <v>4</v>
      </c>
    </row>
    <row r="45" spans="2:6" x14ac:dyDescent="0.2">
      <c r="B45" t="s">
        <v>2901</v>
      </c>
      <c r="C45" t="s">
        <v>2902</v>
      </c>
      <c r="D45">
        <v>7</v>
      </c>
      <c r="E45" t="s">
        <v>2903</v>
      </c>
      <c r="F45">
        <v>1</v>
      </c>
    </row>
    <row r="46" spans="2:6" x14ac:dyDescent="0.2">
      <c r="B46" t="s">
        <v>2904</v>
      </c>
      <c r="C46" t="s">
        <v>2905</v>
      </c>
      <c r="D46">
        <v>7</v>
      </c>
      <c r="E46" t="s">
        <v>2906</v>
      </c>
      <c r="F46">
        <v>3</v>
      </c>
    </row>
    <row r="47" spans="2:6" x14ac:dyDescent="0.2">
      <c r="B47" t="s">
        <v>2907</v>
      </c>
      <c r="C47" t="s">
        <v>2908</v>
      </c>
      <c r="D47">
        <v>7</v>
      </c>
      <c r="E47" t="s">
        <v>2909</v>
      </c>
      <c r="F47">
        <v>1</v>
      </c>
    </row>
    <row r="48" spans="2:6" x14ac:dyDescent="0.2">
      <c r="B48" t="s">
        <v>2910</v>
      </c>
      <c r="C48" t="s">
        <v>2911</v>
      </c>
      <c r="D48">
        <v>7</v>
      </c>
      <c r="E48" t="s">
        <v>2912</v>
      </c>
      <c r="F48">
        <v>4</v>
      </c>
    </row>
    <row r="49" spans="2:6" x14ac:dyDescent="0.2">
      <c r="B49" t="s">
        <v>2913</v>
      </c>
      <c r="C49" t="s">
        <v>2914</v>
      </c>
      <c r="D49">
        <v>7</v>
      </c>
      <c r="E49" t="s">
        <v>2915</v>
      </c>
      <c r="F49">
        <v>27</v>
      </c>
    </row>
    <row r="50" spans="2:6" x14ac:dyDescent="0.2">
      <c r="B50" t="s">
        <v>2916</v>
      </c>
      <c r="C50" t="s">
        <v>2917</v>
      </c>
      <c r="D50">
        <v>7</v>
      </c>
      <c r="E50" t="s">
        <v>2918</v>
      </c>
      <c r="F50">
        <v>6</v>
      </c>
    </row>
    <row r="51" spans="2:6" x14ac:dyDescent="0.2">
      <c r="B51" t="s">
        <v>2919</v>
      </c>
      <c r="C51" t="s">
        <v>2920</v>
      </c>
      <c r="D51">
        <v>7</v>
      </c>
      <c r="E51" t="s">
        <v>2921</v>
      </c>
      <c r="F51">
        <v>5</v>
      </c>
    </row>
    <row r="52" spans="2:6" x14ac:dyDescent="0.2">
      <c r="B52" t="s">
        <v>2922</v>
      </c>
      <c r="C52" t="s">
        <v>2923</v>
      </c>
      <c r="D52">
        <v>7</v>
      </c>
      <c r="E52" t="s">
        <v>2924</v>
      </c>
      <c r="F52">
        <v>1</v>
      </c>
    </row>
    <row r="53" spans="2:6" x14ac:dyDescent="0.2">
      <c r="B53" t="s">
        <v>2925</v>
      </c>
      <c r="C53" t="s">
        <v>2926</v>
      </c>
      <c r="D53">
        <v>7</v>
      </c>
      <c r="E53" t="s">
        <v>2927</v>
      </c>
      <c r="F53">
        <v>2</v>
      </c>
    </row>
    <row r="54" spans="2:6" x14ac:dyDescent="0.2">
      <c r="B54" t="s">
        <v>2928</v>
      </c>
      <c r="C54" t="s">
        <v>2929</v>
      </c>
      <c r="D54">
        <v>7</v>
      </c>
      <c r="E54" t="s">
        <v>2930</v>
      </c>
      <c r="F54">
        <v>3</v>
      </c>
    </row>
    <row r="55" spans="2:6" x14ac:dyDescent="0.2">
      <c r="B55" t="s">
        <v>2931</v>
      </c>
      <c r="C55" t="s">
        <v>2932</v>
      </c>
      <c r="D55">
        <v>7</v>
      </c>
      <c r="E55" t="s">
        <v>2933</v>
      </c>
      <c r="F55">
        <v>1</v>
      </c>
    </row>
    <row r="56" spans="2:6" x14ac:dyDescent="0.2">
      <c r="B56" t="s">
        <v>188</v>
      </c>
      <c r="C56" t="s">
        <v>2934</v>
      </c>
      <c r="D56">
        <v>7</v>
      </c>
      <c r="E56" t="s">
        <v>2935</v>
      </c>
      <c r="F56">
        <v>25</v>
      </c>
    </row>
    <row r="57" spans="2:6" x14ac:dyDescent="0.2">
      <c r="B57" t="s">
        <v>2936</v>
      </c>
      <c r="C57" t="s">
        <v>2937</v>
      </c>
      <c r="D57">
        <v>7</v>
      </c>
      <c r="E57" t="s">
        <v>2938</v>
      </c>
      <c r="F57">
        <v>2</v>
      </c>
    </row>
    <row r="58" spans="2:6" x14ac:dyDescent="0.2">
      <c r="B58" t="s">
        <v>2939</v>
      </c>
      <c r="C58" t="s">
        <v>2940</v>
      </c>
      <c r="D58">
        <v>7</v>
      </c>
      <c r="E58" t="s">
        <v>2941</v>
      </c>
      <c r="F58">
        <v>3</v>
      </c>
    </row>
    <row r="59" spans="2:6" x14ac:dyDescent="0.2">
      <c r="B59" t="s">
        <v>2942</v>
      </c>
      <c r="C59" t="s">
        <v>2943</v>
      </c>
      <c r="D59">
        <v>7</v>
      </c>
      <c r="E59" t="s">
        <v>2944</v>
      </c>
      <c r="F59">
        <v>2</v>
      </c>
    </row>
    <row r="60" spans="2:6" x14ac:dyDescent="0.2">
      <c r="B60" t="s">
        <v>2945</v>
      </c>
      <c r="C60" t="s">
        <v>2946</v>
      </c>
      <c r="D60">
        <v>7</v>
      </c>
      <c r="E60" t="s">
        <v>2947</v>
      </c>
      <c r="F60">
        <v>10</v>
      </c>
    </row>
    <row r="61" spans="2:6" x14ac:dyDescent="0.2">
      <c r="B61" t="s">
        <v>327</v>
      </c>
      <c r="C61" t="s">
        <v>2948</v>
      </c>
      <c r="D61">
        <v>7</v>
      </c>
      <c r="E61" t="s">
        <v>2949</v>
      </c>
      <c r="F61">
        <v>1</v>
      </c>
    </row>
    <row r="62" spans="2:6" x14ac:dyDescent="0.2">
      <c r="B62" t="s">
        <v>2950</v>
      </c>
      <c r="C62" t="s">
        <v>2951</v>
      </c>
      <c r="D62">
        <v>7</v>
      </c>
      <c r="E62" t="s">
        <v>2952</v>
      </c>
      <c r="F62">
        <v>1</v>
      </c>
    </row>
    <row r="63" spans="2:6" x14ac:dyDescent="0.2">
      <c r="B63" t="s">
        <v>521</v>
      </c>
      <c r="C63" t="s">
        <v>2953</v>
      </c>
      <c r="D63">
        <v>7</v>
      </c>
      <c r="E63" t="s">
        <v>2954</v>
      </c>
      <c r="F63">
        <v>1</v>
      </c>
    </row>
    <row r="64" spans="2:6" x14ac:dyDescent="0.2">
      <c r="B64" t="s">
        <v>2955</v>
      </c>
      <c r="C64" t="s">
        <v>380</v>
      </c>
      <c r="D64">
        <v>7</v>
      </c>
      <c r="E64" t="s">
        <v>2956</v>
      </c>
      <c r="F64">
        <v>12</v>
      </c>
    </row>
    <row r="65" spans="2:6" x14ac:dyDescent="0.2">
      <c r="B65" t="s">
        <v>671</v>
      </c>
      <c r="C65" t="s">
        <v>2957</v>
      </c>
      <c r="D65">
        <v>7</v>
      </c>
      <c r="E65" t="s">
        <v>2958</v>
      </c>
      <c r="F65">
        <v>7</v>
      </c>
    </row>
    <row r="66" spans="2:6" x14ac:dyDescent="0.2">
      <c r="B66" t="s">
        <v>2959</v>
      </c>
      <c r="C66" t="s">
        <v>2960</v>
      </c>
      <c r="D66">
        <v>7</v>
      </c>
      <c r="E66" t="s">
        <v>2961</v>
      </c>
      <c r="F66">
        <v>1</v>
      </c>
    </row>
    <row r="67" spans="2:6" x14ac:dyDescent="0.2">
      <c r="B67" t="s">
        <v>2962</v>
      </c>
      <c r="C67" t="s">
        <v>2963</v>
      </c>
      <c r="D67">
        <v>7</v>
      </c>
      <c r="E67" t="s">
        <v>2964</v>
      </c>
      <c r="F67">
        <v>1</v>
      </c>
    </row>
    <row r="68" spans="2:6" x14ac:dyDescent="0.2">
      <c r="B68" t="s">
        <v>2965</v>
      </c>
      <c r="C68" t="s">
        <v>2966</v>
      </c>
      <c r="D68">
        <v>7</v>
      </c>
      <c r="E68" t="s">
        <v>2915</v>
      </c>
      <c r="F68">
        <v>2</v>
      </c>
    </row>
    <row r="69" spans="2:6" x14ac:dyDescent="0.2">
      <c r="B69" t="s">
        <v>2967</v>
      </c>
      <c r="C69" t="s">
        <v>2968</v>
      </c>
      <c r="D69">
        <v>7</v>
      </c>
      <c r="E69" t="s">
        <v>2969</v>
      </c>
      <c r="F69">
        <v>1</v>
      </c>
    </row>
    <row r="70" spans="2:6" x14ac:dyDescent="0.2">
      <c r="B70" t="s">
        <v>2970</v>
      </c>
      <c r="C70" t="s">
        <v>2971</v>
      </c>
      <c r="D70">
        <v>7</v>
      </c>
      <c r="E70" t="s">
        <v>2839</v>
      </c>
      <c r="F70">
        <v>2</v>
      </c>
    </row>
    <row r="71" spans="2:6" x14ac:dyDescent="0.2">
      <c r="B71" t="s">
        <v>2972</v>
      </c>
      <c r="C71" t="s">
        <v>2973</v>
      </c>
      <c r="D71">
        <v>7</v>
      </c>
      <c r="E71" t="s">
        <v>2974</v>
      </c>
      <c r="F71">
        <v>2</v>
      </c>
    </row>
    <row r="72" spans="2:6" x14ac:dyDescent="0.2">
      <c r="B72" t="s">
        <v>2975</v>
      </c>
      <c r="C72" t="s">
        <v>2976</v>
      </c>
      <c r="D72">
        <v>7</v>
      </c>
      <c r="E72" t="s">
        <v>2915</v>
      </c>
      <c r="F72">
        <v>1</v>
      </c>
    </row>
    <row r="73" spans="2:6" x14ac:dyDescent="0.2">
      <c r="B73" t="s">
        <v>2977</v>
      </c>
      <c r="C73" t="s">
        <v>2978</v>
      </c>
      <c r="D73">
        <v>7</v>
      </c>
      <c r="E73" t="s">
        <v>2979</v>
      </c>
      <c r="F73">
        <v>3</v>
      </c>
    </row>
    <row r="74" spans="2:6" x14ac:dyDescent="0.2">
      <c r="B74" t="s">
        <v>2980</v>
      </c>
      <c r="C74" t="s">
        <v>2981</v>
      </c>
      <c r="D74">
        <v>7</v>
      </c>
      <c r="E74" t="s">
        <v>2982</v>
      </c>
      <c r="F74">
        <v>1</v>
      </c>
    </row>
    <row r="75" spans="2:6" x14ac:dyDescent="0.2">
      <c r="B75" t="s">
        <v>2983</v>
      </c>
      <c r="C75" t="s">
        <v>2984</v>
      </c>
      <c r="D75">
        <v>7</v>
      </c>
      <c r="E75" t="s">
        <v>2985</v>
      </c>
      <c r="F75">
        <v>1</v>
      </c>
    </row>
    <row r="76" spans="2:6" x14ac:dyDescent="0.2">
      <c r="B76" t="s">
        <v>2986</v>
      </c>
      <c r="C76" t="s">
        <v>2987</v>
      </c>
      <c r="D76">
        <v>7</v>
      </c>
      <c r="E76" t="s">
        <v>2988</v>
      </c>
      <c r="F76">
        <v>8</v>
      </c>
    </row>
    <row r="77" spans="2:6" x14ac:dyDescent="0.2">
      <c r="B77" t="s">
        <v>2989</v>
      </c>
      <c r="C77" t="s">
        <v>2990</v>
      </c>
      <c r="D77">
        <v>7</v>
      </c>
      <c r="E77" t="s">
        <v>2991</v>
      </c>
      <c r="F77">
        <v>4</v>
      </c>
    </row>
    <row r="78" spans="2:6" x14ac:dyDescent="0.2">
      <c r="B78" t="s">
        <v>2992</v>
      </c>
      <c r="C78" t="s">
        <v>2993</v>
      </c>
      <c r="D78">
        <v>7</v>
      </c>
      <c r="E78" t="s">
        <v>2994</v>
      </c>
      <c r="F78">
        <v>2</v>
      </c>
    </row>
    <row r="79" spans="2:6" x14ac:dyDescent="0.2">
      <c r="B79" t="s">
        <v>2995</v>
      </c>
      <c r="C79" t="s">
        <v>2996</v>
      </c>
      <c r="D79">
        <v>7</v>
      </c>
      <c r="E79" t="s">
        <v>2997</v>
      </c>
      <c r="F79">
        <v>22</v>
      </c>
    </row>
    <row r="80" spans="2:6" x14ac:dyDescent="0.2">
      <c r="B80" t="s">
        <v>2998</v>
      </c>
      <c r="C80" t="s">
        <v>2999</v>
      </c>
      <c r="D80">
        <v>7</v>
      </c>
      <c r="E80" t="s">
        <v>2785</v>
      </c>
      <c r="F80">
        <v>2</v>
      </c>
    </row>
    <row r="81" spans="2:6" x14ac:dyDescent="0.2">
      <c r="B81" t="s">
        <v>1766</v>
      </c>
      <c r="C81" t="s">
        <v>3000</v>
      </c>
      <c r="D81">
        <v>7</v>
      </c>
      <c r="E81" t="s">
        <v>3001</v>
      </c>
      <c r="F81">
        <v>7</v>
      </c>
    </row>
    <row r="82" spans="2:6" x14ac:dyDescent="0.2">
      <c r="B82" t="s">
        <v>3002</v>
      </c>
      <c r="C82" t="s">
        <v>3003</v>
      </c>
      <c r="D82">
        <v>7</v>
      </c>
      <c r="E82" t="s">
        <v>3004</v>
      </c>
      <c r="F82">
        <v>3</v>
      </c>
    </row>
    <row r="83" spans="2:6" x14ac:dyDescent="0.2">
      <c r="B83" t="s">
        <v>3005</v>
      </c>
      <c r="C83" t="s">
        <v>3006</v>
      </c>
      <c r="D83">
        <v>7</v>
      </c>
      <c r="E83" t="s">
        <v>3007</v>
      </c>
      <c r="F83">
        <v>1</v>
      </c>
    </row>
    <row r="84" spans="2:6" x14ac:dyDescent="0.2">
      <c r="B84" t="s">
        <v>3008</v>
      </c>
      <c r="C84" t="s">
        <v>3009</v>
      </c>
      <c r="D84">
        <v>7</v>
      </c>
      <c r="E84" t="s">
        <v>3010</v>
      </c>
      <c r="F84">
        <v>9</v>
      </c>
    </row>
    <row r="85" spans="2:6" x14ac:dyDescent="0.2">
      <c r="B85" t="s">
        <v>3011</v>
      </c>
      <c r="C85" t="s">
        <v>3012</v>
      </c>
      <c r="D85">
        <v>7</v>
      </c>
      <c r="E85" t="s">
        <v>3013</v>
      </c>
      <c r="F85">
        <v>4</v>
      </c>
    </row>
    <row r="86" spans="2:6" x14ac:dyDescent="0.2">
      <c r="B86" t="s">
        <v>3014</v>
      </c>
      <c r="C86" t="s">
        <v>3015</v>
      </c>
      <c r="D86">
        <v>7</v>
      </c>
      <c r="E86" t="s">
        <v>3016</v>
      </c>
      <c r="F86">
        <v>2</v>
      </c>
    </row>
    <row r="87" spans="2:6" x14ac:dyDescent="0.2">
      <c r="B87" t="s">
        <v>3017</v>
      </c>
      <c r="C87" t="s">
        <v>3018</v>
      </c>
      <c r="D87">
        <v>7</v>
      </c>
      <c r="E87" t="s">
        <v>3019</v>
      </c>
      <c r="F87">
        <v>1</v>
      </c>
    </row>
    <row r="88" spans="2:6" x14ac:dyDescent="0.2">
      <c r="B88" t="s">
        <v>3020</v>
      </c>
      <c r="C88" t="s">
        <v>3021</v>
      </c>
      <c r="D88">
        <v>7</v>
      </c>
      <c r="E88" t="s">
        <v>2930</v>
      </c>
      <c r="F88">
        <v>1</v>
      </c>
    </row>
    <row r="89" spans="2:6" x14ac:dyDescent="0.2">
      <c r="B89" t="s">
        <v>3022</v>
      </c>
      <c r="C89" t="s">
        <v>3023</v>
      </c>
      <c r="D89">
        <v>7</v>
      </c>
      <c r="E89" t="s">
        <v>3024</v>
      </c>
      <c r="F89">
        <v>4</v>
      </c>
    </row>
    <row r="90" spans="2:6" x14ac:dyDescent="0.2">
      <c r="B90" t="s">
        <v>187</v>
      </c>
      <c r="C90" t="s">
        <v>3025</v>
      </c>
      <c r="D90">
        <v>7</v>
      </c>
      <c r="E90" t="s">
        <v>2935</v>
      </c>
      <c r="F90">
        <v>15</v>
      </c>
    </row>
    <row r="91" spans="2:6" x14ac:dyDescent="0.2">
      <c r="B91" t="s">
        <v>3026</v>
      </c>
      <c r="C91" t="s">
        <v>3027</v>
      </c>
      <c r="D91">
        <v>7</v>
      </c>
      <c r="E91" t="s">
        <v>3028</v>
      </c>
      <c r="F91">
        <v>1</v>
      </c>
    </row>
    <row r="92" spans="2:6" x14ac:dyDescent="0.2">
      <c r="B92" t="s">
        <v>3029</v>
      </c>
      <c r="C92" t="s">
        <v>3030</v>
      </c>
      <c r="D92">
        <v>7</v>
      </c>
      <c r="E92" t="s">
        <v>3031</v>
      </c>
      <c r="F92">
        <v>1</v>
      </c>
    </row>
    <row r="93" spans="2:6" x14ac:dyDescent="0.2">
      <c r="B93" t="s">
        <v>3032</v>
      </c>
      <c r="C93" t="s">
        <v>3033</v>
      </c>
      <c r="D93">
        <v>7</v>
      </c>
      <c r="E93" t="s">
        <v>2915</v>
      </c>
      <c r="F93">
        <v>1</v>
      </c>
    </row>
    <row r="94" spans="2:6" x14ac:dyDescent="0.2">
      <c r="B94" t="s">
        <v>3034</v>
      </c>
      <c r="C94" t="s">
        <v>3035</v>
      </c>
      <c r="D94">
        <v>7</v>
      </c>
      <c r="E94" t="s">
        <v>3036</v>
      </c>
      <c r="F94">
        <v>1</v>
      </c>
    </row>
    <row r="95" spans="2:6" x14ac:dyDescent="0.2">
      <c r="B95" t="s">
        <v>3037</v>
      </c>
      <c r="C95" t="s">
        <v>3038</v>
      </c>
      <c r="D95">
        <v>7</v>
      </c>
      <c r="E95" t="s">
        <v>3039</v>
      </c>
      <c r="F95">
        <v>12</v>
      </c>
    </row>
    <row r="96" spans="2:6" x14ac:dyDescent="0.2">
      <c r="B96" t="s">
        <v>3040</v>
      </c>
      <c r="C96" t="s">
        <v>3041</v>
      </c>
      <c r="D96">
        <v>7</v>
      </c>
      <c r="E96" t="s">
        <v>3042</v>
      </c>
      <c r="F96">
        <v>1</v>
      </c>
    </row>
    <row r="97" spans="2:6" x14ac:dyDescent="0.2">
      <c r="B97" t="s">
        <v>3043</v>
      </c>
      <c r="C97" t="s">
        <v>3044</v>
      </c>
      <c r="D97">
        <v>7</v>
      </c>
      <c r="E97" t="s">
        <v>2863</v>
      </c>
      <c r="F97">
        <v>1</v>
      </c>
    </row>
    <row r="98" spans="2:6" x14ac:dyDescent="0.2">
      <c r="B98" t="s">
        <v>797</v>
      </c>
      <c r="C98" t="s">
        <v>3045</v>
      </c>
      <c r="D98">
        <v>7</v>
      </c>
      <c r="E98" t="s">
        <v>3036</v>
      </c>
      <c r="F98">
        <v>11</v>
      </c>
    </row>
    <row r="99" spans="2:6" x14ac:dyDescent="0.2">
      <c r="B99" t="s">
        <v>3046</v>
      </c>
      <c r="C99" t="s">
        <v>3047</v>
      </c>
      <c r="D99">
        <v>7</v>
      </c>
      <c r="E99" t="s">
        <v>3048</v>
      </c>
      <c r="F99">
        <v>1</v>
      </c>
    </row>
    <row r="100" spans="2:6" x14ac:dyDescent="0.2">
      <c r="B100" t="s">
        <v>3049</v>
      </c>
      <c r="C100" t="s">
        <v>3050</v>
      </c>
      <c r="D100">
        <v>7</v>
      </c>
      <c r="E100" t="s">
        <v>2785</v>
      </c>
      <c r="F100">
        <v>2</v>
      </c>
    </row>
    <row r="101" spans="2:6" x14ac:dyDescent="0.2">
      <c r="B101" t="s">
        <v>3051</v>
      </c>
      <c r="C101" t="s">
        <v>3052</v>
      </c>
      <c r="D101">
        <v>7</v>
      </c>
      <c r="E101" t="s">
        <v>3053</v>
      </c>
      <c r="F101">
        <v>5</v>
      </c>
    </row>
    <row r="102" spans="2:6" x14ac:dyDescent="0.2">
      <c r="B102" t="s">
        <v>3054</v>
      </c>
      <c r="C102" t="s">
        <v>3055</v>
      </c>
      <c r="D102">
        <v>7</v>
      </c>
      <c r="E102" t="s">
        <v>3056</v>
      </c>
      <c r="F102">
        <v>1</v>
      </c>
    </row>
    <row r="103" spans="2:6" x14ac:dyDescent="0.2">
      <c r="B103" t="s">
        <v>3057</v>
      </c>
      <c r="C103" t="s">
        <v>3058</v>
      </c>
      <c r="D103">
        <v>7</v>
      </c>
      <c r="E103" t="s">
        <v>3059</v>
      </c>
      <c r="F103">
        <v>1</v>
      </c>
    </row>
    <row r="104" spans="2:6" x14ac:dyDescent="0.2">
      <c r="B104" t="s">
        <v>3060</v>
      </c>
      <c r="C104" t="s">
        <v>3061</v>
      </c>
      <c r="D104">
        <v>7</v>
      </c>
      <c r="E104" t="s">
        <v>2814</v>
      </c>
      <c r="F104">
        <v>1</v>
      </c>
    </row>
    <row r="105" spans="2:6" x14ac:dyDescent="0.2">
      <c r="B105" t="s">
        <v>3062</v>
      </c>
      <c r="C105" t="s">
        <v>3063</v>
      </c>
      <c r="D105">
        <v>7</v>
      </c>
      <c r="E105" t="s">
        <v>3064</v>
      </c>
      <c r="F105">
        <v>8</v>
      </c>
    </row>
    <row r="106" spans="2:6" x14ac:dyDescent="0.2">
      <c r="B106" t="s">
        <v>3065</v>
      </c>
      <c r="C106" t="s">
        <v>3066</v>
      </c>
      <c r="D106">
        <v>7</v>
      </c>
      <c r="E106" t="s">
        <v>3067</v>
      </c>
      <c r="F106">
        <v>1</v>
      </c>
    </row>
    <row r="107" spans="2:6" x14ac:dyDescent="0.2">
      <c r="B107" t="s">
        <v>1725</v>
      </c>
      <c r="C107" t="s">
        <v>3068</v>
      </c>
      <c r="D107">
        <v>7</v>
      </c>
      <c r="E107" t="s">
        <v>3069</v>
      </c>
      <c r="F107">
        <v>2</v>
      </c>
    </row>
    <row r="108" spans="2:6" x14ac:dyDescent="0.2">
      <c r="B108" t="s">
        <v>640</v>
      </c>
      <c r="C108" t="s">
        <v>3070</v>
      </c>
      <c r="D108">
        <v>7</v>
      </c>
      <c r="E108" t="s">
        <v>3071</v>
      </c>
      <c r="F108">
        <v>21</v>
      </c>
    </row>
    <row r="109" spans="2:6" x14ac:dyDescent="0.2">
      <c r="B109" t="s">
        <v>3072</v>
      </c>
      <c r="C109" t="s">
        <v>3073</v>
      </c>
      <c r="D109">
        <v>7</v>
      </c>
      <c r="E109" t="s">
        <v>2949</v>
      </c>
      <c r="F109">
        <v>1</v>
      </c>
    </row>
    <row r="110" spans="2:6" x14ac:dyDescent="0.2">
      <c r="B110" t="s">
        <v>1778</v>
      </c>
      <c r="C110" t="s">
        <v>3074</v>
      </c>
      <c r="D110">
        <v>7</v>
      </c>
      <c r="E110" t="s">
        <v>3075</v>
      </c>
      <c r="F110">
        <v>1</v>
      </c>
    </row>
    <row r="111" spans="2:6" x14ac:dyDescent="0.2">
      <c r="B111" t="s">
        <v>3076</v>
      </c>
      <c r="C111" t="s">
        <v>3077</v>
      </c>
      <c r="D111">
        <v>7</v>
      </c>
      <c r="E111" t="s">
        <v>3078</v>
      </c>
      <c r="F111">
        <v>15</v>
      </c>
    </row>
    <row r="112" spans="2:6" x14ac:dyDescent="0.2">
      <c r="B112" t="s">
        <v>3079</v>
      </c>
      <c r="C112" t="s">
        <v>3080</v>
      </c>
      <c r="D112">
        <v>7</v>
      </c>
      <c r="E112" t="s">
        <v>3081</v>
      </c>
      <c r="F112">
        <v>1</v>
      </c>
    </row>
    <row r="113" spans="2:6" x14ac:dyDescent="0.2">
      <c r="B113" t="s">
        <v>3082</v>
      </c>
      <c r="C113" t="s">
        <v>3083</v>
      </c>
      <c r="D113">
        <v>7</v>
      </c>
      <c r="E113" t="s">
        <v>3084</v>
      </c>
      <c r="F113">
        <v>1</v>
      </c>
    </row>
    <row r="114" spans="2:6" x14ac:dyDescent="0.2">
      <c r="B114" t="s">
        <v>3085</v>
      </c>
      <c r="C114" t="s">
        <v>3086</v>
      </c>
      <c r="D114">
        <v>7</v>
      </c>
      <c r="E114" t="s">
        <v>3087</v>
      </c>
      <c r="F114">
        <v>1</v>
      </c>
    </row>
    <row r="115" spans="2:6" x14ac:dyDescent="0.2">
      <c r="B115" t="s">
        <v>722</v>
      </c>
      <c r="C115" t="s">
        <v>3088</v>
      </c>
      <c r="D115">
        <v>7</v>
      </c>
      <c r="E115" t="s">
        <v>3089</v>
      </c>
      <c r="F115">
        <v>24</v>
      </c>
    </row>
    <row r="116" spans="2:6" x14ac:dyDescent="0.2">
      <c r="B116" t="s">
        <v>3090</v>
      </c>
      <c r="C116" t="s">
        <v>3091</v>
      </c>
      <c r="D116">
        <v>7</v>
      </c>
      <c r="E116" t="s">
        <v>3092</v>
      </c>
      <c r="F116">
        <v>1</v>
      </c>
    </row>
    <row r="117" spans="2:6" x14ac:dyDescent="0.2">
      <c r="B117" t="s">
        <v>3093</v>
      </c>
      <c r="C117" t="s">
        <v>3094</v>
      </c>
      <c r="D117">
        <v>7</v>
      </c>
      <c r="E117" t="s">
        <v>3095</v>
      </c>
      <c r="F117">
        <v>1</v>
      </c>
    </row>
    <row r="118" spans="2:6" x14ac:dyDescent="0.2">
      <c r="B118" t="s">
        <v>3096</v>
      </c>
      <c r="C118" t="s">
        <v>3097</v>
      </c>
      <c r="D118">
        <v>7</v>
      </c>
      <c r="E118" t="s">
        <v>3098</v>
      </c>
      <c r="F118">
        <v>2</v>
      </c>
    </row>
    <row r="119" spans="2:6" x14ac:dyDescent="0.2">
      <c r="B119" t="s">
        <v>3099</v>
      </c>
      <c r="C119" t="s">
        <v>3100</v>
      </c>
      <c r="D119">
        <v>7</v>
      </c>
      <c r="E119" t="s">
        <v>2912</v>
      </c>
      <c r="F119">
        <v>1</v>
      </c>
    </row>
    <row r="120" spans="2:6" x14ac:dyDescent="0.2">
      <c r="B120" t="s">
        <v>3101</v>
      </c>
      <c r="C120" t="s">
        <v>3102</v>
      </c>
      <c r="D120">
        <v>7</v>
      </c>
      <c r="E120" t="s">
        <v>3103</v>
      </c>
      <c r="F120">
        <v>1</v>
      </c>
    </row>
    <row r="121" spans="2:6" x14ac:dyDescent="0.2">
      <c r="B121" t="s">
        <v>3104</v>
      </c>
      <c r="C121" t="s">
        <v>3105</v>
      </c>
      <c r="D121">
        <v>7</v>
      </c>
      <c r="E121" t="s">
        <v>3106</v>
      </c>
      <c r="F121">
        <v>1</v>
      </c>
    </row>
    <row r="122" spans="2:6" x14ac:dyDescent="0.2">
      <c r="B122" t="s">
        <v>3107</v>
      </c>
      <c r="C122" t="s">
        <v>3108</v>
      </c>
      <c r="D122">
        <v>7</v>
      </c>
      <c r="E122" t="s">
        <v>3109</v>
      </c>
      <c r="F122">
        <v>4</v>
      </c>
    </row>
    <row r="123" spans="2:6" x14ac:dyDescent="0.2">
      <c r="B123" t="s">
        <v>165</v>
      </c>
      <c r="C123" t="s">
        <v>3110</v>
      </c>
      <c r="D123">
        <v>7</v>
      </c>
      <c r="E123" t="s">
        <v>3111</v>
      </c>
      <c r="F123">
        <v>36</v>
      </c>
    </row>
    <row r="124" spans="2:6" x14ac:dyDescent="0.2">
      <c r="B124" t="s">
        <v>1680</v>
      </c>
      <c r="C124" t="s">
        <v>3112</v>
      </c>
      <c r="D124">
        <v>7</v>
      </c>
      <c r="E124" t="s">
        <v>3113</v>
      </c>
      <c r="F124">
        <v>4</v>
      </c>
    </row>
    <row r="125" spans="2:6" x14ac:dyDescent="0.2">
      <c r="B125" t="s">
        <v>3114</v>
      </c>
      <c r="C125" t="s">
        <v>3115</v>
      </c>
      <c r="D125">
        <v>7</v>
      </c>
      <c r="E125" t="s">
        <v>3116</v>
      </c>
      <c r="F125">
        <v>1</v>
      </c>
    </row>
    <row r="126" spans="2:6" x14ac:dyDescent="0.2">
      <c r="B126" t="s">
        <v>3117</v>
      </c>
      <c r="C126" t="s">
        <v>3118</v>
      </c>
      <c r="D126">
        <v>7</v>
      </c>
      <c r="E126" t="s">
        <v>3119</v>
      </c>
      <c r="F126">
        <v>1</v>
      </c>
    </row>
    <row r="127" spans="2:6" x14ac:dyDescent="0.2">
      <c r="B127" t="s">
        <v>3120</v>
      </c>
      <c r="C127" t="s">
        <v>3121</v>
      </c>
      <c r="D127">
        <v>7</v>
      </c>
      <c r="E127" t="s">
        <v>3122</v>
      </c>
      <c r="F127">
        <v>4</v>
      </c>
    </row>
    <row r="128" spans="2:6" x14ac:dyDescent="0.2">
      <c r="B128" t="s">
        <v>3123</v>
      </c>
      <c r="C128" t="s">
        <v>3124</v>
      </c>
      <c r="D128">
        <v>7</v>
      </c>
      <c r="E128" t="s">
        <v>3125</v>
      </c>
      <c r="F128">
        <v>2</v>
      </c>
    </row>
    <row r="129" spans="2:6" x14ac:dyDescent="0.2">
      <c r="B129" t="s">
        <v>3126</v>
      </c>
      <c r="C129" t="s">
        <v>3127</v>
      </c>
      <c r="D129">
        <v>7</v>
      </c>
      <c r="E129" t="s">
        <v>2964</v>
      </c>
      <c r="F129">
        <v>1</v>
      </c>
    </row>
    <row r="130" spans="2:6" x14ac:dyDescent="0.2">
      <c r="B130" t="s">
        <v>3128</v>
      </c>
      <c r="C130" t="s">
        <v>3129</v>
      </c>
      <c r="D130">
        <v>7</v>
      </c>
      <c r="E130" t="s">
        <v>3130</v>
      </c>
      <c r="F130">
        <v>1</v>
      </c>
    </row>
    <row r="131" spans="2:6" x14ac:dyDescent="0.2">
      <c r="B131" t="s">
        <v>3131</v>
      </c>
      <c r="C131" t="s">
        <v>3132</v>
      </c>
      <c r="D131">
        <v>7</v>
      </c>
      <c r="E131" t="s">
        <v>3133</v>
      </c>
      <c r="F131">
        <v>2</v>
      </c>
    </row>
    <row r="132" spans="2:6" x14ac:dyDescent="0.2">
      <c r="B132" t="s">
        <v>3134</v>
      </c>
      <c r="C132" t="s">
        <v>3135</v>
      </c>
      <c r="D132">
        <v>7</v>
      </c>
      <c r="E132" t="s">
        <v>3136</v>
      </c>
      <c r="F132">
        <v>3</v>
      </c>
    </row>
    <row r="133" spans="2:6" x14ac:dyDescent="0.2">
      <c r="B133" t="s">
        <v>3137</v>
      </c>
      <c r="C133" t="s">
        <v>3138</v>
      </c>
      <c r="D133">
        <v>7</v>
      </c>
      <c r="E133" t="s">
        <v>3139</v>
      </c>
      <c r="F133">
        <v>2</v>
      </c>
    </row>
    <row r="134" spans="2:6" x14ac:dyDescent="0.2">
      <c r="B134" t="s">
        <v>1856</v>
      </c>
      <c r="C134" t="s">
        <v>3140</v>
      </c>
      <c r="D134">
        <v>7</v>
      </c>
      <c r="E134" t="s">
        <v>2889</v>
      </c>
      <c r="F134">
        <v>1</v>
      </c>
    </row>
    <row r="135" spans="2:6" x14ac:dyDescent="0.2">
      <c r="B135" t="s">
        <v>3141</v>
      </c>
      <c r="C135" t="s">
        <v>3142</v>
      </c>
      <c r="D135">
        <v>7</v>
      </c>
      <c r="E135" t="s">
        <v>3143</v>
      </c>
      <c r="F135">
        <v>3</v>
      </c>
    </row>
    <row r="136" spans="2:6" x14ac:dyDescent="0.2">
      <c r="B136" t="s">
        <v>3144</v>
      </c>
      <c r="C136" t="s">
        <v>3145</v>
      </c>
      <c r="D136">
        <v>7</v>
      </c>
      <c r="E136" t="s">
        <v>2850</v>
      </c>
      <c r="F136">
        <v>2</v>
      </c>
    </row>
    <row r="137" spans="2:6" x14ac:dyDescent="0.2">
      <c r="B137" t="s">
        <v>3146</v>
      </c>
      <c r="C137" t="s">
        <v>3147</v>
      </c>
      <c r="D137">
        <v>7</v>
      </c>
      <c r="E137" t="s">
        <v>3109</v>
      </c>
      <c r="F137">
        <v>3</v>
      </c>
    </row>
    <row r="138" spans="2:6" x14ac:dyDescent="0.2">
      <c r="B138" t="s">
        <v>3148</v>
      </c>
      <c r="C138" t="s">
        <v>3149</v>
      </c>
      <c r="D138">
        <v>7</v>
      </c>
      <c r="E138" t="s">
        <v>3150</v>
      </c>
      <c r="F138">
        <v>1</v>
      </c>
    </row>
    <row r="139" spans="2:6" x14ac:dyDescent="0.2">
      <c r="B139" t="s">
        <v>3151</v>
      </c>
      <c r="C139" t="s">
        <v>3152</v>
      </c>
      <c r="D139">
        <v>7</v>
      </c>
      <c r="E139" t="s">
        <v>3153</v>
      </c>
      <c r="F139">
        <v>1</v>
      </c>
    </row>
    <row r="140" spans="2:6" x14ac:dyDescent="0.2">
      <c r="B140" t="s">
        <v>3154</v>
      </c>
      <c r="C140" t="s">
        <v>3155</v>
      </c>
      <c r="D140">
        <v>7</v>
      </c>
      <c r="E140" t="s">
        <v>3156</v>
      </c>
      <c r="F140">
        <v>1</v>
      </c>
    </row>
    <row r="141" spans="2:6" x14ac:dyDescent="0.2">
      <c r="B141" t="s">
        <v>3157</v>
      </c>
      <c r="C141" t="s">
        <v>3158</v>
      </c>
      <c r="D141">
        <v>7</v>
      </c>
      <c r="E141" t="s">
        <v>3159</v>
      </c>
      <c r="F141">
        <v>2</v>
      </c>
    </row>
    <row r="142" spans="2:6" x14ac:dyDescent="0.2">
      <c r="B142" t="s">
        <v>3160</v>
      </c>
      <c r="C142" t="s">
        <v>3161</v>
      </c>
      <c r="D142">
        <v>7</v>
      </c>
      <c r="E142" t="s">
        <v>3162</v>
      </c>
      <c r="F142">
        <v>1</v>
      </c>
    </row>
    <row r="143" spans="2:6" x14ac:dyDescent="0.2">
      <c r="B143" t="s">
        <v>3163</v>
      </c>
      <c r="C143" t="s">
        <v>3164</v>
      </c>
      <c r="D143">
        <v>7</v>
      </c>
      <c r="E143" t="s">
        <v>3165</v>
      </c>
      <c r="F143">
        <v>8</v>
      </c>
    </row>
    <row r="144" spans="2:6" x14ac:dyDescent="0.2">
      <c r="B144" t="s">
        <v>1529</v>
      </c>
      <c r="C144" t="s">
        <v>3166</v>
      </c>
      <c r="D144">
        <v>7</v>
      </c>
      <c r="E144" t="s">
        <v>3119</v>
      </c>
      <c r="F144">
        <v>1</v>
      </c>
    </row>
    <row r="145" spans="2:6" x14ac:dyDescent="0.2">
      <c r="B145" t="s">
        <v>3167</v>
      </c>
      <c r="C145" t="s">
        <v>3168</v>
      </c>
      <c r="D145">
        <v>7</v>
      </c>
      <c r="E145" t="s">
        <v>3169</v>
      </c>
      <c r="F145">
        <v>2</v>
      </c>
    </row>
    <row r="146" spans="2:6" x14ac:dyDescent="0.2">
      <c r="B146" t="s">
        <v>3170</v>
      </c>
      <c r="C146" t="s">
        <v>3171</v>
      </c>
      <c r="D146">
        <v>7</v>
      </c>
      <c r="E146" t="s">
        <v>3172</v>
      </c>
      <c r="F146">
        <v>11</v>
      </c>
    </row>
    <row r="147" spans="2:6" x14ac:dyDescent="0.2">
      <c r="B147" t="s">
        <v>1113</v>
      </c>
      <c r="C147" t="s">
        <v>3173</v>
      </c>
      <c r="D147">
        <v>7</v>
      </c>
      <c r="E147" t="s">
        <v>2915</v>
      </c>
      <c r="F147">
        <v>1</v>
      </c>
    </row>
    <row r="148" spans="2:6" x14ac:dyDescent="0.2">
      <c r="B148" t="s">
        <v>3174</v>
      </c>
      <c r="C148" t="s">
        <v>3175</v>
      </c>
      <c r="D148">
        <v>7</v>
      </c>
      <c r="E148" t="s">
        <v>3176</v>
      </c>
      <c r="F148">
        <v>2</v>
      </c>
    </row>
    <row r="149" spans="2:6" x14ac:dyDescent="0.2">
      <c r="B149" t="s">
        <v>3177</v>
      </c>
      <c r="C149" t="s">
        <v>3178</v>
      </c>
      <c r="D149">
        <v>7</v>
      </c>
      <c r="E149" t="s">
        <v>3179</v>
      </c>
      <c r="F149">
        <v>8</v>
      </c>
    </row>
    <row r="150" spans="2:6" x14ac:dyDescent="0.2">
      <c r="B150" t="s">
        <v>3180</v>
      </c>
      <c r="C150" t="s">
        <v>3181</v>
      </c>
      <c r="D150">
        <v>7</v>
      </c>
      <c r="E150" t="s">
        <v>3106</v>
      </c>
      <c r="F150">
        <v>1</v>
      </c>
    </row>
    <row r="151" spans="2:6" x14ac:dyDescent="0.2">
      <c r="B151" t="s">
        <v>3182</v>
      </c>
      <c r="C151" t="s">
        <v>3063</v>
      </c>
      <c r="D151">
        <v>7</v>
      </c>
      <c r="E151" t="s">
        <v>3183</v>
      </c>
      <c r="F151">
        <v>2</v>
      </c>
    </row>
    <row r="152" spans="2:6" x14ac:dyDescent="0.2">
      <c r="B152" t="s">
        <v>3184</v>
      </c>
      <c r="C152" t="s">
        <v>3185</v>
      </c>
      <c r="D152">
        <v>7</v>
      </c>
      <c r="E152" t="s">
        <v>3067</v>
      </c>
      <c r="F152">
        <v>1</v>
      </c>
    </row>
    <row r="153" spans="2:6" x14ac:dyDescent="0.2">
      <c r="B153" t="s">
        <v>552</v>
      </c>
      <c r="C153" t="s">
        <v>3186</v>
      </c>
      <c r="D153">
        <v>7</v>
      </c>
      <c r="E153" t="s">
        <v>3187</v>
      </c>
      <c r="F153">
        <v>2</v>
      </c>
    </row>
    <row r="154" spans="2:6" x14ac:dyDescent="0.2">
      <c r="B154" t="s">
        <v>3188</v>
      </c>
      <c r="C154" t="s">
        <v>3189</v>
      </c>
      <c r="D154">
        <v>7</v>
      </c>
      <c r="E154" t="s">
        <v>3190</v>
      </c>
      <c r="F154">
        <v>1</v>
      </c>
    </row>
    <row r="155" spans="2:6" x14ac:dyDescent="0.2">
      <c r="B155" t="s">
        <v>3191</v>
      </c>
      <c r="C155" t="s">
        <v>3192</v>
      </c>
      <c r="D155">
        <v>7</v>
      </c>
      <c r="E155" t="s">
        <v>3193</v>
      </c>
      <c r="F155">
        <v>5</v>
      </c>
    </row>
    <row r="156" spans="2:6" x14ac:dyDescent="0.2">
      <c r="B156" t="s">
        <v>3194</v>
      </c>
      <c r="C156" t="s">
        <v>3195</v>
      </c>
      <c r="D156">
        <v>7</v>
      </c>
      <c r="E156" t="s">
        <v>3196</v>
      </c>
      <c r="F156">
        <v>4</v>
      </c>
    </row>
    <row r="157" spans="2:6" x14ac:dyDescent="0.2">
      <c r="B157" t="s">
        <v>3197</v>
      </c>
      <c r="C157" t="s">
        <v>3198</v>
      </c>
      <c r="D157">
        <v>7</v>
      </c>
      <c r="E157" t="s">
        <v>2930</v>
      </c>
      <c r="F157">
        <v>1</v>
      </c>
    </row>
    <row r="158" spans="2:6" x14ac:dyDescent="0.2">
      <c r="B158" t="s">
        <v>3199</v>
      </c>
      <c r="C158" t="s">
        <v>3200</v>
      </c>
      <c r="D158">
        <v>7</v>
      </c>
      <c r="E158" t="s">
        <v>3201</v>
      </c>
      <c r="F158">
        <v>1</v>
      </c>
    </row>
    <row r="159" spans="2:6" x14ac:dyDescent="0.2">
      <c r="B159" t="s">
        <v>1419</v>
      </c>
      <c r="C159" t="s">
        <v>3202</v>
      </c>
      <c r="D159">
        <v>7</v>
      </c>
      <c r="E159" t="s">
        <v>3203</v>
      </c>
      <c r="F159">
        <v>2</v>
      </c>
    </row>
    <row r="160" spans="2:6" x14ac:dyDescent="0.2">
      <c r="B160" t="s">
        <v>764</v>
      </c>
      <c r="C160" t="s">
        <v>3204</v>
      </c>
      <c r="D160">
        <v>7</v>
      </c>
      <c r="E160" t="s">
        <v>3205</v>
      </c>
      <c r="F160">
        <v>2</v>
      </c>
    </row>
    <row r="161" spans="2:6" x14ac:dyDescent="0.2">
      <c r="B161" t="s">
        <v>3206</v>
      </c>
      <c r="C161" t="s">
        <v>3207</v>
      </c>
      <c r="D161">
        <v>7</v>
      </c>
      <c r="E161" t="s">
        <v>3208</v>
      </c>
      <c r="F161">
        <v>5</v>
      </c>
    </row>
    <row r="162" spans="2:6" x14ac:dyDescent="0.2">
      <c r="B162" t="s">
        <v>3209</v>
      </c>
      <c r="C162" t="s">
        <v>3210</v>
      </c>
      <c r="D162">
        <v>7</v>
      </c>
      <c r="E162" t="s">
        <v>2954</v>
      </c>
      <c r="F162">
        <v>11</v>
      </c>
    </row>
    <row r="163" spans="2:6" x14ac:dyDescent="0.2">
      <c r="B163" t="s">
        <v>3211</v>
      </c>
      <c r="C163" t="s">
        <v>3212</v>
      </c>
      <c r="D163">
        <v>7</v>
      </c>
      <c r="E163" t="s">
        <v>3213</v>
      </c>
      <c r="F163">
        <v>1</v>
      </c>
    </row>
    <row r="164" spans="2:6" x14ac:dyDescent="0.2">
      <c r="B164" t="s">
        <v>3214</v>
      </c>
      <c r="C164" t="s">
        <v>3215</v>
      </c>
      <c r="D164">
        <v>7</v>
      </c>
      <c r="E164" t="s">
        <v>2906</v>
      </c>
      <c r="F164">
        <v>2</v>
      </c>
    </row>
    <row r="165" spans="2:6" x14ac:dyDescent="0.2">
      <c r="B165" t="s">
        <v>801</v>
      </c>
      <c r="C165" t="s">
        <v>3216</v>
      </c>
      <c r="D165">
        <v>7</v>
      </c>
      <c r="E165" t="s">
        <v>2836</v>
      </c>
      <c r="F165">
        <v>5</v>
      </c>
    </row>
    <row r="166" spans="2:6" x14ac:dyDescent="0.2">
      <c r="B166" t="s">
        <v>3217</v>
      </c>
      <c r="C166" t="s">
        <v>3218</v>
      </c>
      <c r="D166">
        <v>7</v>
      </c>
      <c r="E166" t="s">
        <v>3081</v>
      </c>
      <c r="F166">
        <v>1</v>
      </c>
    </row>
    <row r="167" spans="2:6" x14ac:dyDescent="0.2">
      <c r="B167" t="s">
        <v>3219</v>
      </c>
      <c r="C167" t="s">
        <v>3220</v>
      </c>
      <c r="D167">
        <v>7</v>
      </c>
      <c r="E167" t="s">
        <v>2930</v>
      </c>
      <c r="F167">
        <v>3</v>
      </c>
    </row>
    <row r="168" spans="2:6" x14ac:dyDescent="0.2">
      <c r="B168" t="s">
        <v>3221</v>
      </c>
      <c r="C168" t="s">
        <v>3222</v>
      </c>
      <c r="D168">
        <v>7</v>
      </c>
      <c r="E168" t="s">
        <v>3067</v>
      </c>
      <c r="F168">
        <v>1</v>
      </c>
    </row>
    <row r="169" spans="2:6" x14ac:dyDescent="0.2">
      <c r="B169" t="s">
        <v>3223</v>
      </c>
      <c r="C169" t="s">
        <v>3224</v>
      </c>
      <c r="D169">
        <v>7</v>
      </c>
      <c r="E169" t="s">
        <v>3225</v>
      </c>
      <c r="F169">
        <v>3</v>
      </c>
    </row>
    <row r="170" spans="2:6" x14ac:dyDescent="0.2">
      <c r="B170" t="s">
        <v>1900</v>
      </c>
      <c r="C170" t="s">
        <v>3226</v>
      </c>
      <c r="D170">
        <v>7</v>
      </c>
      <c r="E170" t="s">
        <v>3227</v>
      </c>
      <c r="F170">
        <v>1</v>
      </c>
    </row>
    <row r="171" spans="2:6" x14ac:dyDescent="0.2">
      <c r="B171" t="s">
        <v>1030</v>
      </c>
      <c r="C171" t="s">
        <v>3228</v>
      </c>
      <c r="D171">
        <v>7</v>
      </c>
      <c r="E171" t="s">
        <v>2941</v>
      </c>
      <c r="F171">
        <v>1</v>
      </c>
    </row>
    <row r="172" spans="2:6" x14ac:dyDescent="0.2">
      <c r="B172" t="s">
        <v>357</v>
      </c>
      <c r="C172" t="s">
        <v>3229</v>
      </c>
      <c r="D172">
        <v>7</v>
      </c>
      <c r="E172" t="s">
        <v>3230</v>
      </c>
      <c r="F172">
        <v>2</v>
      </c>
    </row>
    <row r="173" spans="2:6" x14ac:dyDescent="0.2">
      <c r="B173">
        <v>2121618</v>
      </c>
      <c r="C173" t="s">
        <v>3231</v>
      </c>
      <c r="D173">
        <v>7</v>
      </c>
      <c r="E173" t="s">
        <v>3232</v>
      </c>
      <c r="F173">
        <v>2</v>
      </c>
    </row>
    <row r="174" spans="2:6" x14ac:dyDescent="0.2">
      <c r="B174" t="s">
        <v>3233</v>
      </c>
      <c r="C174" t="s">
        <v>3234</v>
      </c>
      <c r="D174">
        <v>7</v>
      </c>
      <c r="E174" t="s">
        <v>3235</v>
      </c>
      <c r="F174">
        <v>1</v>
      </c>
    </row>
    <row r="175" spans="2:6" x14ac:dyDescent="0.2">
      <c r="B175" t="s">
        <v>3236</v>
      </c>
      <c r="C175" t="s">
        <v>3237</v>
      </c>
      <c r="D175">
        <v>7</v>
      </c>
      <c r="E175" t="s">
        <v>3238</v>
      </c>
      <c r="F175">
        <v>1</v>
      </c>
    </row>
    <row r="176" spans="2:6" x14ac:dyDescent="0.2">
      <c r="B176" t="s">
        <v>3239</v>
      </c>
      <c r="C176" t="s">
        <v>3240</v>
      </c>
      <c r="D176">
        <v>7</v>
      </c>
      <c r="E176" t="s">
        <v>3059</v>
      </c>
      <c r="F176">
        <v>1</v>
      </c>
    </row>
    <row r="177" spans="2:6" x14ac:dyDescent="0.2">
      <c r="B177" t="s">
        <v>3241</v>
      </c>
      <c r="C177" t="s">
        <v>3242</v>
      </c>
      <c r="D177">
        <v>7</v>
      </c>
      <c r="E177" t="s">
        <v>2788</v>
      </c>
      <c r="F177">
        <v>2</v>
      </c>
    </row>
    <row r="178" spans="2:6" x14ac:dyDescent="0.2">
      <c r="B178" t="s">
        <v>3243</v>
      </c>
      <c r="C178" t="s">
        <v>3244</v>
      </c>
      <c r="D178">
        <v>7</v>
      </c>
      <c r="E178" t="s">
        <v>3245</v>
      </c>
      <c r="F178">
        <v>8</v>
      </c>
    </row>
    <row r="179" spans="2:6" x14ac:dyDescent="0.2">
      <c r="B179" t="s">
        <v>3246</v>
      </c>
      <c r="C179" t="s">
        <v>3247</v>
      </c>
      <c r="D179">
        <v>7</v>
      </c>
      <c r="E179" t="s">
        <v>3092</v>
      </c>
      <c r="F179">
        <v>7</v>
      </c>
    </row>
    <row r="180" spans="2:6" x14ac:dyDescent="0.2">
      <c r="B180" t="s">
        <v>3248</v>
      </c>
      <c r="C180" t="s">
        <v>3249</v>
      </c>
      <c r="D180">
        <v>7</v>
      </c>
      <c r="E180" t="s">
        <v>3250</v>
      </c>
      <c r="F180">
        <v>1</v>
      </c>
    </row>
    <row r="181" spans="2:6" x14ac:dyDescent="0.2">
      <c r="B181" t="s">
        <v>3251</v>
      </c>
      <c r="C181" t="s">
        <v>3252</v>
      </c>
      <c r="D181">
        <v>7</v>
      </c>
      <c r="E181" t="s">
        <v>2811</v>
      </c>
      <c r="F181">
        <v>2</v>
      </c>
    </row>
    <row r="182" spans="2:6" x14ac:dyDescent="0.2">
      <c r="B182" t="s">
        <v>3253</v>
      </c>
      <c r="C182" t="s">
        <v>3254</v>
      </c>
      <c r="D182">
        <v>7</v>
      </c>
      <c r="E182" t="s">
        <v>3255</v>
      </c>
      <c r="F182">
        <v>1</v>
      </c>
    </row>
    <row r="183" spans="2:6" x14ac:dyDescent="0.2">
      <c r="B183" t="s">
        <v>3256</v>
      </c>
      <c r="C183" t="s">
        <v>3257</v>
      </c>
      <c r="D183">
        <v>7</v>
      </c>
      <c r="E183" t="s">
        <v>3258</v>
      </c>
      <c r="F183">
        <v>1</v>
      </c>
    </row>
    <row r="184" spans="2:6" x14ac:dyDescent="0.2">
      <c r="B184" t="s">
        <v>3259</v>
      </c>
      <c r="C184" t="s">
        <v>3260</v>
      </c>
      <c r="D184">
        <v>7</v>
      </c>
      <c r="E184" t="s">
        <v>3261</v>
      </c>
      <c r="F184">
        <v>2</v>
      </c>
    </row>
    <row r="185" spans="2:6" x14ac:dyDescent="0.2">
      <c r="B185" t="s">
        <v>3262</v>
      </c>
      <c r="C185" t="s">
        <v>3263</v>
      </c>
      <c r="D185">
        <v>7</v>
      </c>
      <c r="E185" t="s">
        <v>3264</v>
      </c>
      <c r="F185">
        <v>2</v>
      </c>
    </row>
    <row r="186" spans="2:6" x14ac:dyDescent="0.2">
      <c r="B186" t="s">
        <v>3265</v>
      </c>
      <c r="C186" t="s">
        <v>3266</v>
      </c>
      <c r="D186">
        <v>7</v>
      </c>
      <c r="E186" t="s">
        <v>3092</v>
      </c>
      <c r="F186">
        <v>2</v>
      </c>
    </row>
    <row r="187" spans="2:6" x14ac:dyDescent="0.2">
      <c r="B187" t="s">
        <v>434</v>
      </c>
      <c r="C187" t="s">
        <v>3267</v>
      </c>
      <c r="D187">
        <v>7</v>
      </c>
      <c r="E187" t="s">
        <v>2819</v>
      </c>
      <c r="F187">
        <v>1</v>
      </c>
    </row>
    <row r="188" spans="2:6" x14ac:dyDescent="0.2">
      <c r="B188" t="s">
        <v>3268</v>
      </c>
      <c r="C188" t="s">
        <v>3269</v>
      </c>
      <c r="D188">
        <v>7</v>
      </c>
      <c r="E188" t="s">
        <v>3113</v>
      </c>
      <c r="F188">
        <v>1</v>
      </c>
    </row>
    <row r="189" spans="2:6" x14ac:dyDescent="0.2">
      <c r="B189" t="s">
        <v>3270</v>
      </c>
      <c r="C189" t="s">
        <v>3271</v>
      </c>
      <c r="D189">
        <v>7</v>
      </c>
      <c r="E189" t="s">
        <v>3272</v>
      </c>
      <c r="F189">
        <v>5</v>
      </c>
    </row>
    <row r="190" spans="2:6" x14ac:dyDescent="0.2">
      <c r="B190" t="s">
        <v>3273</v>
      </c>
      <c r="C190" t="s">
        <v>3274</v>
      </c>
      <c r="D190">
        <v>7</v>
      </c>
      <c r="E190" t="s">
        <v>3275</v>
      </c>
      <c r="F190">
        <v>6</v>
      </c>
    </row>
    <row r="191" spans="2:6" x14ac:dyDescent="0.2">
      <c r="B191" t="s">
        <v>3276</v>
      </c>
      <c r="C191" t="s">
        <v>3277</v>
      </c>
      <c r="D191">
        <v>7</v>
      </c>
      <c r="E191" t="s">
        <v>3278</v>
      </c>
      <c r="F191">
        <v>5</v>
      </c>
    </row>
    <row r="192" spans="2:6" x14ac:dyDescent="0.2">
      <c r="B192" t="s">
        <v>3279</v>
      </c>
      <c r="C192" t="s">
        <v>3280</v>
      </c>
      <c r="D192">
        <v>7</v>
      </c>
      <c r="E192" t="s">
        <v>3281</v>
      </c>
      <c r="F192">
        <v>1</v>
      </c>
    </row>
    <row r="193" spans="2:6" x14ac:dyDescent="0.2">
      <c r="B193" t="s">
        <v>3282</v>
      </c>
      <c r="C193" t="s">
        <v>3283</v>
      </c>
      <c r="D193">
        <v>7</v>
      </c>
      <c r="E193" t="s">
        <v>3284</v>
      </c>
      <c r="F193">
        <v>2</v>
      </c>
    </row>
    <row r="194" spans="2:6" x14ac:dyDescent="0.2">
      <c r="B194" t="s">
        <v>842</v>
      </c>
      <c r="C194" t="s">
        <v>3285</v>
      </c>
      <c r="D194">
        <v>7</v>
      </c>
      <c r="E194" t="s">
        <v>2863</v>
      </c>
      <c r="F194">
        <v>3</v>
      </c>
    </row>
    <row r="195" spans="2:6" x14ac:dyDescent="0.2">
      <c r="B195" t="s">
        <v>3286</v>
      </c>
      <c r="C195" t="s">
        <v>3287</v>
      </c>
      <c r="D195">
        <v>7</v>
      </c>
      <c r="E195" t="s">
        <v>3288</v>
      </c>
      <c r="F195">
        <v>2</v>
      </c>
    </row>
    <row r="196" spans="2:6" x14ac:dyDescent="0.2">
      <c r="B196" t="s">
        <v>3289</v>
      </c>
      <c r="C196" t="s">
        <v>3290</v>
      </c>
      <c r="D196">
        <v>7</v>
      </c>
      <c r="E196" t="s">
        <v>3291</v>
      </c>
      <c r="F196">
        <v>102</v>
      </c>
    </row>
    <row r="197" spans="2:6" x14ac:dyDescent="0.2">
      <c r="B197" t="s">
        <v>3292</v>
      </c>
      <c r="C197" t="s">
        <v>3293</v>
      </c>
      <c r="D197">
        <v>7</v>
      </c>
      <c r="E197" t="s">
        <v>3294</v>
      </c>
      <c r="F197">
        <v>1</v>
      </c>
    </row>
    <row r="198" spans="2:6" x14ac:dyDescent="0.2">
      <c r="B198" t="s">
        <v>3295</v>
      </c>
      <c r="C198" t="s">
        <v>3296</v>
      </c>
      <c r="D198">
        <v>7</v>
      </c>
      <c r="E198" t="s">
        <v>2988</v>
      </c>
      <c r="F198">
        <v>4</v>
      </c>
    </row>
    <row r="199" spans="2:6" x14ac:dyDescent="0.2">
      <c r="B199" t="s">
        <v>266</v>
      </c>
      <c r="C199" t="s">
        <v>3297</v>
      </c>
      <c r="D199">
        <v>7</v>
      </c>
      <c r="E199" t="s">
        <v>3056</v>
      </c>
      <c r="F199">
        <v>1</v>
      </c>
    </row>
    <row r="200" spans="2:6" x14ac:dyDescent="0.2">
      <c r="B200" t="s">
        <v>3298</v>
      </c>
      <c r="C200" t="s">
        <v>3299</v>
      </c>
      <c r="D200">
        <v>7</v>
      </c>
      <c r="E200" t="s">
        <v>3119</v>
      </c>
      <c r="F200">
        <v>1</v>
      </c>
    </row>
    <row r="201" spans="2:6" x14ac:dyDescent="0.2">
      <c r="B201" t="s">
        <v>3300</v>
      </c>
      <c r="C201" t="s">
        <v>3301</v>
      </c>
      <c r="D201">
        <v>7</v>
      </c>
      <c r="E201" t="s">
        <v>3245</v>
      </c>
      <c r="F201">
        <v>2</v>
      </c>
    </row>
    <row r="202" spans="2:6" x14ac:dyDescent="0.2">
      <c r="B202" t="s">
        <v>3302</v>
      </c>
      <c r="C202" t="s">
        <v>3303</v>
      </c>
      <c r="D202">
        <v>7</v>
      </c>
      <c r="E202" t="s">
        <v>3304</v>
      </c>
      <c r="F202">
        <v>1</v>
      </c>
    </row>
    <row r="203" spans="2:6" x14ac:dyDescent="0.2">
      <c r="B203" t="s">
        <v>3305</v>
      </c>
      <c r="C203" t="s">
        <v>3306</v>
      </c>
      <c r="D203">
        <v>7</v>
      </c>
      <c r="E203" t="s">
        <v>3307</v>
      </c>
      <c r="F203">
        <v>2</v>
      </c>
    </row>
    <row r="204" spans="2:6" x14ac:dyDescent="0.2">
      <c r="B204" t="s">
        <v>3308</v>
      </c>
      <c r="C204" t="s">
        <v>3309</v>
      </c>
      <c r="D204">
        <v>7</v>
      </c>
      <c r="E204" t="s">
        <v>3042</v>
      </c>
      <c r="F204">
        <v>6</v>
      </c>
    </row>
    <row r="205" spans="2:6" x14ac:dyDescent="0.2">
      <c r="B205" t="s">
        <v>3310</v>
      </c>
      <c r="C205" t="s">
        <v>3311</v>
      </c>
      <c r="D205">
        <v>7</v>
      </c>
      <c r="E205" t="s">
        <v>3095</v>
      </c>
      <c r="F205">
        <v>1</v>
      </c>
    </row>
    <row r="206" spans="2:6" x14ac:dyDescent="0.2">
      <c r="B206" t="s">
        <v>3312</v>
      </c>
      <c r="C206" t="s">
        <v>3313</v>
      </c>
      <c r="D206">
        <v>7</v>
      </c>
      <c r="E206" t="s">
        <v>2974</v>
      </c>
      <c r="F206">
        <v>3</v>
      </c>
    </row>
    <row r="207" spans="2:6" x14ac:dyDescent="0.2">
      <c r="B207" t="s">
        <v>3314</v>
      </c>
      <c r="C207" t="s">
        <v>3315</v>
      </c>
      <c r="D207">
        <v>7</v>
      </c>
      <c r="E207" t="s">
        <v>3316</v>
      </c>
      <c r="F207">
        <v>4</v>
      </c>
    </row>
    <row r="208" spans="2:6" x14ac:dyDescent="0.2">
      <c r="B208" t="s">
        <v>3317</v>
      </c>
      <c r="C208" t="s">
        <v>3318</v>
      </c>
      <c r="D208">
        <v>7</v>
      </c>
      <c r="E208" t="s">
        <v>2895</v>
      </c>
      <c r="F208">
        <v>1</v>
      </c>
    </row>
    <row r="209" spans="2:6" x14ac:dyDescent="0.2">
      <c r="B209" t="s">
        <v>3319</v>
      </c>
      <c r="C209" t="s">
        <v>3320</v>
      </c>
      <c r="D209">
        <v>7</v>
      </c>
      <c r="E209" t="s">
        <v>3321</v>
      </c>
      <c r="F209">
        <v>4</v>
      </c>
    </row>
    <row r="210" spans="2:6" x14ac:dyDescent="0.2">
      <c r="B210" t="s">
        <v>3322</v>
      </c>
      <c r="C210" t="s">
        <v>3323</v>
      </c>
      <c r="D210">
        <v>7</v>
      </c>
      <c r="E210" t="s">
        <v>3109</v>
      </c>
      <c r="F210">
        <v>1</v>
      </c>
    </row>
    <row r="211" spans="2:6" x14ac:dyDescent="0.2">
      <c r="B211" t="s">
        <v>667</v>
      </c>
      <c r="C211" t="s">
        <v>3324</v>
      </c>
      <c r="D211">
        <v>7</v>
      </c>
      <c r="E211" t="s">
        <v>3325</v>
      </c>
      <c r="F211">
        <v>40</v>
      </c>
    </row>
    <row r="212" spans="2:6" x14ac:dyDescent="0.2">
      <c r="B212" t="s">
        <v>756</v>
      </c>
      <c r="C212" t="s">
        <v>3326</v>
      </c>
      <c r="D212">
        <v>7</v>
      </c>
      <c r="E212" t="s">
        <v>3327</v>
      </c>
      <c r="F212">
        <v>2</v>
      </c>
    </row>
    <row r="213" spans="2:6" x14ac:dyDescent="0.2">
      <c r="B213" t="s">
        <v>3328</v>
      </c>
      <c r="C213" t="s">
        <v>3329</v>
      </c>
      <c r="D213">
        <v>7</v>
      </c>
      <c r="E213" t="s">
        <v>3330</v>
      </c>
      <c r="F213">
        <v>1</v>
      </c>
    </row>
    <row r="214" spans="2:6" x14ac:dyDescent="0.2">
      <c r="B214" t="s">
        <v>3331</v>
      </c>
      <c r="C214" t="s">
        <v>3332</v>
      </c>
      <c r="D214">
        <v>7</v>
      </c>
      <c r="E214" t="s">
        <v>2788</v>
      </c>
      <c r="F214">
        <v>1</v>
      </c>
    </row>
    <row r="215" spans="2:6" x14ac:dyDescent="0.2">
      <c r="B215" t="s">
        <v>3333</v>
      </c>
      <c r="C215" t="s">
        <v>3334</v>
      </c>
      <c r="D215">
        <v>7</v>
      </c>
      <c r="E215" t="s">
        <v>3335</v>
      </c>
      <c r="F215">
        <v>3</v>
      </c>
    </row>
    <row r="216" spans="2:6" x14ac:dyDescent="0.2">
      <c r="B216" t="s">
        <v>3336</v>
      </c>
      <c r="C216" t="s">
        <v>3337</v>
      </c>
      <c r="D216">
        <v>7</v>
      </c>
      <c r="E216" t="s">
        <v>3338</v>
      </c>
      <c r="F216">
        <v>3</v>
      </c>
    </row>
    <row r="217" spans="2:6" x14ac:dyDescent="0.2">
      <c r="B217" t="s">
        <v>3339</v>
      </c>
      <c r="C217" t="s">
        <v>3340</v>
      </c>
      <c r="D217">
        <v>7</v>
      </c>
      <c r="E217" t="s">
        <v>2930</v>
      </c>
      <c r="F217">
        <v>1</v>
      </c>
    </row>
    <row r="218" spans="2:6" x14ac:dyDescent="0.2">
      <c r="B218" t="s">
        <v>233</v>
      </c>
      <c r="C218" t="s">
        <v>3341</v>
      </c>
      <c r="D218">
        <v>7</v>
      </c>
      <c r="E218" t="s">
        <v>3342</v>
      </c>
      <c r="F218">
        <v>4</v>
      </c>
    </row>
    <row r="219" spans="2:6" x14ac:dyDescent="0.2">
      <c r="B219" t="s">
        <v>3343</v>
      </c>
      <c r="C219" t="s">
        <v>3344</v>
      </c>
      <c r="D219">
        <v>7</v>
      </c>
      <c r="E219" t="s">
        <v>3345</v>
      </c>
      <c r="F219">
        <v>4</v>
      </c>
    </row>
    <row r="220" spans="2:6" x14ac:dyDescent="0.2">
      <c r="B220" t="s">
        <v>3346</v>
      </c>
      <c r="C220" t="s">
        <v>3347</v>
      </c>
      <c r="D220">
        <v>7</v>
      </c>
      <c r="E220" t="s">
        <v>3348</v>
      </c>
      <c r="F220">
        <v>8</v>
      </c>
    </row>
    <row r="221" spans="2:6" x14ac:dyDescent="0.2">
      <c r="B221" t="s">
        <v>3349</v>
      </c>
      <c r="C221" t="s">
        <v>3350</v>
      </c>
      <c r="D221">
        <v>7</v>
      </c>
      <c r="E221" t="s">
        <v>3004</v>
      </c>
      <c r="F221">
        <v>5</v>
      </c>
    </row>
    <row r="222" spans="2:6" x14ac:dyDescent="0.2">
      <c r="B222" t="s">
        <v>3351</v>
      </c>
      <c r="C222" t="s">
        <v>3352</v>
      </c>
      <c r="D222">
        <v>7</v>
      </c>
      <c r="E222" t="s">
        <v>3353</v>
      </c>
      <c r="F222">
        <v>10</v>
      </c>
    </row>
    <row r="223" spans="2:6" x14ac:dyDescent="0.2">
      <c r="B223" t="s">
        <v>3354</v>
      </c>
      <c r="C223" t="s">
        <v>3355</v>
      </c>
      <c r="D223">
        <v>7</v>
      </c>
      <c r="E223" t="s">
        <v>3356</v>
      </c>
      <c r="F223">
        <v>1</v>
      </c>
    </row>
    <row r="224" spans="2:6" x14ac:dyDescent="0.2">
      <c r="B224" t="s">
        <v>3357</v>
      </c>
      <c r="C224" t="s">
        <v>3358</v>
      </c>
      <c r="D224">
        <v>7</v>
      </c>
      <c r="E224" t="s">
        <v>2974</v>
      </c>
      <c r="F224">
        <v>4</v>
      </c>
    </row>
    <row r="225" spans="2:6" x14ac:dyDescent="0.2">
      <c r="B225" t="s">
        <v>3359</v>
      </c>
      <c r="C225" t="s">
        <v>3360</v>
      </c>
      <c r="D225">
        <v>7</v>
      </c>
      <c r="E225" t="s">
        <v>3361</v>
      </c>
      <c r="F225">
        <v>27</v>
      </c>
    </row>
    <row r="226" spans="2:6" x14ac:dyDescent="0.2">
      <c r="B226" t="s">
        <v>3362</v>
      </c>
      <c r="C226" t="s">
        <v>3363</v>
      </c>
      <c r="D226">
        <v>7</v>
      </c>
      <c r="E226" t="s">
        <v>3364</v>
      </c>
      <c r="F226">
        <v>14</v>
      </c>
    </row>
    <row r="227" spans="2:6" x14ac:dyDescent="0.2">
      <c r="B227" t="s">
        <v>3365</v>
      </c>
      <c r="C227" t="s">
        <v>3366</v>
      </c>
      <c r="D227">
        <v>7</v>
      </c>
      <c r="E227" t="s">
        <v>3367</v>
      </c>
      <c r="F227">
        <v>1</v>
      </c>
    </row>
    <row r="228" spans="2:6" x14ac:dyDescent="0.2">
      <c r="B228" t="s">
        <v>3368</v>
      </c>
      <c r="C228" t="s">
        <v>3369</v>
      </c>
      <c r="D228">
        <v>7</v>
      </c>
      <c r="E228" t="s">
        <v>3370</v>
      </c>
      <c r="F228">
        <v>3</v>
      </c>
    </row>
    <row r="229" spans="2:6" x14ac:dyDescent="0.2">
      <c r="B229" t="s">
        <v>3371</v>
      </c>
      <c r="C229" t="s">
        <v>3344</v>
      </c>
      <c r="D229">
        <v>7</v>
      </c>
      <c r="E229" t="s">
        <v>3372</v>
      </c>
      <c r="F229">
        <v>4</v>
      </c>
    </row>
    <row r="230" spans="2:6" x14ac:dyDescent="0.2">
      <c r="B230" t="s">
        <v>3373</v>
      </c>
      <c r="C230" t="s">
        <v>3374</v>
      </c>
      <c r="D230">
        <v>7</v>
      </c>
      <c r="E230" t="s">
        <v>3375</v>
      </c>
      <c r="F230">
        <v>12</v>
      </c>
    </row>
    <row r="231" spans="2:6" x14ac:dyDescent="0.2">
      <c r="B231" t="s">
        <v>3376</v>
      </c>
      <c r="C231" t="s">
        <v>3377</v>
      </c>
      <c r="D231">
        <v>7</v>
      </c>
      <c r="E231" t="s">
        <v>3378</v>
      </c>
      <c r="F231">
        <v>1</v>
      </c>
    </row>
    <row r="232" spans="2:6" x14ac:dyDescent="0.2">
      <c r="B232" t="s">
        <v>3379</v>
      </c>
      <c r="C232" t="s">
        <v>3380</v>
      </c>
      <c r="D232">
        <v>7</v>
      </c>
      <c r="E232" t="s">
        <v>3381</v>
      </c>
      <c r="F232">
        <v>1</v>
      </c>
    </row>
    <row r="233" spans="2:6" x14ac:dyDescent="0.2">
      <c r="B233" t="s">
        <v>3382</v>
      </c>
      <c r="C233" t="s">
        <v>3383</v>
      </c>
      <c r="D233">
        <v>7</v>
      </c>
      <c r="E233" t="s">
        <v>2819</v>
      </c>
      <c r="F233">
        <v>1</v>
      </c>
    </row>
    <row r="234" spans="2:6" x14ac:dyDescent="0.2">
      <c r="B234" t="s">
        <v>3384</v>
      </c>
      <c r="C234" t="s">
        <v>3385</v>
      </c>
      <c r="D234">
        <v>7</v>
      </c>
      <c r="E234" t="s">
        <v>3386</v>
      </c>
      <c r="F234">
        <v>2</v>
      </c>
    </row>
    <row r="235" spans="2:6" x14ac:dyDescent="0.2">
      <c r="B235" t="s">
        <v>3387</v>
      </c>
      <c r="C235" t="s">
        <v>3388</v>
      </c>
      <c r="D235">
        <v>7</v>
      </c>
      <c r="E235" t="s">
        <v>3307</v>
      </c>
      <c r="F235">
        <v>1</v>
      </c>
    </row>
    <row r="236" spans="2:6" x14ac:dyDescent="0.2">
      <c r="B236" t="s">
        <v>3389</v>
      </c>
      <c r="C236" t="s">
        <v>3390</v>
      </c>
      <c r="D236">
        <v>7</v>
      </c>
      <c r="E236" t="s">
        <v>2892</v>
      </c>
      <c r="F236">
        <v>1</v>
      </c>
    </row>
    <row r="237" spans="2:6" x14ac:dyDescent="0.2">
      <c r="B237" t="s">
        <v>1359</v>
      </c>
      <c r="C237" t="s">
        <v>3391</v>
      </c>
      <c r="D237">
        <v>7</v>
      </c>
      <c r="E237" t="s">
        <v>3392</v>
      </c>
      <c r="F237">
        <v>15</v>
      </c>
    </row>
    <row r="238" spans="2:6" x14ac:dyDescent="0.2">
      <c r="B238" t="s">
        <v>3393</v>
      </c>
      <c r="C238" t="s">
        <v>3394</v>
      </c>
      <c r="D238">
        <v>7</v>
      </c>
      <c r="E238" t="s">
        <v>2969</v>
      </c>
      <c r="F238">
        <v>20</v>
      </c>
    </row>
    <row r="239" spans="2:6" x14ac:dyDescent="0.2">
      <c r="B239" t="s">
        <v>3395</v>
      </c>
      <c r="C239" t="s">
        <v>3396</v>
      </c>
      <c r="D239">
        <v>7</v>
      </c>
      <c r="E239" t="s">
        <v>3092</v>
      </c>
      <c r="F239">
        <v>6</v>
      </c>
    </row>
    <row r="240" spans="2:6" x14ac:dyDescent="0.2">
      <c r="B240" t="s">
        <v>3397</v>
      </c>
      <c r="C240" t="s">
        <v>3398</v>
      </c>
      <c r="D240">
        <v>7</v>
      </c>
      <c r="E240" t="s">
        <v>3399</v>
      </c>
      <c r="F240">
        <v>1</v>
      </c>
    </row>
    <row r="241" spans="2:6" x14ac:dyDescent="0.2">
      <c r="B241" t="s">
        <v>3400</v>
      </c>
      <c r="C241" t="s">
        <v>3401</v>
      </c>
      <c r="D241">
        <v>7</v>
      </c>
      <c r="E241" t="s">
        <v>3402</v>
      </c>
      <c r="F241">
        <v>1</v>
      </c>
    </row>
    <row r="242" spans="2:6" x14ac:dyDescent="0.2">
      <c r="B242" t="s">
        <v>3403</v>
      </c>
      <c r="C242" t="s">
        <v>3404</v>
      </c>
      <c r="D242">
        <v>7</v>
      </c>
      <c r="E242" t="s">
        <v>2974</v>
      </c>
      <c r="F242">
        <v>7</v>
      </c>
    </row>
    <row r="243" spans="2:6" x14ac:dyDescent="0.2">
      <c r="B243" t="s">
        <v>3405</v>
      </c>
      <c r="C243" t="s">
        <v>3406</v>
      </c>
      <c r="D243">
        <v>7</v>
      </c>
      <c r="E243" t="s">
        <v>3407</v>
      </c>
      <c r="F243">
        <v>9</v>
      </c>
    </row>
    <row r="244" spans="2:6" x14ac:dyDescent="0.2">
      <c r="B244" t="s">
        <v>3408</v>
      </c>
      <c r="C244" t="s">
        <v>3409</v>
      </c>
      <c r="D244">
        <v>7</v>
      </c>
      <c r="E244" t="s">
        <v>3410</v>
      </c>
      <c r="F244">
        <v>2</v>
      </c>
    </row>
    <row r="245" spans="2:6" x14ac:dyDescent="0.2">
      <c r="B245" t="s">
        <v>3411</v>
      </c>
      <c r="C245" t="s">
        <v>3412</v>
      </c>
      <c r="D245">
        <v>7</v>
      </c>
      <c r="E245" t="s">
        <v>2903</v>
      </c>
      <c r="F245">
        <v>1</v>
      </c>
    </row>
    <row r="246" spans="2:6" x14ac:dyDescent="0.2">
      <c r="B246" t="s">
        <v>3413</v>
      </c>
      <c r="C246" t="s">
        <v>3414</v>
      </c>
      <c r="D246">
        <v>7</v>
      </c>
      <c r="E246" t="s">
        <v>3415</v>
      </c>
      <c r="F246">
        <v>6</v>
      </c>
    </row>
    <row r="247" spans="2:6" x14ac:dyDescent="0.2">
      <c r="B247" t="s">
        <v>3416</v>
      </c>
      <c r="C247" t="s">
        <v>3417</v>
      </c>
      <c r="D247">
        <v>7</v>
      </c>
      <c r="E247" t="s">
        <v>2889</v>
      </c>
      <c r="F247">
        <v>3</v>
      </c>
    </row>
    <row r="248" spans="2:6" x14ac:dyDescent="0.2">
      <c r="B248" t="s">
        <v>784</v>
      </c>
      <c r="C248" t="s">
        <v>3418</v>
      </c>
      <c r="D248">
        <v>7</v>
      </c>
      <c r="E248" t="s">
        <v>2819</v>
      </c>
      <c r="F248">
        <v>7</v>
      </c>
    </row>
    <row r="249" spans="2:6" x14ac:dyDescent="0.2">
      <c r="B249" t="s">
        <v>3419</v>
      </c>
      <c r="C249" t="s">
        <v>3420</v>
      </c>
      <c r="D249">
        <v>7</v>
      </c>
      <c r="E249" t="s">
        <v>3330</v>
      </c>
      <c r="F249">
        <v>4</v>
      </c>
    </row>
    <row r="250" spans="2:6" x14ac:dyDescent="0.2">
      <c r="B250" t="s">
        <v>3421</v>
      </c>
      <c r="C250" t="s">
        <v>3422</v>
      </c>
      <c r="D250">
        <v>7</v>
      </c>
      <c r="E250" t="s">
        <v>3423</v>
      </c>
      <c r="F250">
        <v>3</v>
      </c>
    </row>
    <row r="251" spans="2:6" x14ac:dyDescent="0.2">
      <c r="B251" t="s">
        <v>3424</v>
      </c>
      <c r="C251" t="s">
        <v>3425</v>
      </c>
      <c r="D251">
        <v>7</v>
      </c>
      <c r="E251" t="s">
        <v>3426</v>
      </c>
      <c r="F251">
        <v>1</v>
      </c>
    </row>
    <row r="252" spans="2:6" x14ac:dyDescent="0.2">
      <c r="B252" t="s">
        <v>3427</v>
      </c>
      <c r="C252" t="s">
        <v>3428</v>
      </c>
      <c r="D252">
        <v>7</v>
      </c>
      <c r="E252" t="s">
        <v>3429</v>
      </c>
      <c r="F252">
        <v>2</v>
      </c>
    </row>
    <row r="253" spans="2:6" x14ac:dyDescent="0.2">
      <c r="B253" t="s">
        <v>3430</v>
      </c>
      <c r="C253" t="s">
        <v>3431</v>
      </c>
      <c r="D253">
        <v>7</v>
      </c>
      <c r="E253" t="s">
        <v>3432</v>
      </c>
      <c r="F253">
        <v>4</v>
      </c>
    </row>
    <row r="254" spans="2:6" x14ac:dyDescent="0.2">
      <c r="B254" t="s">
        <v>994</v>
      </c>
      <c r="C254" t="s">
        <v>3433</v>
      </c>
      <c r="D254">
        <v>7</v>
      </c>
      <c r="E254" t="s">
        <v>3434</v>
      </c>
      <c r="F254">
        <v>1</v>
      </c>
    </row>
    <row r="255" spans="2:6" x14ac:dyDescent="0.2">
      <c r="B255" t="s">
        <v>3435</v>
      </c>
      <c r="C255" t="s">
        <v>3436</v>
      </c>
      <c r="D255">
        <v>7</v>
      </c>
      <c r="E255" t="s">
        <v>3437</v>
      </c>
      <c r="F255">
        <v>16</v>
      </c>
    </row>
    <row r="256" spans="2:6" x14ac:dyDescent="0.2">
      <c r="B256" t="s">
        <v>3438</v>
      </c>
      <c r="C256" t="s">
        <v>3439</v>
      </c>
      <c r="D256">
        <v>7</v>
      </c>
      <c r="E256" t="s">
        <v>2811</v>
      </c>
      <c r="F256">
        <v>3</v>
      </c>
    </row>
    <row r="257" spans="2:6" x14ac:dyDescent="0.2">
      <c r="B257" t="s">
        <v>3440</v>
      </c>
      <c r="C257" t="s">
        <v>3441</v>
      </c>
      <c r="D257">
        <v>7</v>
      </c>
      <c r="E257" t="s">
        <v>3442</v>
      </c>
      <c r="F257">
        <v>1</v>
      </c>
    </row>
    <row r="258" spans="2:6" x14ac:dyDescent="0.2">
      <c r="B258" t="s">
        <v>3443</v>
      </c>
      <c r="C258" t="s">
        <v>3444</v>
      </c>
      <c r="D258">
        <v>7</v>
      </c>
      <c r="E258" t="s">
        <v>3445</v>
      </c>
      <c r="F258">
        <v>4</v>
      </c>
    </row>
    <row r="259" spans="2:6" x14ac:dyDescent="0.2">
      <c r="B259" t="s">
        <v>3446</v>
      </c>
      <c r="C259" t="s">
        <v>3447</v>
      </c>
      <c r="D259">
        <v>7</v>
      </c>
      <c r="E259" t="s">
        <v>3448</v>
      </c>
      <c r="F259">
        <v>1</v>
      </c>
    </row>
    <row r="260" spans="2:6" x14ac:dyDescent="0.2">
      <c r="B260" t="s">
        <v>3449</v>
      </c>
      <c r="C260" t="s">
        <v>3450</v>
      </c>
      <c r="D260">
        <v>7</v>
      </c>
      <c r="E260" t="s">
        <v>2850</v>
      </c>
      <c r="F260">
        <v>4</v>
      </c>
    </row>
    <row r="261" spans="2:6" x14ac:dyDescent="0.2">
      <c r="B261" t="s">
        <v>493</v>
      </c>
      <c r="C261" t="s">
        <v>3451</v>
      </c>
      <c r="D261">
        <v>7</v>
      </c>
      <c r="E261" t="s">
        <v>3452</v>
      </c>
      <c r="F261">
        <v>4</v>
      </c>
    </row>
    <row r="262" spans="2:6" x14ac:dyDescent="0.2">
      <c r="B262" t="s">
        <v>3453</v>
      </c>
      <c r="C262" t="s">
        <v>3454</v>
      </c>
      <c r="D262">
        <v>7</v>
      </c>
      <c r="E262" t="s">
        <v>3455</v>
      </c>
      <c r="F262">
        <v>1</v>
      </c>
    </row>
    <row r="263" spans="2:6" x14ac:dyDescent="0.2">
      <c r="B263" t="s">
        <v>3456</v>
      </c>
      <c r="C263" t="s">
        <v>3457</v>
      </c>
      <c r="D263">
        <v>7</v>
      </c>
      <c r="E263" t="s">
        <v>3458</v>
      </c>
      <c r="F263">
        <v>1</v>
      </c>
    </row>
    <row r="264" spans="2:6" x14ac:dyDescent="0.2">
      <c r="B264" t="s">
        <v>490</v>
      </c>
      <c r="C264" t="s">
        <v>3459</v>
      </c>
      <c r="D264">
        <v>7</v>
      </c>
      <c r="E264" t="s">
        <v>3460</v>
      </c>
      <c r="F264">
        <v>12</v>
      </c>
    </row>
    <row r="265" spans="2:6" x14ac:dyDescent="0.2">
      <c r="B265" t="s">
        <v>549</v>
      </c>
      <c r="C265" t="s">
        <v>3461</v>
      </c>
      <c r="D265">
        <v>7</v>
      </c>
      <c r="E265" t="s">
        <v>2785</v>
      </c>
      <c r="F265">
        <v>1</v>
      </c>
    </row>
    <row r="266" spans="2:6" x14ac:dyDescent="0.2">
      <c r="B266" t="s">
        <v>3462</v>
      </c>
      <c r="C266" t="s">
        <v>3463</v>
      </c>
      <c r="D266">
        <v>7</v>
      </c>
      <c r="E266" t="s">
        <v>3426</v>
      </c>
      <c r="F266">
        <v>1</v>
      </c>
    </row>
    <row r="267" spans="2:6" x14ac:dyDescent="0.2">
      <c r="B267" t="s">
        <v>3464</v>
      </c>
      <c r="C267" t="s">
        <v>3465</v>
      </c>
      <c r="D267">
        <v>7</v>
      </c>
      <c r="E267" t="s">
        <v>3466</v>
      </c>
      <c r="F267">
        <v>1</v>
      </c>
    </row>
    <row r="268" spans="2:6" x14ac:dyDescent="0.2">
      <c r="B268" t="s">
        <v>3467</v>
      </c>
      <c r="C268" t="s">
        <v>3468</v>
      </c>
      <c r="D268">
        <v>7</v>
      </c>
      <c r="E268" t="s">
        <v>3469</v>
      </c>
      <c r="F268">
        <v>4</v>
      </c>
    </row>
    <row r="269" spans="2:6" x14ac:dyDescent="0.2">
      <c r="B269" t="s">
        <v>926</v>
      </c>
      <c r="C269" t="s">
        <v>3470</v>
      </c>
      <c r="D269">
        <v>7</v>
      </c>
      <c r="E269" t="s">
        <v>2857</v>
      </c>
      <c r="F269">
        <v>27</v>
      </c>
    </row>
    <row r="270" spans="2:6" x14ac:dyDescent="0.2">
      <c r="B270" t="s">
        <v>3471</v>
      </c>
      <c r="C270" t="s">
        <v>3472</v>
      </c>
      <c r="D270">
        <v>7</v>
      </c>
      <c r="E270" t="s">
        <v>2915</v>
      </c>
      <c r="F270">
        <v>1</v>
      </c>
    </row>
    <row r="271" spans="2:6" x14ac:dyDescent="0.2">
      <c r="B271" t="s">
        <v>3473</v>
      </c>
      <c r="C271" t="s">
        <v>3474</v>
      </c>
      <c r="D271">
        <v>7</v>
      </c>
      <c r="E271" t="s">
        <v>3475</v>
      </c>
      <c r="F271">
        <v>13</v>
      </c>
    </row>
    <row r="272" spans="2:6" x14ac:dyDescent="0.2">
      <c r="B272" t="s">
        <v>716</v>
      </c>
      <c r="C272" t="s">
        <v>3476</v>
      </c>
      <c r="D272">
        <v>7</v>
      </c>
      <c r="E272" t="s">
        <v>3477</v>
      </c>
      <c r="F272">
        <v>2</v>
      </c>
    </row>
    <row r="273" spans="2:6" x14ac:dyDescent="0.2">
      <c r="B273" t="s">
        <v>3478</v>
      </c>
      <c r="C273" t="s">
        <v>3479</v>
      </c>
      <c r="D273">
        <v>7</v>
      </c>
      <c r="E273" t="s">
        <v>3480</v>
      </c>
      <c r="F273">
        <v>20</v>
      </c>
    </row>
    <row r="274" spans="2:6" x14ac:dyDescent="0.2">
      <c r="B274" t="s">
        <v>3481</v>
      </c>
      <c r="C274" t="s">
        <v>1391</v>
      </c>
      <c r="D274">
        <v>7</v>
      </c>
      <c r="E274" t="s">
        <v>3316</v>
      </c>
      <c r="F274">
        <v>14</v>
      </c>
    </row>
    <row r="275" spans="2:6" x14ac:dyDescent="0.2">
      <c r="B275" t="s">
        <v>3482</v>
      </c>
      <c r="C275" t="s">
        <v>3483</v>
      </c>
      <c r="D275">
        <v>7</v>
      </c>
      <c r="E275" t="s">
        <v>3484</v>
      </c>
      <c r="F275">
        <v>7</v>
      </c>
    </row>
    <row r="276" spans="2:6" x14ac:dyDescent="0.2">
      <c r="B276" t="s">
        <v>3485</v>
      </c>
      <c r="C276" t="s">
        <v>3486</v>
      </c>
      <c r="D276">
        <v>7</v>
      </c>
      <c r="E276" t="s">
        <v>3487</v>
      </c>
      <c r="F276">
        <v>2</v>
      </c>
    </row>
    <row r="277" spans="2:6" x14ac:dyDescent="0.2">
      <c r="B277" t="s">
        <v>3488</v>
      </c>
      <c r="C277" t="s">
        <v>3489</v>
      </c>
      <c r="D277">
        <v>7</v>
      </c>
      <c r="E277" t="s">
        <v>3490</v>
      </c>
      <c r="F277">
        <v>4</v>
      </c>
    </row>
    <row r="278" spans="2:6" x14ac:dyDescent="0.2">
      <c r="B278" t="s">
        <v>3491</v>
      </c>
      <c r="C278" t="s">
        <v>3492</v>
      </c>
      <c r="D278">
        <v>7</v>
      </c>
      <c r="E278" t="s">
        <v>2935</v>
      </c>
      <c r="F278">
        <v>2</v>
      </c>
    </row>
    <row r="279" spans="2:6" x14ac:dyDescent="0.2">
      <c r="B279" t="s">
        <v>3493</v>
      </c>
      <c r="C279" t="s">
        <v>3494</v>
      </c>
      <c r="D279">
        <v>7</v>
      </c>
      <c r="E279" t="s">
        <v>3495</v>
      </c>
      <c r="F279">
        <v>2</v>
      </c>
    </row>
    <row r="280" spans="2:6" x14ac:dyDescent="0.2">
      <c r="B280" t="s">
        <v>3496</v>
      </c>
      <c r="C280" t="s">
        <v>3497</v>
      </c>
      <c r="D280">
        <v>7</v>
      </c>
      <c r="E280" t="s">
        <v>3498</v>
      </c>
      <c r="F280">
        <v>2</v>
      </c>
    </row>
    <row r="281" spans="2:6" x14ac:dyDescent="0.2">
      <c r="B281" t="s">
        <v>3499</v>
      </c>
      <c r="C281" t="s">
        <v>3500</v>
      </c>
      <c r="D281">
        <v>7</v>
      </c>
      <c r="E281" t="s">
        <v>2850</v>
      </c>
      <c r="F281">
        <v>2</v>
      </c>
    </row>
    <row r="282" spans="2:6" x14ac:dyDescent="0.2">
      <c r="B282" t="s">
        <v>3501</v>
      </c>
      <c r="C282" t="s">
        <v>3502</v>
      </c>
      <c r="D282">
        <v>7</v>
      </c>
      <c r="E282" t="s">
        <v>3503</v>
      </c>
      <c r="F282">
        <v>1</v>
      </c>
    </row>
    <row r="283" spans="2:6" x14ac:dyDescent="0.2">
      <c r="B283" t="s">
        <v>518</v>
      </c>
      <c r="C283" t="s">
        <v>3504</v>
      </c>
      <c r="D283">
        <v>7</v>
      </c>
      <c r="E283" t="s">
        <v>3505</v>
      </c>
      <c r="F283">
        <v>18</v>
      </c>
    </row>
    <row r="284" spans="2:6" x14ac:dyDescent="0.2">
      <c r="B284" t="s">
        <v>1789</v>
      </c>
      <c r="C284" t="s">
        <v>3506</v>
      </c>
      <c r="D284">
        <v>7</v>
      </c>
      <c r="E284" t="s">
        <v>3507</v>
      </c>
      <c r="F284">
        <v>12</v>
      </c>
    </row>
    <row r="285" spans="2:6" x14ac:dyDescent="0.2">
      <c r="B285" t="s">
        <v>3508</v>
      </c>
      <c r="C285" t="s">
        <v>3509</v>
      </c>
      <c r="D285">
        <v>7</v>
      </c>
      <c r="E285" t="s">
        <v>2915</v>
      </c>
      <c r="F285">
        <v>2</v>
      </c>
    </row>
    <row r="286" spans="2:6" x14ac:dyDescent="0.2">
      <c r="B286" t="s">
        <v>3510</v>
      </c>
      <c r="C286" t="s">
        <v>3511</v>
      </c>
      <c r="D286">
        <v>7</v>
      </c>
      <c r="E286" t="s">
        <v>3512</v>
      </c>
      <c r="F286">
        <v>11</v>
      </c>
    </row>
    <row r="287" spans="2:6" x14ac:dyDescent="0.2">
      <c r="B287" t="s">
        <v>3513</v>
      </c>
      <c r="C287" t="s">
        <v>3514</v>
      </c>
      <c r="D287">
        <v>7</v>
      </c>
      <c r="E287" t="s">
        <v>2974</v>
      </c>
      <c r="F287">
        <v>16</v>
      </c>
    </row>
    <row r="288" spans="2:6" x14ac:dyDescent="0.2">
      <c r="B288" t="s">
        <v>1934</v>
      </c>
      <c r="C288" t="s">
        <v>3515</v>
      </c>
      <c r="D288">
        <v>7</v>
      </c>
      <c r="E288" t="s">
        <v>3516</v>
      </c>
      <c r="F288">
        <v>1</v>
      </c>
    </row>
    <row r="289" spans="2:6" x14ac:dyDescent="0.2">
      <c r="B289" t="s">
        <v>3517</v>
      </c>
      <c r="C289" t="s">
        <v>3518</v>
      </c>
      <c r="D289">
        <v>7</v>
      </c>
      <c r="E289" t="s">
        <v>3119</v>
      </c>
      <c r="F289">
        <v>1</v>
      </c>
    </row>
    <row r="290" spans="2:6" x14ac:dyDescent="0.2">
      <c r="B290" t="s">
        <v>3519</v>
      </c>
      <c r="C290" t="s">
        <v>3520</v>
      </c>
      <c r="D290">
        <v>7</v>
      </c>
      <c r="E290" t="s">
        <v>3053</v>
      </c>
      <c r="F290">
        <v>3</v>
      </c>
    </row>
    <row r="291" spans="2:6" x14ac:dyDescent="0.2">
      <c r="B291" t="s">
        <v>665</v>
      </c>
      <c r="C291" t="s">
        <v>3521</v>
      </c>
      <c r="D291">
        <v>7</v>
      </c>
      <c r="E291" t="s">
        <v>3522</v>
      </c>
      <c r="F291">
        <v>6</v>
      </c>
    </row>
    <row r="292" spans="2:6" x14ac:dyDescent="0.2">
      <c r="B292" t="s">
        <v>3523</v>
      </c>
      <c r="C292" t="s">
        <v>3524</v>
      </c>
      <c r="D292">
        <v>7</v>
      </c>
      <c r="E292" t="s">
        <v>2921</v>
      </c>
      <c r="F292">
        <v>1</v>
      </c>
    </row>
    <row r="293" spans="2:6" x14ac:dyDescent="0.2">
      <c r="B293" t="s">
        <v>3525</v>
      </c>
      <c r="C293" t="s">
        <v>3526</v>
      </c>
      <c r="D293">
        <v>7</v>
      </c>
      <c r="E293" t="s">
        <v>2799</v>
      </c>
      <c r="F293">
        <v>2</v>
      </c>
    </row>
    <row r="294" spans="2:6" x14ac:dyDescent="0.2">
      <c r="B294" t="s">
        <v>3527</v>
      </c>
      <c r="C294" t="s">
        <v>3528</v>
      </c>
      <c r="D294">
        <v>7</v>
      </c>
      <c r="E294" t="s">
        <v>3529</v>
      </c>
      <c r="F294">
        <v>5</v>
      </c>
    </row>
    <row r="295" spans="2:6" x14ac:dyDescent="0.2">
      <c r="B295" t="s">
        <v>3530</v>
      </c>
      <c r="C295" t="s">
        <v>3531</v>
      </c>
      <c r="D295">
        <v>7</v>
      </c>
      <c r="E295" t="s">
        <v>3532</v>
      </c>
      <c r="F295">
        <v>2</v>
      </c>
    </row>
    <row r="296" spans="2:6" x14ac:dyDescent="0.2">
      <c r="B296" t="s">
        <v>3533</v>
      </c>
      <c r="C296" t="s">
        <v>3534</v>
      </c>
      <c r="D296">
        <v>7</v>
      </c>
      <c r="E296" t="s">
        <v>3535</v>
      </c>
      <c r="F296">
        <v>3</v>
      </c>
    </row>
    <row r="297" spans="2:6" x14ac:dyDescent="0.2">
      <c r="B297" t="s">
        <v>3536</v>
      </c>
      <c r="C297" t="s">
        <v>3537</v>
      </c>
      <c r="D297">
        <v>7</v>
      </c>
      <c r="E297" t="s">
        <v>3538</v>
      </c>
      <c r="F297">
        <v>5</v>
      </c>
    </row>
    <row r="298" spans="2:6" x14ac:dyDescent="0.2">
      <c r="B298" t="s">
        <v>3539</v>
      </c>
      <c r="C298" t="s">
        <v>3540</v>
      </c>
      <c r="D298">
        <v>7</v>
      </c>
      <c r="E298" t="s">
        <v>2974</v>
      </c>
      <c r="F298">
        <v>3</v>
      </c>
    </row>
    <row r="299" spans="2:6" x14ac:dyDescent="0.2">
      <c r="B299" t="s">
        <v>3541</v>
      </c>
      <c r="C299" t="s">
        <v>3542</v>
      </c>
      <c r="D299">
        <v>7</v>
      </c>
      <c r="E299" t="s">
        <v>3098</v>
      </c>
      <c r="F299">
        <v>1</v>
      </c>
    </row>
    <row r="300" spans="2:6" x14ac:dyDescent="0.2">
      <c r="B300" t="s">
        <v>3543</v>
      </c>
      <c r="C300" t="s">
        <v>3544</v>
      </c>
      <c r="D300">
        <v>7</v>
      </c>
      <c r="E300" t="s">
        <v>3545</v>
      </c>
      <c r="F300">
        <v>2</v>
      </c>
    </row>
    <row r="301" spans="2:6" x14ac:dyDescent="0.2">
      <c r="B301" t="s">
        <v>3546</v>
      </c>
      <c r="C301" t="s">
        <v>3547</v>
      </c>
      <c r="D301">
        <v>7</v>
      </c>
      <c r="E301" t="s">
        <v>3548</v>
      </c>
      <c r="F301">
        <v>2</v>
      </c>
    </row>
    <row r="302" spans="2:6" x14ac:dyDescent="0.2">
      <c r="B302" t="s">
        <v>3549</v>
      </c>
      <c r="C302" t="s">
        <v>3550</v>
      </c>
      <c r="D302">
        <v>7</v>
      </c>
      <c r="E302" t="s">
        <v>3551</v>
      </c>
      <c r="F302">
        <v>1</v>
      </c>
    </row>
    <row r="303" spans="2:6" x14ac:dyDescent="0.2">
      <c r="B303" t="s">
        <v>3552</v>
      </c>
      <c r="C303" t="s">
        <v>3553</v>
      </c>
      <c r="D303">
        <v>7</v>
      </c>
      <c r="E303" t="s">
        <v>2906</v>
      </c>
      <c r="F303">
        <v>1</v>
      </c>
    </row>
    <row r="304" spans="2:6" x14ac:dyDescent="0.2">
      <c r="B304" t="s">
        <v>3554</v>
      </c>
      <c r="C304" t="s">
        <v>3555</v>
      </c>
      <c r="D304">
        <v>7</v>
      </c>
      <c r="E304" t="s">
        <v>3556</v>
      </c>
      <c r="F304">
        <v>4</v>
      </c>
    </row>
    <row r="305" spans="2:6" x14ac:dyDescent="0.2">
      <c r="B305" t="s">
        <v>3557</v>
      </c>
      <c r="C305" t="s">
        <v>3558</v>
      </c>
      <c r="D305">
        <v>7</v>
      </c>
      <c r="E305" t="s">
        <v>3559</v>
      </c>
      <c r="F305">
        <v>4</v>
      </c>
    </row>
    <row r="306" spans="2:6" x14ac:dyDescent="0.2">
      <c r="B306" t="s">
        <v>3560</v>
      </c>
      <c r="C306" t="s">
        <v>3561</v>
      </c>
      <c r="D306">
        <v>7</v>
      </c>
      <c r="E306" t="s">
        <v>3232</v>
      </c>
      <c r="F306">
        <v>2</v>
      </c>
    </row>
    <row r="307" spans="2:6" x14ac:dyDescent="0.2">
      <c r="B307" t="s">
        <v>3562</v>
      </c>
      <c r="C307" t="s">
        <v>3563</v>
      </c>
      <c r="D307">
        <v>7</v>
      </c>
      <c r="E307" t="s">
        <v>3564</v>
      </c>
      <c r="F307">
        <v>2</v>
      </c>
    </row>
    <row r="308" spans="2:6" x14ac:dyDescent="0.2">
      <c r="B308" t="s">
        <v>3565</v>
      </c>
      <c r="C308" t="s">
        <v>3566</v>
      </c>
      <c r="D308">
        <v>7</v>
      </c>
      <c r="E308" t="s">
        <v>3567</v>
      </c>
      <c r="F308">
        <v>1</v>
      </c>
    </row>
    <row r="309" spans="2:6" x14ac:dyDescent="0.2">
      <c r="B309" t="s">
        <v>3568</v>
      </c>
      <c r="C309" t="s">
        <v>3569</v>
      </c>
      <c r="D309">
        <v>7</v>
      </c>
      <c r="E309" t="s">
        <v>3187</v>
      </c>
      <c r="F309">
        <v>1</v>
      </c>
    </row>
    <row r="310" spans="2:6" x14ac:dyDescent="0.2">
      <c r="B310" t="s">
        <v>3570</v>
      </c>
      <c r="C310" t="s">
        <v>3571</v>
      </c>
      <c r="D310">
        <v>7</v>
      </c>
      <c r="E310" t="s">
        <v>3572</v>
      </c>
      <c r="F310">
        <v>1</v>
      </c>
    </row>
    <row r="311" spans="2:6" x14ac:dyDescent="0.2">
      <c r="B311" t="s">
        <v>3573</v>
      </c>
      <c r="C311" t="s">
        <v>3574</v>
      </c>
      <c r="D311">
        <v>7</v>
      </c>
      <c r="E311" t="s">
        <v>3575</v>
      </c>
      <c r="F311">
        <v>1</v>
      </c>
    </row>
    <row r="312" spans="2:6" x14ac:dyDescent="0.2">
      <c r="B312" t="s">
        <v>3576</v>
      </c>
      <c r="C312" t="s">
        <v>3577</v>
      </c>
      <c r="D312">
        <v>7</v>
      </c>
      <c r="E312" t="s">
        <v>3578</v>
      </c>
      <c r="F312">
        <v>22</v>
      </c>
    </row>
    <row r="313" spans="2:6" x14ac:dyDescent="0.2">
      <c r="B313" t="s">
        <v>3579</v>
      </c>
      <c r="C313" t="s">
        <v>3580</v>
      </c>
      <c r="D313">
        <v>7</v>
      </c>
      <c r="E313" t="s">
        <v>2850</v>
      </c>
      <c r="F313">
        <v>2</v>
      </c>
    </row>
    <row r="314" spans="2:6" x14ac:dyDescent="0.2">
      <c r="B314" t="s">
        <v>3581</v>
      </c>
      <c r="C314" t="s">
        <v>3582</v>
      </c>
      <c r="D314">
        <v>7</v>
      </c>
      <c r="E314" t="s">
        <v>3583</v>
      </c>
      <c r="F314">
        <v>1</v>
      </c>
    </row>
    <row r="315" spans="2:6" x14ac:dyDescent="0.2">
      <c r="B315" t="s">
        <v>3584</v>
      </c>
      <c r="C315" t="s">
        <v>3585</v>
      </c>
      <c r="D315">
        <v>7</v>
      </c>
      <c r="E315" t="s">
        <v>3586</v>
      </c>
      <c r="F315">
        <v>1</v>
      </c>
    </row>
    <row r="316" spans="2:6" x14ac:dyDescent="0.2">
      <c r="B316" t="s">
        <v>3587</v>
      </c>
      <c r="C316" t="s">
        <v>3588</v>
      </c>
      <c r="D316">
        <v>7</v>
      </c>
      <c r="E316" t="s">
        <v>3589</v>
      </c>
      <c r="F316">
        <v>2</v>
      </c>
    </row>
    <row r="317" spans="2:6" x14ac:dyDescent="0.2">
      <c r="B317" t="s">
        <v>762</v>
      </c>
      <c r="C317" t="s">
        <v>3590</v>
      </c>
      <c r="D317">
        <v>7</v>
      </c>
      <c r="E317" t="s">
        <v>3591</v>
      </c>
      <c r="F317">
        <v>3</v>
      </c>
    </row>
    <row r="318" spans="2:6" x14ac:dyDescent="0.2">
      <c r="B318" t="s">
        <v>3592</v>
      </c>
      <c r="C318" t="s">
        <v>3593</v>
      </c>
      <c r="D318">
        <v>7</v>
      </c>
      <c r="E318" t="s">
        <v>3594</v>
      </c>
      <c r="F318">
        <v>239</v>
      </c>
    </row>
    <row r="319" spans="2:6" x14ac:dyDescent="0.2">
      <c r="B319" t="s">
        <v>3595</v>
      </c>
      <c r="C319" t="s">
        <v>3596</v>
      </c>
      <c r="D319">
        <v>7</v>
      </c>
      <c r="E319" t="s">
        <v>3597</v>
      </c>
      <c r="F319">
        <v>3</v>
      </c>
    </row>
    <row r="320" spans="2:6" x14ac:dyDescent="0.2">
      <c r="B320" t="s">
        <v>3598</v>
      </c>
      <c r="C320" t="s">
        <v>3599</v>
      </c>
      <c r="D320">
        <v>7</v>
      </c>
      <c r="E320" t="s">
        <v>3136</v>
      </c>
      <c r="F320">
        <v>1</v>
      </c>
    </row>
    <row r="321" spans="2:6" x14ac:dyDescent="0.2">
      <c r="B321" t="s">
        <v>3600</v>
      </c>
      <c r="C321" t="s">
        <v>3601</v>
      </c>
      <c r="D321">
        <v>7</v>
      </c>
      <c r="E321" t="s">
        <v>3602</v>
      </c>
      <c r="F321">
        <v>4</v>
      </c>
    </row>
    <row r="322" spans="2:6" x14ac:dyDescent="0.2">
      <c r="B322" t="s">
        <v>3603</v>
      </c>
      <c r="C322" t="s">
        <v>3604</v>
      </c>
      <c r="D322">
        <v>7</v>
      </c>
      <c r="E322" t="s">
        <v>3605</v>
      </c>
      <c r="F322">
        <v>4</v>
      </c>
    </row>
    <row r="323" spans="2:6" x14ac:dyDescent="0.2">
      <c r="B323" t="s">
        <v>3606</v>
      </c>
      <c r="C323" t="s">
        <v>3607</v>
      </c>
      <c r="D323">
        <v>7</v>
      </c>
      <c r="E323" t="s">
        <v>2974</v>
      </c>
      <c r="F323">
        <v>4</v>
      </c>
    </row>
    <row r="324" spans="2:6" x14ac:dyDescent="0.2">
      <c r="B324" t="s">
        <v>577</v>
      </c>
      <c r="C324" t="s">
        <v>3608</v>
      </c>
      <c r="D324">
        <v>7</v>
      </c>
      <c r="E324" t="s">
        <v>3213</v>
      </c>
      <c r="F324">
        <v>2</v>
      </c>
    </row>
    <row r="325" spans="2:6" x14ac:dyDescent="0.2">
      <c r="B325" t="s">
        <v>3609</v>
      </c>
      <c r="C325" t="s">
        <v>3610</v>
      </c>
      <c r="D325">
        <v>7</v>
      </c>
      <c r="E325" t="s">
        <v>2785</v>
      </c>
      <c r="F325">
        <v>1</v>
      </c>
    </row>
    <row r="326" spans="2:6" x14ac:dyDescent="0.2">
      <c r="B326" t="s">
        <v>3611</v>
      </c>
      <c r="C326" t="s">
        <v>3612</v>
      </c>
      <c r="D326">
        <v>7</v>
      </c>
      <c r="E326" t="s">
        <v>3613</v>
      </c>
      <c r="F326">
        <v>3</v>
      </c>
    </row>
    <row r="327" spans="2:6" x14ac:dyDescent="0.2">
      <c r="B327" t="s">
        <v>3614</v>
      </c>
      <c r="C327" t="s">
        <v>3615</v>
      </c>
      <c r="D327">
        <v>7</v>
      </c>
      <c r="E327" t="s">
        <v>3616</v>
      </c>
      <c r="F327">
        <v>1</v>
      </c>
    </row>
    <row r="328" spans="2:6" x14ac:dyDescent="0.2">
      <c r="B328" t="s">
        <v>3617</v>
      </c>
      <c r="C328" t="s">
        <v>3618</v>
      </c>
      <c r="D328">
        <v>7</v>
      </c>
      <c r="E328" t="s">
        <v>3410</v>
      </c>
      <c r="F328">
        <v>1</v>
      </c>
    </row>
    <row r="329" spans="2:6" x14ac:dyDescent="0.2">
      <c r="B329" t="s">
        <v>3619</v>
      </c>
      <c r="C329" t="s">
        <v>3620</v>
      </c>
      <c r="D329">
        <v>7</v>
      </c>
      <c r="E329" t="s">
        <v>3621</v>
      </c>
      <c r="F329">
        <v>2</v>
      </c>
    </row>
    <row r="330" spans="2:6" x14ac:dyDescent="0.2">
      <c r="B330" t="s">
        <v>1877</v>
      </c>
      <c r="C330" t="s">
        <v>3622</v>
      </c>
      <c r="D330">
        <v>7</v>
      </c>
      <c r="E330" t="s">
        <v>3623</v>
      </c>
      <c r="F330">
        <v>2</v>
      </c>
    </row>
    <row r="331" spans="2:6" x14ac:dyDescent="0.2">
      <c r="B331" t="s">
        <v>3624</v>
      </c>
      <c r="C331" t="s">
        <v>3625</v>
      </c>
      <c r="D331">
        <v>7</v>
      </c>
      <c r="E331" t="s">
        <v>3235</v>
      </c>
      <c r="F331">
        <v>1</v>
      </c>
    </row>
    <row r="332" spans="2:6" x14ac:dyDescent="0.2">
      <c r="B332" t="s">
        <v>3626</v>
      </c>
      <c r="C332" t="s">
        <v>3627</v>
      </c>
      <c r="D332">
        <v>7</v>
      </c>
      <c r="E332" t="s">
        <v>3628</v>
      </c>
      <c r="F332">
        <v>2</v>
      </c>
    </row>
    <row r="333" spans="2:6" x14ac:dyDescent="0.2">
      <c r="B333" t="s">
        <v>3629</v>
      </c>
      <c r="C333" t="s">
        <v>3630</v>
      </c>
      <c r="D333">
        <v>7</v>
      </c>
      <c r="E333" t="s">
        <v>3631</v>
      </c>
      <c r="F333">
        <v>3</v>
      </c>
    </row>
    <row r="334" spans="2:6" x14ac:dyDescent="0.2">
      <c r="B334" t="s">
        <v>3632</v>
      </c>
      <c r="C334" t="s">
        <v>3633</v>
      </c>
      <c r="D334">
        <v>7</v>
      </c>
      <c r="E334" t="s">
        <v>3106</v>
      </c>
      <c r="F334">
        <v>6</v>
      </c>
    </row>
    <row r="335" spans="2:6" x14ac:dyDescent="0.2">
      <c r="B335" t="s">
        <v>3634</v>
      </c>
      <c r="C335" t="s">
        <v>3635</v>
      </c>
      <c r="D335">
        <v>7</v>
      </c>
      <c r="E335" t="s">
        <v>2889</v>
      </c>
      <c r="F335">
        <v>2</v>
      </c>
    </row>
    <row r="336" spans="2:6" x14ac:dyDescent="0.2">
      <c r="B336" t="s">
        <v>3636</v>
      </c>
      <c r="C336" t="s">
        <v>3637</v>
      </c>
      <c r="D336">
        <v>7</v>
      </c>
      <c r="E336" t="s">
        <v>2805</v>
      </c>
      <c r="F336">
        <v>3</v>
      </c>
    </row>
    <row r="337" spans="2:6" x14ac:dyDescent="0.2">
      <c r="B337" t="s">
        <v>3638</v>
      </c>
      <c r="C337" t="s">
        <v>3639</v>
      </c>
      <c r="D337">
        <v>7</v>
      </c>
      <c r="E337" t="s">
        <v>3640</v>
      </c>
      <c r="F337">
        <v>14</v>
      </c>
    </row>
    <row r="338" spans="2:6" x14ac:dyDescent="0.2">
      <c r="B338" t="s">
        <v>3641</v>
      </c>
      <c r="C338" t="s">
        <v>3642</v>
      </c>
      <c r="D338">
        <v>7</v>
      </c>
      <c r="E338" t="s">
        <v>3643</v>
      </c>
      <c r="F338">
        <v>2</v>
      </c>
    </row>
    <row r="339" spans="2:6" x14ac:dyDescent="0.2">
      <c r="B339" t="s">
        <v>687</v>
      </c>
      <c r="C339" t="s">
        <v>3644</v>
      </c>
      <c r="D339">
        <v>7</v>
      </c>
      <c r="E339" t="s">
        <v>3071</v>
      </c>
      <c r="F339">
        <v>1</v>
      </c>
    </row>
    <row r="340" spans="2:6" x14ac:dyDescent="0.2">
      <c r="B340" t="s">
        <v>3645</v>
      </c>
      <c r="C340" t="s">
        <v>3646</v>
      </c>
      <c r="D340">
        <v>7</v>
      </c>
      <c r="E340" t="s">
        <v>3067</v>
      </c>
      <c r="F340">
        <v>1</v>
      </c>
    </row>
    <row r="341" spans="2:6" x14ac:dyDescent="0.2">
      <c r="B341" t="s">
        <v>3647</v>
      </c>
      <c r="C341" t="s">
        <v>3648</v>
      </c>
      <c r="D341">
        <v>7</v>
      </c>
      <c r="E341" t="s">
        <v>2918</v>
      </c>
      <c r="F341">
        <v>3</v>
      </c>
    </row>
    <row r="342" spans="2:6" x14ac:dyDescent="0.2">
      <c r="B342" t="s">
        <v>3649</v>
      </c>
      <c r="C342" t="s">
        <v>3650</v>
      </c>
      <c r="D342">
        <v>7</v>
      </c>
      <c r="E342" t="s">
        <v>2974</v>
      </c>
      <c r="F342">
        <v>2</v>
      </c>
    </row>
    <row r="343" spans="2:6" x14ac:dyDescent="0.2">
      <c r="B343" t="s">
        <v>3651</v>
      </c>
      <c r="C343" t="s">
        <v>3652</v>
      </c>
      <c r="D343">
        <v>7</v>
      </c>
      <c r="E343" t="s">
        <v>3653</v>
      </c>
      <c r="F343">
        <v>2</v>
      </c>
    </row>
    <row r="344" spans="2:6" x14ac:dyDescent="0.2">
      <c r="B344" t="s">
        <v>3654</v>
      </c>
      <c r="C344" t="s">
        <v>3655</v>
      </c>
      <c r="D344">
        <v>7</v>
      </c>
      <c r="E344" t="s">
        <v>2855</v>
      </c>
      <c r="F344">
        <v>1</v>
      </c>
    </row>
    <row r="345" spans="2:6" x14ac:dyDescent="0.2">
      <c r="B345" t="s">
        <v>3656</v>
      </c>
      <c r="C345" t="s">
        <v>3657</v>
      </c>
      <c r="D345">
        <v>7</v>
      </c>
      <c r="E345" t="s">
        <v>2974</v>
      </c>
      <c r="F345">
        <v>2</v>
      </c>
    </row>
    <row r="346" spans="2:6" x14ac:dyDescent="0.2">
      <c r="B346" t="s">
        <v>3658</v>
      </c>
      <c r="C346" t="s">
        <v>3659</v>
      </c>
      <c r="D346">
        <v>7</v>
      </c>
      <c r="E346" t="s">
        <v>3660</v>
      </c>
      <c r="F346">
        <v>5</v>
      </c>
    </row>
    <row r="347" spans="2:6" x14ac:dyDescent="0.2">
      <c r="B347" t="s">
        <v>3661</v>
      </c>
      <c r="C347" t="s">
        <v>3662</v>
      </c>
      <c r="D347">
        <v>7</v>
      </c>
      <c r="E347" t="s">
        <v>3663</v>
      </c>
      <c r="F347">
        <v>1</v>
      </c>
    </row>
    <row r="348" spans="2:6" x14ac:dyDescent="0.2">
      <c r="B348" t="s">
        <v>3664</v>
      </c>
      <c r="C348" t="s">
        <v>3665</v>
      </c>
      <c r="D348">
        <v>7</v>
      </c>
      <c r="E348" t="s">
        <v>3666</v>
      </c>
      <c r="F348">
        <v>1</v>
      </c>
    </row>
    <row r="349" spans="2:6" x14ac:dyDescent="0.2">
      <c r="B349" t="s">
        <v>3667</v>
      </c>
      <c r="C349" t="s">
        <v>3668</v>
      </c>
      <c r="D349">
        <v>7</v>
      </c>
      <c r="E349" t="s">
        <v>2839</v>
      </c>
      <c r="F349">
        <v>2</v>
      </c>
    </row>
    <row r="350" spans="2:6" x14ac:dyDescent="0.2">
      <c r="B350" t="s">
        <v>3669</v>
      </c>
      <c r="C350" t="s">
        <v>3670</v>
      </c>
      <c r="D350">
        <v>7</v>
      </c>
      <c r="E350" t="s">
        <v>3671</v>
      </c>
      <c r="F350">
        <v>3</v>
      </c>
    </row>
    <row r="351" spans="2:6" x14ac:dyDescent="0.2">
      <c r="B351" t="s">
        <v>3672</v>
      </c>
      <c r="C351" t="s">
        <v>3673</v>
      </c>
      <c r="D351">
        <v>7</v>
      </c>
      <c r="E351" t="s">
        <v>3674</v>
      </c>
      <c r="F351">
        <v>1</v>
      </c>
    </row>
    <row r="352" spans="2:6" x14ac:dyDescent="0.2">
      <c r="B352" t="s">
        <v>3675</v>
      </c>
      <c r="C352" t="s">
        <v>3676</v>
      </c>
      <c r="D352">
        <v>7</v>
      </c>
      <c r="E352" t="s">
        <v>3213</v>
      </c>
      <c r="F352">
        <v>1</v>
      </c>
    </row>
    <row r="353" spans="2:6" x14ac:dyDescent="0.2">
      <c r="B353" t="s">
        <v>3677</v>
      </c>
      <c r="C353" t="s">
        <v>3678</v>
      </c>
      <c r="D353">
        <v>7</v>
      </c>
      <c r="E353" t="s">
        <v>3304</v>
      </c>
      <c r="F353">
        <v>1</v>
      </c>
    </row>
    <row r="354" spans="2:6" x14ac:dyDescent="0.2">
      <c r="B354" t="s">
        <v>3679</v>
      </c>
      <c r="C354" t="s">
        <v>3680</v>
      </c>
      <c r="D354">
        <v>7</v>
      </c>
      <c r="E354" t="s">
        <v>3681</v>
      </c>
      <c r="F354">
        <v>9</v>
      </c>
    </row>
    <row r="355" spans="2:6" x14ac:dyDescent="0.2">
      <c r="B355" t="s">
        <v>3682</v>
      </c>
      <c r="C355" t="s">
        <v>3683</v>
      </c>
      <c r="D355">
        <v>7</v>
      </c>
      <c r="E355" t="s">
        <v>3375</v>
      </c>
      <c r="F355">
        <v>14</v>
      </c>
    </row>
    <row r="356" spans="2:6" x14ac:dyDescent="0.2">
      <c r="B356" t="s">
        <v>3684</v>
      </c>
      <c r="C356" t="s">
        <v>3685</v>
      </c>
      <c r="D356">
        <v>7</v>
      </c>
      <c r="E356" t="s">
        <v>3686</v>
      </c>
      <c r="F356">
        <v>1</v>
      </c>
    </row>
    <row r="357" spans="2:6" x14ac:dyDescent="0.2">
      <c r="B357" t="s">
        <v>849</v>
      </c>
      <c r="C357" t="s">
        <v>3687</v>
      </c>
      <c r="D357">
        <v>7</v>
      </c>
      <c r="E357" t="s">
        <v>3688</v>
      </c>
      <c r="F357">
        <v>2</v>
      </c>
    </row>
    <row r="358" spans="2:6" x14ac:dyDescent="0.2">
      <c r="B358" t="s">
        <v>436</v>
      </c>
      <c r="C358" t="s">
        <v>3689</v>
      </c>
      <c r="D358">
        <v>7</v>
      </c>
      <c r="E358" t="s">
        <v>3690</v>
      </c>
      <c r="F358">
        <v>1</v>
      </c>
    </row>
    <row r="359" spans="2:6" x14ac:dyDescent="0.2">
      <c r="B359" t="s">
        <v>3691</v>
      </c>
      <c r="C359" t="s">
        <v>3692</v>
      </c>
      <c r="D359">
        <v>7</v>
      </c>
      <c r="E359" t="s">
        <v>3423</v>
      </c>
      <c r="F359">
        <v>3</v>
      </c>
    </row>
    <row r="360" spans="2:6" x14ac:dyDescent="0.2">
      <c r="B360" t="s">
        <v>3693</v>
      </c>
      <c r="C360" t="s">
        <v>3694</v>
      </c>
      <c r="D360">
        <v>7</v>
      </c>
      <c r="E360" t="s">
        <v>3136</v>
      </c>
      <c r="F360">
        <v>3</v>
      </c>
    </row>
    <row r="361" spans="2:6" x14ac:dyDescent="0.2">
      <c r="B361" t="s">
        <v>3695</v>
      </c>
      <c r="C361" t="s">
        <v>3696</v>
      </c>
      <c r="D361">
        <v>7</v>
      </c>
      <c r="E361" t="s">
        <v>3697</v>
      </c>
      <c r="F361">
        <v>9</v>
      </c>
    </row>
    <row r="362" spans="2:6" x14ac:dyDescent="0.2">
      <c r="B362" t="s">
        <v>3698</v>
      </c>
      <c r="C362" t="s">
        <v>3699</v>
      </c>
      <c r="D362">
        <v>7</v>
      </c>
      <c r="E362" t="s">
        <v>2788</v>
      </c>
      <c r="F362">
        <v>2</v>
      </c>
    </row>
    <row r="363" spans="2:6" x14ac:dyDescent="0.2">
      <c r="B363" t="s">
        <v>3700</v>
      </c>
      <c r="C363" t="s">
        <v>3701</v>
      </c>
      <c r="D363">
        <v>7</v>
      </c>
      <c r="E363" t="s">
        <v>3702</v>
      </c>
      <c r="F363">
        <v>1</v>
      </c>
    </row>
    <row r="364" spans="2:6" x14ac:dyDescent="0.2">
      <c r="B364" t="s">
        <v>616</v>
      </c>
      <c r="C364" t="s">
        <v>3703</v>
      </c>
      <c r="D364">
        <v>7</v>
      </c>
      <c r="E364" t="s">
        <v>2819</v>
      </c>
      <c r="F364">
        <v>1</v>
      </c>
    </row>
    <row r="365" spans="2:6" x14ac:dyDescent="0.2">
      <c r="B365" t="s">
        <v>3704</v>
      </c>
      <c r="C365" t="s">
        <v>3705</v>
      </c>
      <c r="D365">
        <v>7</v>
      </c>
      <c r="E365" t="s">
        <v>3031</v>
      </c>
      <c r="F365">
        <v>3</v>
      </c>
    </row>
    <row r="366" spans="2:6" x14ac:dyDescent="0.2">
      <c r="B366" t="s">
        <v>3706</v>
      </c>
      <c r="C366" t="s">
        <v>3707</v>
      </c>
      <c r="D366">
        <v>7</v>
      </c>
      <c r="E366" t="s">
        <v>3708</v>
      </c>
      <c r="F366">
        <v>4</v>
      </c>
    </row>
    <row r="367" spans="2:6" x14ac:dyDescent="0.2">
      <c r="B367" t="s">
        <v>3709</v>
      </c>
      <c r="C367" t="s">
        <v>3710</v>
      </c>
      <c r="D367">
        <v>7</v>
      </c>
      <c r="E367" t="s">
        <v>2997</v>
      </c>
      <c r="F367">
        <v>2</v>
      </c>
    </row>
    <row r="368" spans="2:6" x14ac:dyDescent="0.2">
      <c r="B368" t="s">
        <v>3711</v>
      </c>
      <c r="C368" t="s">
        <v>3712</v>
      </c>
      <c r="D368">
        <v>7</v>
      </c>
      <c r="E368" t="s">
        <v>3713</v>
      </c>
      <c r="F368">
        <v>1</v>
      </c>
    </row>
    <row r="369" spans="2:6" x14ac:dyDescent="0.2">
      <c r="B369" t="s">
        <v>3714</v>
      </c>
      <c r="C369" t="s">
        <v>3715</v>
      </c>
      <c r="D369">
        <v>7</v>
      </c>
      <c r="E369" t="s">
        <v>3716</v>
      </c>
      <c r="F369">
        <v>1</v>
      </c>
    </row>
    <row r="370" spans="2:6" x14ac:dyDescent="0.2">
      <c r="B370" t="s">
        <v>3717</v>
      </c>
      <c r="C370" t="s">
        <v>3718</v>
      </c>
      <c r="D370">
        <v>7</v>
      </c>
      <c r="E370" t="s">
        <v>3719</v>
      </c>
      <c r="F370">
        <v>8</v>
      </c>
    </row>
    <row r="371" spans="2:6" x14ac:dyDescent="0.2">
      <c r="B371" t="s">
        <v>3720</v>
      </c>
      <c r="C371" t="s">
        <v>3721</v>
      </c>
      <c r="D371">
        <v>7</v>
      </c>
      <c r="E371" t="s">
        <v>3702</v>
      </c>
      <c r="F371">
        <v>1</v>
      </c>
    </row>
    <row r="372" spans="2:6" x14ac:dyDescent="0.2">
      <c r="B372" t="s">
        <v>3722</v>
      </c>
      <c r="C372" t="s">
        <v>3723</v>
      </c>
      <c r="D372">
        <v>7</v>
      </c>
      <c r="E372" t="s">
        <v>3724</v>
      </c>
      <c r="F372">
        <v>49</v>
      </c>
    </row>
    <row r="373" spans="2:6" x14ac:dyDescent="0.2">
      <c r="B373" t="s">
        <v>3725</v>
      </c>
      <c r="C373" t="s">
        <v>3726</v>
      </c>
      <c r="D373">
        <v>7</v>
      </c>
      <c r="E373" t="s">
        <v>3106</v>
      </c>
      <c r="F373">
        <v>1</v>
      </c>
    </row>
    <row r="374" spans="2:6" x14ac:dyDescent="0.2">
      <c r="B374" t="s">
        <v>3727</v>
      </c>
      <c r="C374" t="s">
        <v>3728</v>
      </c>
      <c r="D374">
        <v>7</v>
      </c>
      <c r="E374" t="s">
        <v>3729</v>
      </c>
      <c r="F374">
        <v>3</v>
      </c>
    </row>
    <row r="375" spans="2:6" x14ac:dyDescent="0.2">
      <c r="B375" t="s">
        <v>3730</v>
      </c>
      <c r="C375" t="s">
        <v>3731</v>
      </c>
      <c r="D375">
        <v>7</v>
      </c>
      <c r="E375" t="s">
        <v>3031</v>
      </c>
      <c r="F375">
        <v>8</v>
      </c>
    </row>
    <row r="376" spans="2:6" x14ac:dyDescent="0.2">
      <c r="B376" t="s">
        <v>3732</v>
      </c>
      <c r="C376" t="s">
        <v>3733</v>
      </c>
      <c r="D376">
        <v>7</v>
      </c>
      <c r="E376" t="s">
        <v>3187</v>
      </c>
      <c r="F376">
        <v>2</v>
      </c>
    </row>
    <row r="377" spans="2:6" x14ac:dyDescent="0.2">
      <c r="B377" t="s">
        <v>3734</v>
      </c>
      <c r="C377" t="s">
        <v>3735</v>
      </c>
      <c r="D377">
        <v>7</v>
      </c>
      <c r="E377" t="s">
        <v>2895</v>
      </c>
      <c r="F377">
        <v>3</v>
      </c>
    </row>
    <row r="378" spans="2:6" x14ac:dyDescent="0.2">
      <c r="B378" t="s">
        <v>3736</v>
      </c>
      <c r="C378" t="s">
        <v>3737</v>
      </c>
      <c r="D378">
        <v>7</v>
      </c>
      <c r="E378" t="s">
        <v>2994</v>
      </c>
      <c r="F378">
        <v>1</v>
      </c>
    </row>
    <row r="379" spans="2:6" x14ac:dyDescent="0.2">
      <c r="B379" t="s">
        <v>3738</v>
      </c>
      <c r="C379" t="s">
        <v>3739</v>
      </c>
      <c r="D379">
        <v>7</v>
      </c>
      <c r="E379" t="s">
        <v>3367</v>
      </c>
      <c r="F379">
        <v>55</v>
      </c>
    </row>
    <row r="380" spans="2:6" x14ac:dyDescent="0.2">
      <c r="B380" t="s">
        <v>691</v>
      </c>
      <c r="C380" t="s">
        <v>3740</v>
      </c>
      <c r="D380">
        <v>7</v>
      </c>
      <c r="E380" t="s">
        <v>3013</v>
      </c>
      <c r="F380">
        <v>4</v>
      </c>
    </row>
    <row r="381" spans="2:6" x14ac:dyDescent="0.2">
      <c r="B381" t="s">
        <v>344</v>
      </c>
      <c r="C381" t="s">
        <v>3741</v>
      </c>
      <c r="D381">
        <v>7</v>
      </c>
      <c r="E381" t="s">
        <v>3742</v>
      </c>
      <c r="F381">
        <v>1</v>
      </c>
    </row>
    <row r="382" spans="2:6" x14ac:dyDescent="0.2">
      <c r="B382" t="s">
        <v>3743</v>
      </c>
      <c r="C382" t="s">
        <v>3744</v>
      </c>
      <c r="D382">
        <v>7</v>
      </c>
      <c r="E382" t="s">
        <v>3316</v>
      </c>
      <c r="F382">
        <v>2</v>
      </c>
    </row>
    <row r="383" spans="2:6" x14ac:dyDescent="0.2">
      <c r="B383" t="s">
        <v>2115</v>
      </c>
      <c r="C383" t="s">
        <v>3745</v>
      </c>
      <c r="D383">
        <v>7</v>
      </c>
      <c r="E383" t="s">
        <v>3746</v>
      </c>
      <c r="F383">
        <v>7</v>
      </c>
    </row>
    <row r="384" spans="2:6" x14ac:dyDescent="0.2">
      <c r="B384" t="s">
        <v>3747</v>
      </c>
      <c r="C384" t="s">
        <v>3748</v>
      </c>
      <c r="D384">
        <v>7</v>
      </c>
      <c r="E384" t="s">
        <v>2915</v>
      </c>
      <c r="F384">
        <v>1</v>
      </c>
    </row>
    <row r="385" spans="2:6" x14ac:dyDescent="0.2">
      <c r="B385" t="s">
        <v>3749</v>
      </c>
      <c r="C385" t="s">
        <v>3750</v>
      </c>
      <c r="D385">
        <v>7</v>
      </c>
      <c r="E385" t="s">
        <v>3098</v>
      </c>
      <c r="F385">
        <v>1</v>
      </c>
    </row>
    <row r="386" spans="2:6" x14ac:dyDescent="0.2">
      <c r="B386" t="s">
        <v>3751</v>
      </c>
      <c r="C386" t="s">
        <v>3752</v>
      </c>
      <c r="D386">
        <v>7</v>
      </c>
      <c r="E386" t="s">
        <v>3753</v>
      </c>
      <c r="F386">
        <v>6</v>
      </c>
    </row>
    <row r="387" spans="2:6" x14ac:dyDescent="0.2">
      <c r="B387" t="s">
        <v>3754</v>
      </c>
      <c r="C387" t="s">
        <v>3755</v>
      </c>
      <c r="D387">
        <v>7</v>
      </c>
      <c r="E387" t="s">
        <v>3756</v>
      </c>
      <c r="F387">
        <v>3</v>
      </c>
    </row>
    <row r="388" spans="2:6" x14ac:dyDescent="0.2">
      <c r="B388" t="s">
        <v>3757</v>
      </c>
      <c r="C388" t="s">
        <v>3758</v>
      </c>
      <c r="D388">
        <v>7</v>
      </c>
      <c r="E388" t="s">
        <v>3759</v>
      </c>
      <c r="F388">
        <v>1</v>
      </c>
    </row>
    <row r="389" spans="2:6" x14ac:dyDescent="0.2">
      <c r="B389" t="s">
        <v>3760</v>
      </c>
      <c r="C389" t="s">
        <v>3761</v>
      </c>
      <c r="D389">
        <v>7</v>
      </c>
      <c r="E389" t="s">
        <v>3762</v>
      </c>
      <c r="F389">
        <v>2</v>
      </c>
    </row>
    <row r="390" spans="2:6" x14ac:dyDescent="0.2">
      <c r="B390" t="s">
        <v>3763</v>
      </c>
      <c r="C390" t="s">
        <v>3764</v>
      </c>
      <c r="D390">
        <v>7</v>
      </c>
      <c r="E390" t="s">
        <v>2892</v>
      </c>
      <c r="F390">
        <v>2</v>
      </c>
    </row>
    <row r="391" spans="2:6" x14ac:dyDescent="0.2">
      <c r="B391" t="s">
        <v>3765</v>
      </c>
      <c r="C391" t="s">
        <v>3766</v>
      </c>
      <c r="D391">
        <v>7</v>
      </c>
      <c r="E391" t="s">
        <v>3767</v>
      </c>
      <c r="F391">
        <v>2</v>
      </c>
    </row>
    <row r="392" spans="2:6" x14ac:dyDescent="0.2">
      <c r="B392" t="s">
        <v>3768</v>
      </c>
      <c r="C392" t="s">
        <v>3769</v>
      </c>
      <c r="D392">
        <v>7</v>
      </c>
      <c r="E392" t="s">
        <v>3770</v>
      </c>
      <c r="F392">
        <v>3</v>
      </c>
    </row>
    <row r="393" spans="2:6" x14ac:dyDescent="0.2">
      <c r="B393" t="s">
        <v>3771</v>
      </c>
      <c r="C393" t="s">
        <v>3772</v>
      </c>
      <c r="D393">
        <v>7</v>
      </c>
      <c r="E393" t="s">
        <v>3773</v>
      </c>
      <c r="F393">
        <v>3</v>
      </c>
    </row>
    <row r="394" spans="2:6" x14ac:dyDescent="0.2">
      <c r="B394" t="s">
        <v>3774</v>
      </c>
      <c r="C394" t="s">
        <v>3775</v>
      </c>
      <c r="D394">
        <v>7</v>
      </c>
      <c r="E394" t="s">
        <v>3776</v>
      </c>
      <c r="F394">
        <v>2</v>
      </c>
    </row>
    <row r="395" spans="2:6" x14ac:dyDescent="0.2">
      <c r="B395" t="s">
        <v>1060</v>
      </c>
      <c r="C395" t="s">
        <v>3777</v>
      </c>
      <c r="D395">
        <v>7</v>
      </c>
      <c r="E395" t="s">
        <v>3778</v>
      </c>
      <c r="F395">
        <v>2</v>
      </c>
    </row>
    <row r="396" spans="2:6" x14ac:dyDescent="0.2">
      <c r="B396" t="s">
        <v>1017</v>
      </c>
      <c r="C396" t="s">
        <v>3779</v>
      </c>
      <c r="D396">
        <v>7</v>
      </c>
      <c r="E396" t="s">
        <v>3235</v>
      </c>
      <c r="F396">
        <v>5</v>
      </c>
    </row>
    <row r="397" spans="2:6" x14ac:dyDescent="0.2">
      <c r="B397" t="s">
        <v>3780</v>
      </c>
      <c r="C397" t="s">
        <v>3781</v>
      </c>
      <c r="D397">
        <v>7</v>
      </c>
      <c r="E397" t="s">
        <v>3674</v>
      </c>
      <c r="F397">
        <v>2</v>
      </c>
    </row>
    <row r="398" spans="2:6" x14ac:dyDescent="0.2">
      <c r="B398" t="s">
        <v>3782</v>
      </c>
      <c r="C398" t="s">
        <v>3783</v>
      </c>
      <c r="D398">
        <v>7</v>
      </c>
      <c r="E398" t="s">
        <v>2915</v>
      </c>
      <c r="F398">
        <v>1</v>
      </c>
    </row>
    <row r="399" spans="2:6" x14ac:dyDescent="0.2">
      <c r="B399" t="s">
        <v>3784</v>
      </c>
      <c r="C399" t="s">
        <v>3785</v>
      </c>
      <c r="D399">
        <v>7</v>
      </c>
      <c r="E399" t="s">
        <v>3786</v>
      </c>
      <c r="F399">
        <v>10</v>
      </c>
    </row>
    <row r="400" spans="2:6" x14ac:dyDescent="0.2">
      <c r="B400" t="s">
        <v>3787</v>
      </c>
      <c r="C400" t="s">
        <v>3788</v>
      </c>
      <c r="D400">
        <v>7</v>
      </c>
      <c r="E400" t="s">
        <v>3789</v>
      </c>
      <c r="F400">
        <v>4</v>
      </c>
    </row>
    <row r="401" spans="2:6" x14ac:dyDescent="0.2">
      <c r="B401" t="s">
        <v>796</v>
      </c>
      <c r="C401" t="s">
        <v>3790</v>
      </c>
      <c r="D401">
        <v>7</v>
      </c>
      <c r="E401" t="s">
        <v>3791</v>
      </c>
      <c r="F401">
        <v>13</v>
      </c>
    </row>
    <row r="402" spans="2:6" x14ac:dyDescent="0.2">
      <c r="B402" t="s">
        <v>3792</v>
      </c>
      <c r="C402" t="s">
        <v>3793</v>
      </c>
      <c r="D402">
        <v>7</v>
      </c>
      <c r="E402" t="s">
        <v>3153</v>
      </c>
      <c r="F402">
        <v>1</v>
      </c>
    </row>
    <row r="403" spans="2:6" x14ac:dyDescent="0.2">
      <c r="B403" t="s">
        <v>3794</v>
      </c>
      <c r="C403" t="s">
        <v>3795</v>
      </c>
      <c r="D403">
        <v>7</v>
      </c>
      <c r="E403" t="s">
        <v>2850</v>
      </c>
      <c r="F403">
        <v>1</v>
      </c>
    </row>
    <row r="404" spans="2:6" x14ac:dyDescent="0.2">
      <c r="B404" t="s">
        <v>3796</v>
      </c>
      <c r="C404" t="s">
        <v>3797</v>
      </c>
      <c r="D404">
        <v>7</v>
      </c>
      <c r="E404" t="s">
        <v>3455</v>
      </c>
      <c r="F404">
        <v>1</v>
      </c>
    </row>
    <row r="405" spans="2:6" x14ac:dyDescent="0.2">
      <c r="B405" t="s">
        <v>3798</v>
      </c>
      <c r="C405" t="s">
        <v>3799</v>
      </c>
      <c r="D405">
        <v>7</v>
      </c>
      <c r="E405" t="s">
        <v>3067</v>
      </c>
      <c r="F405">
        <v>1</v>
      </c>
    </row>
    <row r="406" spans="2:6" x14ac:dyDescent="0.2">
      <c r="B406" t="s">
        <v>3800</v>
      </c>
      <c r="C406" t="s">
        <v>3801</v>
      </c>
      <c r="D406">
        <v>7</v>
      </c>
      <c r="E406" t="s">
        <v>3802</v>
      </c>
      <c r="F406">
        <v>1</v>
      </c>
    </row>
    <row r="407" spans="2:6" x14ac:dyDescent="0.2">
      <c r="B407" t="s">
        <v>3803</v>
      </c>
      <c r="C407" t="s">
        <v>3804</v>
      </c>
      <c r="D407">
        <v>7</v>
      </c>
      <c r="E407" t="s">
        <v>3805</v>
      </c>
      <c r="F407">
        <v>1</v>
      </c>
    </row>
    <row r="408" spans="2:6" x14ac:dyDescent="0.2">
      <c r="B408" t="s">
        <v>2045</v>
      </c>
      <c r="C408" t="s">
        <v>3806</v>
      </c>
      <c r="D408">
        <v>7</v>
      </c>
      <c r="E408" t="s">
        <v>3098</v>
      </c>
      <c r="F408">
        <v>1</v>
      </c>
    </row>
    <row r="409" spans="2:6" x14ac:dyDescent="0.2">
      <c r="B409" t="s">
        <v>3807</v>
      </c>
      <c r="C409" t="s">
        <v>3630</v>
      </c>
      <c r="D409">
        <v>7</v>
      </c>
      <c r="E409" t="s">
        <v>3808</v>
      </c>
      <c r="F409">
        <v>3</v>
      </c>
    </row>
    <row r="410" spans="2:6" x14ac:dyDescent="0.2">
      <c r="B410" t="s">
        <v>3809</v>
      </c>
      <c r="C410" t="s">
        <v>3810</v>
      </c>
      <c r="D410">
        <v>7</v>
      </c>
      <c r="E410" t="s">
        <v>3811</v>
      </c>
      <c r="F410">
        <v>3</v>
      </c>
    </row>
    <row r="411" spans="2:6" x14ac:dyDescent="0.2">
      <c r="B411" t="s">
        <v>3812</v>
      </c>
      <c r="C411" t="s">
        <v>3813</v>
      </c>
      <c r="D411">
        <v>7</v>
      </c>
      <c r="E411" t="s">
        <v>3814</v>
      </c>
      <c r="F411">
        <v>1</v>
      </c>
    </row>
    <row r="412" spans="2:6" x14ac:dyDescent="0.2">
      <c r="B412" t="s">
        <v>3815</v>
      </c>
      <c r="C412" t="s">
        <v>3816</v>
      </c>
      <c r="D412">
        <v>7</v>
      </c>
      <c r="E412" t="s">
        <v>3817</v>
      </c>
      <c r="F412">
        <v>1</v>
      </c>
    </row>
    <row r="413" spans="2:6" x14ac:dyDescent="0.2">
      <c r="B413" t="s">
        <v>3818</v>
      </c>
      <c r="C413" t="s">
        <v>3819</v>
      </c>
      <c r="D413">
        <v>7</v>
      </c>
      <c r="E413" t="s">
        <v>3820</v>
      </c>
      <c r="F413">
        <v>1</v>
      </c>
    </row>
    <row r="414" spans="2:6" x14ac:dyDescent="0.2">
      <c r="B414" t="s">
        <v>1653</v>
      </c>
      <c r="C414" t="s">
        <v>3821</v>
      </c>
      <c r="D414">
        <v>7</v>
      </c>
      <c r="E414" t="s">
        <v>3031</v>
      </c>
      <c r="F414">
        <v>3</v>
      </c>
    </row>
    <row r="415" spans="2:6" x14ac:dyDescent="0.2">
      <c r="B415" t="s">
        <v>2038</v>
      </c>
      <c r="C415" t="s">
        <v>3822</v>
      </c>
      <c r="D415">
        <v>7</v>
      </c>
      <c r="E415" t="s">
        <v>3213</v>
      </c>
      <c r="F415">
        <v>1</v>
      </c>
    </row>
    <row r="416" spans="2:6" x14ac:dyDescent="0.2">
      <c r="B416" t="s">
        <v>1829</v>
      </c>
      <c r="C416" t="s">
        <v>3823</v>
      </c>
      <c r="D416">
        <v>7</v>
      </c>
      <c r="E416" t="s">
        <v>3824</v>
      </c>
      <c r="F416">
        <v>4</v>
      </c>
    </row>
    <row r="417" spans="2:6" x14ac:dyDescent="0.2">
      <c r="B417" t="s">
        <v>3825</v>
      </c>
      <c r="C417" t="s">
        <v>3826</v>
      </c>
      <c r="D417">
        <v>7</v>
      </c>
      <c r="E417" t="s">
        <v>2836</v>
      </c>
      <c r="F417">
        <v>2</v>
      </c>
    </row>
    <row r="418" spans="2:6" x14ac:dyDescent="0.2">
      <c r="B418" t="s">
        <v>3827</v>
      </c>
      <c r="C418" t="s">
        <v>3828</v>
      </c>
      <c r="D418">
        <v>7</v>
      </c>
      <c r="E418" t="s">
        <v>3829</v>
      </c>
      <c r="F418">
        <v>2</v>
      </c>
    </row>
    <row r="419" spans="2:6" x14ac:dyDescent="0.2">
      <c r="B419" t="s">
        <v>3830</v>
      </c>
      <c r="C419" t="s">
        <v>3831</v>
      </c>
      <c r="D419">
        <v>7</v>
      </c>
      <c r="E419" t="s">
        <v>3291</v>
      </c>
      <c r="F419">
        <v>90</v>
      </c>
    </row>
    <row r="420" spans="2:6" x14ac:dyDescent="0.2">
      <c r="B420" t="s">
        <v>3832</v>
      </c>
      <c r="C420" t="s">
        <v>3833</v>
      </c>
      <c r="D420">
        <v>7</v>
      </c>
      <c r="E420" t="s">
        <v>3213</v>
      </c>
      <c r="F420">
        <v>1</v>
      </c>
    </row>
    <row r="421" spans="2:6" x14ac:dyDescent="0.2">
      <c r="B421" t="s">
        <v>3834</v>
      </c>
      <c r="C421" t="s">
        <v>3835</v>
      </c>
      <c r="D421">
        <v>7</v>
      </c>
      <c r="E421" t="s">
        <v>3836</v>
      </c>
      <c r="F421">
        <v>1</v>
      </c>
    </row>
    <row r="422" spans="2:6" x14ac:dyDescent="0.2">
      <c r="B422" t="s">
        <v>551</v>
      </c>
      <c r="C422" t="s">
        <v>3837</v>
      </c>
      <c r="D422">
        <v>7</v>
      </c>
      <c r="E422" t="s">
        <v>3773</v>
      </c>
      <c r="F422">
        <v>1</v>
      </c>
    </row>
    <row r="423" spans="2:6" x14ac:dyDescent="0.2">
      <c r="B423" t="s">
        <v>1074</v>
      </c>
      <c r="C423" t="s">
        <v>3838</v>
      </c>
      <c r="D423">
        <v>7</v>
      </c>
      <c r="E423" t="s">
        <v>3839</v>
      </c>
      <c r="F423">
        <v>1</v>
      </c>
    </row>
    <row r="424" spans="2:6" x14ac:dyDescent="0.2">
      <c r="B424" t="s">
        <v>231</v>
      </c>
      <c r="C424" t="s">
        <v>3840</v>
      </c>
      <c r="D424">
        <v>7</v>
      </c>
      <c r="E424" t="s">
        <v>3841</v>
      </c>
      <c r="F424">
        <v>7</v>
      </c>
    </row>
    <row r="425" spans="2:6" x14ac:dyDescent="0.2">
      <c r="B425" t="s">
        <v>3842</v>
      </c>
      <c r="C425" t="s">
        <v>3843</v>
      </c>
      <c r="D425">
        <v>7</v>
      </c>
      <c r="E425" t="s">
        <v>3844</v>
      </c>
      <c r="F425">
        <v>1</v>
      </c>
    </row>
    <row r="426" spans="2:6" x14ac:dyDescent="0.2">
      <c r="B426" t="s">
        <v>1795</v>
      </c>
      <c r="C426" t="s">
        <v>3845</v>
      </c>
      <c r="D426">
        <v>7</v>
      </c>
      <c r="E426" t="s">
        <v>3846</v>
      </c>
      <c r="F426">
        <v>1</v>
      </c>
    </row>
    <row r="427" spans="2:6" x14ac:dyDescent="0.2">
      <c r="B427" t="s">
        <v>3847</v>
      </c>
      <c r="C427" t="s">
        <v>3848</v>
      </c>
      <c r="D427">
        <v>7</v>
      </c>
      <c r="E427" t="s">
        <v>2811</v>
      </c>
      <c r="F427">
        <v>3</v>
      </c>
    </row>
    <row r="428" spans="2:6" x14ac:dyDescent="0.2">
      <c r="B428" t="s">
        <v>3849</v>
      </c>
      <c r="C428" t="s">
        <v>3850</v>
      </c>
      <c r="D428">
        <v>7</v>
      </c>
      <c r="E428" t="s">
        <v>3621</v>
      </c>
      <c r="F428">
        <v>2</v>
      </c>
    </row>
    <row r="429" spans="2:6" x14ac:dyDescent="0.2">
      <c r="B429" t="s">
        <v>3851</v>
      </c>
      <c r="C429" t="s">
        <v>3852</v>
      </c>
      <c r="D429">
        <v>7</v>
      </c>
      <c r="E429" t="s">
        <v>2921</v>
      </c>
      <c r="F429">
        <v>3</v>
      </c>
    </row>
    <row r="430" spans="2:6" x14ac:dyDescent="0.2">
      <c r="B430" t="s">
        <v>3853</v>
      </c>
      <c r="C430" t="s">
        <v>3854</v>
      </c>
      <c r="D430">
        <v>7</v>
      </c>
      <c r="E430" t="s">
        <v>2915</v>
      </c>
      <c r="F430">
        <v>1</v>
      </c>
    </row>
    <row r="431" spans="2:6" x14ac:dyDescent="0.2">
      <c r="B431" t="s">
        <v>3855</v>
      </c>
      <c r="C431" t="s">
        <v>3856</v>
      </c>
      <c r="D431">
        <v>7</v>
      </c>
      <c r="E431" t="s">
        <v>3402</v>
      </c>
      <c r="F431">
        <v>2</v>
      </c>
    </row>
    <row r="432" spans="2:6" x14ac:dyDescent="0.2">
      <c r="B432" t="s">
        <v>717</v>
      </c>
      <c r="C432" t="s">
        <v>3857</v>
      </c>
      <c r="D432">
        <v>7</v>
      </c>
      <c r="E432" t="s">
        <v>3858</v>
      </c>
      <c r="F432">
        <v>8</v>
      </c>
    </row>
    <row r="433" spans="2:6" x14ac:dyDescent="0.2">
      <c r="B433" t="s">
        <v>3859</v>
      </c>
      <c r="C433" t="s">
        <v>3860</v>
      </c>
      <c r="D433">
        <v>7</v>
      </c>
      <c r="E433" t="s">
        <v>3053</v>
      </c>
      <c r="F433">
        <v>2</v>
      </c>
    </row>
    <row r="434" spans="2:6" x14ac:dyDescent="0.2">
      <c r="B434" t="s">
        <v>3861</v>
      </c>
      <c r="C434" t="s">
        <v>3862</v>
      </c>
      <c r="D434">
        <v>7</v>
      </c>
      <c r="E434" t="s">
        <v>3281</v>
      </c>
      <c r="F434">
        <v>2</v>
      </c>
    </row>
    <row r="435" spans="2:6" x14ac:dyDescent="0.2">
      <c r="B435" t="s">
        <v>3863</v>
      </c>
      <c r="C435" t="s">
        <v>3864</v>
      </c>
      <c r="D435">
        <v>7</v>
      </c>
      <c r="E435" t="s">
        <v>3865</v>
      </c>
      <c r="F435">
        <v>1</v>
      </c>
    </row>
    <row r="436" spans="2:6" x14ac:dyDescent="0.2">
      <c r="B436" t="s">
        <v>3866</v>
      </c>
      <c r="C436" t="s">
        <v>3867</v>
      </c>
      <c r="D436">
        <v>7</v>
      </c>
      <c r="E436" t="s">
        <v>3820</v>
      </c>
      <c r="F436">
        <v>3</v>
      </c>
    </row>
    <row r="437" spans="2:6" x14ac:dyDescent="0.2">
      <c r="B437" t="s">
        <v>3868</v>
      </c>
      <c r="C437" t="s">
        <v>3869</v>
      </c>
      <c r="D437">
        <v>7</v>
      </c>
      <c r="E437" t="s">
        <v>3688</v>
      </c>
      <c r="F437">
        <v>1</v>
      </c>
    </row>
    <row r="438" spans="2:6" x14ac:dyDescent="0.2">
      <c r="B438" t="s">
        <v>3870</v>
      </c>
      <c r="C438" t="s">
        <v>3871</v>
      </c>
      <c r="D438">
        <v>7</v>
      </c>
      <c r="E438" t="s">
        <v>2918</v>
      </c>
      <c r="F438">
        <v>13</v>
      </c>
    </row>
    <row r="439" spans="2:6" x14ac:dyDescent="0.2">
      <c r="B439" t="s">
        <v>3872</v>
      </c>
      <c r="C439" t="s">
        <v>3873</v>
      </c>
      <c r="D439">
        <v>7</v>
      </c>
      <c r="E439" t="s">
        <v>3335</v>
      </c>
      <c r="F439">
        <v>1</v>
      </c>
    </row>
    <row r="440" spans="2:6" x14ac:dyDescent="0.2">
      <c r="B440" t="s">
        <v>3874</v>
      </c>
      <c r="C440" t="s">
        <v>3875</v>
      </c>
      <c r="D440">
        <v>7</v>
      </c>
      <c r="E440" t="s">
        <v>3036</v>
      </c>
      <c r="F440">
        <v>1</v>
      </c>
    </row>
    <row r="441" spans="2:6" x14ac:dyDescent="0.2">
      <c r="B441" t="s">
        <v>3876</v>
      </c>
      <c r="C441" t="s">
        <v>3877</v>
      </c>
      <c r="D441">
        <v>7</v>
      </c>
      <c r="E441" t="s">
        <v>3688</v>
      </c>
      <c r="F441">
        <v>1</v>
      </c>
    </row>
    <row r="442" spans="2:6" x14ac:dyDescent="0.2">
      <c r="B442" t="s">
        <v>3878</v>
      </c>
      <c r="C442" t="s">
        <v>3879</v>
      </c>
      <c r="D442">
        <v>7</v>
      </c>
      <c r="E442" t="s">
        <v>3880</v>
      </c>
      <c r="F442">
        <v>2</v>
      </c>
    </row>
    <row r="443" spans="2:6" x14ac:dyDescent="0.2">
      <c r="B443" t="s">
        <v>3881</v>
      </c>
      <c r="C443" t="s">
        <v>3882</v>
      </c>
      <c r="D443">
        <v>7</v>
      </c>
      <c r="E443" t="s">
        <v>3883</v>
      </c>
      <c r="F443">
        <v>1</v>
      </c>
    </row>
    <row r="444" spans="2:6" x14ac:dyDescent="0.2">
      <c r="B444">
        <v>2122429</v>
      </c>
      <c r="C444" t="s">
        <v>3884</v>
      </c>
      <c r="D444">
        <v>7</v>
      </c>
      <c r="E444" t="s">
        <v>3095</v>
      </c>
      <c r="F444">
        <v>24</v>
      </c>
    </row>
    <row r="445" spans="2:6" x14ac:dyDescent="0.2">
      <c r="B445">
        <v>2122775</v>
      </c>
      <c r="C445" t="s">
        <v>3885</v>
      </c>
      <c r="D445">
        <v>7</v>
      </c>
      <c r="E445" t="s">
        <v>2974</v>
      </c>
      <c r="F445">
        <v>6</v>
      </c>
    </row>
    <row r="446" spans="2:6" x14ac:dyDescent="0.2">
      <c r="B446" t="s">
        <v>3886</v>
      </c>
      <c r="C446" t="s">
        <v>3887</v>
      </c>
      <c r="D446">
        <v>7</v>
      </c>
      <c r="E446" t="s">
        <v>3742</v>
      </c>
      <c r="F446">
        <v>4</v>
      </c>
    </row>
    <row r="447" spans="2:6" x14ac:dyDescent="0.2">
      <c r="B447" t="s">
        <v>3888</v>
      </c>
      <c r="C447" t="s">
        <v>3889</v>
      </c>
      <c r="D447">
        <v>7</v>
      </c>
      <c r="E447" t="s">
        <v>3890</v>
      </c>
      <c r="F447">
        <v>4</v>
      </c>
    </row>
    <row r="448" spans="2:6" x14ac:dyDescent="0.2">
      <c r="B448" t="s">
        <v>3891</v>
      </c>
      <c r="C448" t="s">
        <v>3892</v>
      </c>
      <c r="D448">
        <v>7</v>
      </c>
      <c r="E448" t="s">
        <v>3893</v>
      </c>
      <c r="F448">
        <v>4</v>
      </c>
    </row>
    <row r="449" spans="2:6" x14ac:dyDescent="0.2">
      <c r="B449" t="s">
        <v>3894</v>
      </c>
      <c r="C449" t="s">
        <v>3895</v>
      </c>
      <c r="D449">
        <v>7</v>
      </c>
      <c r="E449" t="s">
        <v>3896</v>
      </c>
      <c r="F449">
        <v>32</v>
      </c>
    </row>
    <row r="450" spans="2:6" x14ac:dyDescent="0.2">
      <c r="B450" t="s">
        <v>3897</v>
      </c>
      <c r="C450" t="s">
        <v>3898</v>
      </c>
      <c r="D450">
        <v>7</v>
      </c>
      <c r="E450" t="s">
        <v>2830</v>
      </c>
      <c r="F450">
        <v>4</v>
      </c>
    </row>
    <row r="451" spans="2:6" x14ac:dyDescent="0.2">
      <c r="B451" t="s">
        <v>3899</v>
      </c>
      <c r="C451" t="s">
        <v>3900</v>
      </c>
      <c r="D451">
        <v>7</v>
      </c>
      <c r="E451" t="s">
        <v>3901</v>
      </c>
      <c r="F451">
        <v>3</v>
      </c>
    </row>
    <row r="452" spans="2:6" x14ac:dyDescent="0.2">
      <c r="B452" t="s">
        <v>3902</v>
      </c>
      <c r="C452" t="s">
        <v>3903</v>
      </c>
      <c r="D452">
        <v>7</v>
      </c>
      <c r="E452" t="s">
        <v>3904</v>
      </c>
      <c r="F452">
        <v>4</v>
      </c>
    </row>
    <row r="453" spans="2:6" x14ac:dyDescent="0.2">
      <c r="B453" t="s">
        <v>1372</v>
      </c>
      <c r="C453" t="s">
        <v>3905</v>
      </c>
      <c r="D453">
        <v>7</v>
      </c>
      <c r="E453" t="s">
        <v>3906</v>
      </c>
      <c r="F453">
        <v>3</v>
      </c>
    </row>
    <row r="454" spans="2:6" x14ac:dyDescent="0.2">
      <c r="B454" t="s">
        <v>3907</v>
      </c>
      <c r="C454" t="s">
        <v>3908</v>
      </c>
      <c r="D454">
        <v>7</v>
      </c>
      <c r="E454" t="s">
        <v>3909</v>
      </c>
      <c r="F454">
        <v>4</v>
      </c>
    </row>
    <row r="455" spans="2:6" x14ac:dyDescent="0.2">
      <c r="B455" t="s">
        <v>3910</v>
      </c>
      <c r="C455" t="s">
        <v>3911</v>
      </c>
      <c r="D455">
        <v>7</v>
      </c>
      <c r="E455" t="s">
        <v>3912</v>
      </c>
      <c r="F455">
        <v>1</v>
      </c>
    </row>
    <row r="456" spans="2:6" x14ac:dyDescent="0.2">
      <c r="B456" t="s">
        <v>3913</v>
      </c>
      <c r="C456" t="s">
        <v>3914</v>
      </c>
      <c r="D456">
        <v>7</v>
      </c>
      <c r="E456" t="s">
        <v>3250</v>
      </c>
      <c r="F456">
        <v>1</v>
      </c>
    </row>
    <row r="457" spans="2:6" x14ac:dyDescent="0.2">
      <c r="B457" t="s">
        <v>3915</v>
      </c>
      <c r="C457" t="s">
        <v>3916</v>
      </c>
      <c r="D457">
        <v>7</v>
      </c>
      <c r="E457" t="s">
        <v>2930</v>
      </c>
      <c r="F457">
        <v>2</v>
      </c>
    </row>
    <row r="458" spans="2:6" x14ac:dyDescent="0.2">
      <c r="B458" t="s">
        <v>3917</v>
      </c>
      <c r="C458" t="s">
        <v>3918</v>
      </c>
      <c r="D458">
        <v>7</v>
      </c>
      <c r="E458" t="s">
        <v>3455</v>
      </c>
      <c r="F458">
        <v>1</v>
      </c>
    </row>
    <row r="459" spans="2:6" x14ac:dyDescent="0.2">
      <c r="B459" t="s">
        <v>3919</v>
      </c>
      <c r="C459" t="s">
        <v>3920</v>
      </c>
      <c r="D459">
        <v>7</v>
      </c>
      <c r="E459" t="s">
        <v>3921</v>
      </c>
      <c r="F459">
        <v>1</v>
      </c>
    </row>
    <row r="460" spans="2:6" x14ac:dyDescent="0.2">
      <c r="B460" t="s">
        <v>3922</v>
      </c>
      <c r="C460" t="s">
        <v>3923</v>
      </c>
      <c r="D460">
        <v>7</v>
      </c>
      <c r="E460" t="s">
        <v>3089</v>
      </c>
      <c r="F460">
        <v>7</v>
      </c>
    </row>
    <row r="461" spans="2:6" x14ac:dyDescent="0.2">
      <c r="B461" t="s">
        <v>3924</v>
      </c>
      <c r="C461" t="s">
        <v>3925</v>
      </c>
      <c r="D461">
        <v>7</v>
      </c>
      <c r="E461" t="s">
        <v>3071</v>
      </c>
      <c r="F461">
        <v>30</v>
      </c>
    </row>
    <row r="462" spans="2:6" x14ac:dyDescent="0.2">
      <c r="B462" t="s">
        <v>1992</v>
      </c>
      <c r="C462" t="s">
        <v>3926</v>
      </c>
      <c r="D462">
        <v>7</v>
      </c>
      <c r="E462" t="s">
        <v>2889</v>
      </c>
      <c r="F462">
        <v>2</v>
      </c>
    </row>
    <row r="463" spans="2:6" x14ac:dyDescent="0.2">
      <c r="B463" t="s">
        <v>3927</v>
      </c>
      <c r="C463" t="s">
        <v>3928</v>
      </c>
      <c r="D463">
        <v>7</v>
      </c>
      <c r="E463" t="s">
        <v>3929</v>
      </c>
      <c r="F463">
        <v>1</v>
      </c>
    </row>
    <row r="464" spans="2:6" x14ac:dyDescent="0.2">
      <c r="B464" t="s">
        <v>3930</v>
      </c>
      <c r="C464" t="s">
        <v>3931</v>
      </c>
      <c r="D464">
        <v>7</v>
      </c>
      <c r="E464" t="s">
        <v>2802</v>
      </c>
      <c r="F464">
        <v>1</v>
      </c>
    </row>
    <row r="465" spans="2:6" x14ac:dyDescent="0.2">
      <c r="B465">
        <v>2110191</v>
      </c>
      <c r="C465" t="s">
        <v>3932</v>
      </c>
      <c r="D465">
        <v>7</v>
      </c>
      <c r="E465" t="s">
        <v>3933</v>
      </c>
      <c r="F465">
        <v>30</v>
      </c>
    </row>
    <row r="466" spans="2:6" x14ac:dyDescent="0.2">
      <c r="B466" t="s">
        <v>3934</v>
      </c>
      <c r="C466" t="s">
        <v>3935</v>
      </c>
      <c r="D466">
        <v>7</v>
      </c>
      <c r="E466" t="s">
        <v>2918</v>
      </c>
      <c r="F466">
        <v>9</v>
      </c>
    </row>
    <row r="467" spans="2:6" x14ac:dyDescent="0.2">
      <c r="B467" t="s">
        <v>3936</v>
      </c>
      <c r="C467" t="s">
        <v>3887</v>
      </c>
      <c r="D467">
        <v>7</v>
      </c>
      <c r="E467" t="s">
        <v>3109</v>
      </c>
      <c r="F467">
        <v>2</v>
      </c>
    </row>
    <row r="468" spans="2:6" x14ac:dyDescent="0.2">
      <c r="B468" t="s">
        <v>3937</v>
      </c>
      <c r="C468" t="s">
        <v>3938</v>
      </c>
      <c r="D468">
        <v>7</v>
      </c>
      <c r="E468" t="s">
        <v>3939</v>
      </c>
      <c r="F468">
        <v>5</v>
      </c>
    </row>
    <row r="469" spans="2:6" x14ac:dyDescent="0.2">
      <c r="B469" t="s">
        <v>3940</v>
      </c>
      <c r="C469" t="s">
        <v>3941</v>
      </c>
      <c r="D469">
        <v>7</v>
      </c>
      <c r="E469" t="s">
        <v>3688</v>
      </c>
      <c r="F469">
        <v>1</v>
      </c>
    </row>
    <row r="470" spans="2:6" x14ac:dyDescent="0.2">
      <c r="B470" t="s">
        <v>3942</v>
      </c>
      <c r="C470" t="s">
        <v>3943</v>
      </c>
      <c r="D470">
        <v>7</v>
      </c>
      <c r="E470" t="s">
        <v>3036</v>
      </c>
      <c r="F470">
        <v>2</v>
      </c>
    </row>
    <row r="471" spans="2:6" x14ac:dyDescent="0.2">
      <c r="B471" t="s">
        <v>3944</v>
      </c>
      <c r="C471" t="s">
        <v>3945</v>
      </c>
      <c r="D471">
        <v>7</v>
      </c>
      <c r="E471" t="s">
        <v>3946</v>
      </c>
      <c r="F471">
        <v>3</v>
      </c>
    </row>
    <row r="472" spans="2:6" x14ac:dyDescent="0.2">
      <c r="B472" t="s">
        <v>446</v>
      </c>
      <c r="C472" t="s">
        <v>3947</v>
      </c>
      <c r="D472">
        <v>7</v>
      </c>
      <c r="E472" t="s">
        <v>3628</v>
      </c>
      <c r="F472">
        <v>1</v>
      </c>
    </row>
    <row r="473" spans="2:6" x14ac:dyDescent="0.2">
      <c r="B473" t="s">
        <v>3948</v>
      </c>
      <c r="C473" t="s">
        <v>3949</v>
      </c>
      <c r="D473">
        <v>7</v>
      </c>
      <c r="E473" t="s">
        <v>3532</v>
      </c>
      <c r="F473">
        <v>4</v>
      </c>
    </row>
    <row r="474" spans="2:6" x14ac:dyDescent="0.2">
      <c r="B474" t="s">
        <v>3950</v>
      </c>
      <c r="C474" t="s">
        <v>3951</v>
      </c>
      <c r="D474">
        <v>7</v>
      </c>
      <c r="E474" t="s">
        <v>3952</v>
      </c>
      <c r="F474">
        <v>9</v>
      </c>
    </row>
    <row r="475" spans="2:6" x14ac:dyDescent="0.2">
      <c r="B475" t="s">
        <v>3953</v>
      </c>
      <c r="C475" t="s">
        <v>3954</v>
      </c>
      <c r="D475">
        <v>7</v>
      </c>
      <c r="E475" t="s">
        <v>3955</v>
      </c>
      <c r="F475">
        <v>1</v>
      </c>
    </row>
    <row r="476" spans="2:6" x14ac:dyDescent="0.2">
      <c r="B476" t="s">
        <v>1057</v>
      </c>
      <c r="C476" t="s">
        <v>3956</v>
      </c>
      <c r="D476">
        <v>7</v>
      </c>
      <c r="E476" t="s">
        <v>3957</v>
      </c>
      <c r="F476">
        <v>1</v>
      </c>
    </row>
    <row r="477" spans="2:6" x14ac:dyDescent="0.2">
      <c r="B477" t="s">
        <v>3958</v>
      </c>
      <c r="C477" t="s">
        <v>3959</v>
      </c>
      <c r="D477">
        <v>7</v>
      </c>
      <c r="E477" t="s">
        <v>3960</v>
      </c>
      <c r="F477">
        <v>1</v>
      </c>
    </row>
    <row r="478" spans="2:6" x14ac:dyDescent="0.2">
      <c r="B478" t="s">
        <v>3961</v>
      </c>
      <c r="C478" t="s">
        <v>3962</v>
      </c>
      <c r="D478">
        <v>7</v>
      </c>
      <c r="E478" t="s">
        <v>3963</v>
      </c>
      <c r="F478">
        <v>9</v>
      </c>
    </row>
    <row r="479" spans="2:6" x14ac:dyDescent="0.2">
      <c r="B479" t="s">
        <v>3964</v>
      </c>
      <c r="C479" t="s">
        <v>3965</v>
      </c>
      <c r="D479">
        <v>7</v>
      </c>
      <c r="E479" t="s">
        <v>3966</v>
      </c>
      <c r="F479">
        <v>8</v>
      </c>
    </row>
    <row r="480" spans="2:6" x14ac:dyDescent="0.2">
      <c r="B480" t="s">
        <v>3967</v>
      </c>
      <c r="C480" t="s">
        <v>3968</v>
      </c>
      <c r="D480">
        <v>7</v>
      </c>
      <c r="E480" t="s">
        <v>3969</v>
      </c>
      <c r="F480">
        <v>12</v>
      </c>
    </row>
    <row r="481" spans="2:6" x14ac:dyDescent="0.2">
      <c r="B481" t="s">
        <v>683</v>
      </c>
      <c r="C481" t="s">
        <v>682</v>
      </c>
      <c r="D481">
        <v>7</v>
      </c>
      <c r="E481" t="s">
        <v>3092</v>
      </c>
      <c r="F481">
        <v>37</v>
      </c>
    </row>
    <row r="482" spans="2:6" x14ac:dyDescent="0.2">
      <c r="B482" t="s">
        <v>3970</v>
      </c>
      <c r="C482" t="s">
        <v>3971</v>
      </c>
      <c r="D482">
        <v>7</v>
      </c>
      <c r="E482" t="s">
        <v>3162</v>
      </c>
      <c r="F482">
        <v>1</v>
      </c>
    </row>
    <row r="483" spans="2:6" x14ac:dyDescent="0.2">
      <c r="B483" t="s">
        <v>3972</v>
      </c>
      <c r="C483" t="s">
        <v>3973</v>
      </c>
      <c r="D483">
        <v>7</v>
      </c>
      <c r="E483" t="s">
        <v>3933</v>
      </c>
      <c r="F483">
        <v>10</v>
      </c>
    </row>
    <row r="484" spans="2:6" x14ac:dyDescent="0.2">
      <c r="B484" t="s">
        <v>3974</v>
      </c>
      <c r="C484" t="s">
        <v>3975</v>
      </c>
      <c r="D484">
        <v>7</v>
      </c>
      <c r="E484" t="s">
        <v>3933</v>
      </c>
      <c r="F484">
        <v>8</v>
      </c>
    </row>
    <row r="485" spans="2:6" x14ac:dyDescent="0.2">
      <c r="B485" t="s">
        <v>3976</v>
      </c>
      <c r="C485" t="s">
        <v>3977</v>
      </c>
      <c r="D485">
        <v>7</v>
      </c>
      <c r="E485" t="s">
        <v>3084</v>
      </c>
      <c r="F485">
        <v>4</v>
      </c>
    </row>
    <row r="486" spans="2:6" x14ac:dyDescent="0.2">
      <c r="B486" t="s">
        <v>3978</v>
      </c>
      <c r="C486" t="s">
        <v>3979</v>
      </c>
      <c r="D486">
        <v>7</v>
      </c>
      <c r="E486" t="s">
        <v>3980</v>
      </c>
      <c r="F486">
        <v>1</v>
      </c>
    </row>
    <row r="487" spans="2:6" x14ac:dyDescent="0.2">
      <c r="B487" t="s">
        <v>3981</v>
      </c>
      <c r="C487" t="s">
        <v>3982</v>
      </c>
      <c r="D487">
        <v>7</v>
      </c>
      <c r="E487" t="s">
        <v>3113</v>
      </c>
      <c r="F487">
        <v>6</v>
      </c>
    </row>
    <row r="488" spans="2:6" x14ac:dyDescent="0.2">
      <c r="B488" t="s">
        <v>655</v>
      </c>
      <c r="C488" t="s">
        <v>3983</v>
      </c>
      <c r="D488">
        <v>7</v>
      </c>
      <c r="E488" t="s">
        <v>3984</v>
      </c>
      <c r="F488">
        <v>38</v>
      </c>
    </row>
    <row r="489" spans="2:6" x14ac:dyDescent="0.2">
      <c r="B489" t="s">
        <v>3985</v>
      </c>
      <c r="C489" t="s">
        <v>3986</v>
      </c>
      <c r="D489">
        <v>7</v>
      </c>
      <c r="E489" t="s">
        <v>3987</v>
      </c>
      <c r="F489">
        <v>12</v>
      </c>
    </row>
    <row r="490" spans="2:6" x14ac:dyDescent="0.2">
      <c r="B490" t="s">
        <v>3988</v>
      </c>
      <c r="C490" t="s">
        <v>3989</v>
      </c>
      <c r="D490">
        <v>7</v>
      </c>
      <c r="E490" t="s">
        <v>3109</v>
      </c>
      <c r="F490">
        <v>1</v>
      </c>
    </row>
    <row r="491" spans="2:6" x14ac:dyDescent="0.2">
      <c r="B491" t="s">
        <v>3990</v>
      </c>
      <c r="C491" t="s">
        <v>3991</v>
      </c>
      <c r="D491">
        <v>7</v>
      </c>
      <c r="E491" t="s">
        <v>2933</v>
      </c>
      <c r="F491">
        <v>3</v>
      </c>
    </row>
    <row r="492" spans="2:6" x14ac:dyDescent="0.2">
      <c r="B492" t="s">
        <v>3992</v>
      </c>
      <c r="C492" t="s">
        <v>3993</v>
      </c>
      <c r="D492">
        <v>7</v>
      </c>
      <c r="E492" t="s">
        <v>3994</v>
      </c>
      <c r="F492">
        <v>1</v>
      </c>
    </row>
    <row r="493" spans="2:6" x14ac:dyDescent="0.2">
      <c r="B493" t="s">
        <v>3995</v>
      </c>
      <c r="C493" t="s">
        <v>3996</v>
      </c>
      <c r="D493">
        <v>7</v>
      </c>
      <c r="E493" t="s">
        <v>2788</v>
      </c>
      <c r="F493">
        <v>2</v>
      </c>
    </row>
    <row r="494" spans="2:6" x14ac:dyDescent="0.2">
      <c r="B494" t="s">
        <v>3997</v>
      </c>
      <c r="C494" t="s">
        <v>3998</v>
      </c>
      <c r="D494">
        <v>7</v>
      </c>
      <c r="E494" t="s">
        <v>2830</v>
      </c>
      <c r="F494">
        <v>4</v>
      </c>
    </row>
    <row r="495" spans="2:6" x14ac:dyDescent="0.2">
      <c r="B495" t="s">
        <v>3999</v>
      </c>
      <c r="C495" t="s">
        <v>4000</v>
      </c>
      <c r="D495">
        <v>7</v>
      </c>
      <c r="E495" t="s">
        <v>4001</v>
      </c>
      <c r="F495">
        <v>2</v>
      </c>
    </row>
    <row r="496" spans="2:6" x14ac:dyDescent="0.2">
      <c r="B496" t="s">
        <v>4002</v>
      </c>
      <c r="C496" t="s">
        <v>4003</v>
      </c>
      <c r="D496">
        <v>7</v>
      </c>
      <c r="E496" t="s">
        <v>3067</v>
      </c>
      <c r="F496">
        <v>2</v>
      </c>
    </row>
    <row r="497" spans="2:6" x14ac:dyDescent="0.2">
      <c r="B497" t="s">
        <v>4004</v>
      </c>
      <c r="C497" t="s">
        <v>4005</v>
      </c>
      <c r="D497">
        <v>7</v>
      </c>
      <c r="E497" t="s">
        <v>4006</v>
      </c>
      <c r="F497">
        <v>9</v>
      </c>
    </row>
    <row r="498" spans="2:6" x14ac:dyDescent="0.2">
      <c r="B498" t="s">
        <v>4007</v>
      </c>
      <c r="C498" t="s">
        <v>4008</v>
      </c>
      <c r="D498">
        <v>7</v>
      </c>
      <c r="E498" t="s">
        <v>3901</v>
      </c>
      <c r="F498">
        <v>2</v>
      </c>
    </row>
    <row r="499" spans="2:6" x14ac:dyDescent="0.2">
      <c r="B499" t="s">
        <v>4009</v>
      </c>
      <c r="C499" t="s">
        <v>4010</v>
      </c>
      <c r="D499">
        <v>7</v>
      </c>
      <c r="E499" t="s">
        <v>4011</v>
      </c>
      <c r="F499">
        <v>3</v>
      </c>
    </row>
    <row r="500" spans="2:6" x14ac:dyDescent="0.2">
      <c r="B500" t="s">
        <v>4012</v>
      </c>
      <c r="C500" t="s">
        <v>4013</v>
      </c>
      <c r="D500">
        <v>7</v>
      </c>
      <c r="E500" t="s">
        <v>3067</v>
      </c>
      <c r="F500">
        <v>2</v>
      </c>
    </row>
    <row r="501" spans="2:6" x14ac:dyDescent="0.2">
      <c r="B501" t="s">
        <v>4014</v>
      </c>
      <c r="C501" t="s">
        <v>4015</v>
      </c>
      <c r="D501">
        <v>7</v>
      </c>
      <c r="E501" t="s">
        <v>3162</v>
      </c>
      <c r="F501">
        <v>1</v>
      </c>
    </row>
    <row r="502" spans="2:6" x14ac:dyDescent="0.2">
      <c r="B502" t="s">
        <v>4016</v>
      </c>
      <c r="C502" t="s">
        <v>4017</v>
      </c>
      <c r="D502">
        <v>7</v>
      </c>
      <c r="E502" t="s">
        <v>4018</v>
      </c>
      <c r="F502">
        <v>1</v>
      </c>
    </row>
    <row r="503" spans="2:6" x14ac:dyDescent="0.2">
      <c r="B503" t="s">
        <v>4019</v>
      </c>
      <c r="C503" t="s">
        <v>4020</v>
      </c>
      <c r="D503">
        <v>7</v>
      </c>
      <c r="E503" t="s">
        <v>4021</v>
      </c>
      <c r="F503">
        <v>3</v>
      </c>
    </row>
    <row r="504" spans="2:6" x14ac:dyDescent="0.2">
      <c r="B504" t="s">
        <v>4022</v>
      </c>
      <c r="C504" t="s">
        <v>4023</v>
      </c>
      <c r="D504">
        <v>7</v>
      </c>
      <c r="E504" t="s">
        <v>2921</v>
      </c>
      <c r="F504">
        <v>3</v>
      </c>
    </row>
    <row r="505" spans="2:6" x14ac:dyDescent="0.2">
      <c r="B505" t="s">
        <v>4024</v>
      </c>
      <c r="C505" t="s">
        <v>4025</v>
      </c>
      <c r="D505">
        <v>7</v>
      </c>
      <c r="E505" t="s">
        <v>3136</v>
      </c>
      <c r="F505">
        <v>2</v>
      </c>
    </row>
    <row r="506" spans="2:6" x14ac:dyDescent="0.2">
      <c r="B506" t="s">
        <v>4026</v>
      </c>
      <c r="C506" t="s">
        <v>4027</v>
      </c>
      <c r="D506">
        <v>7</v>
      </c>
      <c r="E506" t="s">
        <v>4028</v>
      </c>
      <c r="F506">
        <v>5</v>
      </c>
    </row>
    <row r="507" spans="2:6" x14ac:dyDescent="0.2">
      <c r="B507" t="s">
        <v>4029</v>
      </c>
      <c r="C507" t="s">
        <v>4030</v>
      </c>
      <c r="D507">
        <v>7</v>
      </c>
      <c r="E507" t="s">
        <v>3475</v>
      </c>
      <c r="F507">
        <v>1</v>
      </c>
    </row>
    <row r="508" spans="2:6" x14ac:dyDescent="0.2">
      <c r="B508" t="s">
        <v>4031</v>
      </c>
      <c r="C508" t="s">
        <v>4032</v>
      </c>
      <c r="D508">
        <v>7</v>
      </c>
      <c r="E508" t="s">
        <v>2785</v>
      </c>
      <c r="F508">
        <v>1</v>
      </c>
    </row>
    <row r="509" spans="2:6" x14ac:dyDescent="0.2">
      <c r="B509" t="s">
        <v>4033</v>
      </c>
      <c r="C509" t="s">
        <v>4034</v>
      </c>
      <c r="D509">
        <v>7</v>
      </c>
      <c r="E509" t="s">
        <v>4035</v>
      </c>
      <c r="F509">
        <v>1</v>
      </c>
    </row>
    <row r="510" spans="2:6" x14ac:dyDescent="0.2">
      <c r="B510" t="s">
        <v>4036</v>
      </c>
      <c r="C510" t="s">
        <v>4037</v>
      </c>
      <c r="D510">
        <v>7</v>
      </c>
      <c r="E510" t="s">
        <v>4038</v>
      </c>
      <c r="F510">
        <v>8</v>
      </c>
    </row>
    <row r="511" spans="2:6" x14ac:dyDescent="0.2">
      <c r="B511" t="s">
        <v>4039</v>
      </c>
      <c r="C511" t="s">
        <v>4040</v>
      </c>
      <c r="D511">
        <v>7</v>
      </c>
      <c r="E511" t="s">
        <v>2881</v>
      </c>
      <c r="F511">
        <v>1</v>
      </c>
    </row>
    <row r="512" spans="2:6" x14ac:dyDescent="0.2">
      <c r="B512" t="s">
        <v>4041</v>
      </c>
      <c r="C512" t="s">
        <v>4042</v>
      </c>
      <c r="D512">
        <v>7</v>
      </c>
      <c r="E512" t="s">
        <v>4043</v>
      </c>
      <c r="F512">
        <v>9</v>
      </c>
    </row>
    <row r="513" spans="2:6" x14ac:dyDescent="0.2">
      <c r="B513" t="s">
        <v>4044</v>
      </c>
      <c r="C513" t="s">
        <v>4045</v>
      </c>
      <c r="D513">
        <v>7</v>
      </c>
      <c r="E513" t="s">
        <v>2830</v>
      </c>
      <c r="F513">
        <v>1</v>
      </c>
    </row>
    <row r="514" spans="2:6" x14ac:dyDescent="0.2">
      <c r="B514" t="s">
        <v>4046</v>
      </c>
      <c r="C514" t="s">
        <v>4047</v>
      </c>
      <c r="D514">
        <v>7</v>
      </c>
      <c r="E514" t="s">
        <v>3455</v>
      </c>
      <c r="F514">
        <v>1</v>
      </c>
    </row>
    <row r="515" spans="2:6" x14ac:dyDescent="0.2">
      <c r="B515" t="s">
        <v>4048</v>
      </c>
      <c r="C515" t="s">
        <v>4049</v>
      </c>
      <c r="D515">
        <v>7</v>
      </c>
      <c r="E515" t="s">
        <v>4050</v>
      </c>
      <c r="F515">
        <v>3</v>
      </c>
    </row>
    <row r="516" spans="2:6" x14ac:dyDescent="0.2">
      <c r="B516" t="s">
        <v>4051</v>
      </c>
      <c r="C516" t="s">
        <v>3801</v>
      </c>
      <c r="D516">
        <v>7</v>
      </c>
      <c r="E516" t="s">
        <v>4052</v>
      </c>
      <c r="F516">
        <v>1</v>
      </c>
    </row>
    <row r="517" spans="2:6" x14ac:dyDescent="0.2">
      <c r="B517" t="s">
        <v>1822</v>
      </c>
      <c r="C517" t="s">
        <v>4053</v>
      </c>
      <c r="D517">
        <v>7</v>
      </c>
      <c r="E517" t="s">
        <v>2915</v>
      </c>
      <c r="F517">
        <v>1</v>
      </c>
    </row>
    <row r="518" spans="2:6" x14ac:dyDescent="0.2">
      <c r="B518" t="s">
        <v>4054</v>
      </c>
      <c r="C518" t="s">
        <v>4055</v>
      </c>
      <c r="D518">
        <v>7</v>
      </c>
      <c r="E518" t="s">
        <v>4056</v>
      </c>
      <c r="F518">
        <v>4</v>
      </c>
    </row>
    <row r="519" spans="2:6" x14ac:dyDescent="0.2">
      <c r="B519" t="s">
        <v>4057</v>
      </c>
      <c r="C519" t="s">
        <v>4058</v>
      </c>
      <c r="D519">
        <v>7</v>
      </c>
      <c r="E519" t="s">
        <v>4059</v>
      </c>
      <c r="F519">
        <v>2</v>
      </c>
    </row>
    <row r="520" spans="2:6" x14ac:dyDescent="0.2">
      <c r="B520" t="s">
        <v>4060</v>
      </c>
      <c r="C520" t="s">
        <v>4061</v>
      </c>
      <c r="D520">
        <v>7</v>
      </c>
      <c r="E520" t="s">
        <v>4062</v>
      </c>
      <c r="F520">
        <v>118</v>
      </c>
    </row>
    <row r="521" spans="2:6" x14ac:dyDescent="0.2">
      <c r="B521" t="s">
        <v>4063</v>
      </c>
      <c r="C521" t="s">
        <v>4064</v>
      </c>
      <c r="D521">
        <v>7</v>
      </c>
      <c r="E521" t="s">
        <v>4065</v>
      </c>
      <c r="F521">
        <v>1</v>
      </c>
    </row>
    <row r="522" spans="2:6" x14ac:dyDescent="0.2">
      <c r="B522" t="s">
        <v>4066</v>
      </c>
      <c r="C522" t="s">
        <v>4067</v>
      </c>
      <c r="D522">
        <v>7</v>
      </c>
      <c r="E522" t="s">
        <v>4068</v>
      </c>
      <c r="F522">
        <v>3</v>
      </c>
    </row>
    <row r="523" spans="2:6" x14ac:dyDescent="0.2">
      <c r="B523" t="s">
        <v>4069</v>
      </c>
      <c r="C523" t="s">
        <v>4070</v>
      </c>
      <c r="D523">
        <v>7</v>
      </c>
      <c r="E523" t="s">
        <v>2952</v>
      </c>
      <c r="F523">
        <v>1</v>
      </c>
    </row>
    <row r="524" spans="2:6" x14ac:dyDescent="0.2">
      <c r="B524" t="s">
        <v>4071</v>
      </c>
      <c r="C524" t="s">
        <v>4072</v>
      </c>
      <c r="D524">
        <v>7</v>
      </c>
      <c r="E524" t="s">
        <v>4073</v>
      </c>
      <c r="F524">
        <v>2</v>
      </c>
    </row>
    <row r="525" spans="2:6" x14ac:dyDescent="0.2">
      <c r="B525" t="s">
        <v>4074</v>
      </c>
      <c r="C525" t="s">
        <v>4075</v>
      </c>
      <c r="D525">
        <v>7</v>
      </c>
      <c r="E525" t="s">
        <v>4076</v>
      </c>
      <c r="F525">
        <v>1</v>
      </c>
    </row>
    <row r="526" spans="2:6" x14ac:dyDescent="0.2">
      <c r="B526" t="s">
        <v>4077</v>
      </c>
      <c r="C526" t="s">
        <v>4078</v>
      </c>
      <c r="D526">
        <v>7</v>
      </c>
      <c r="E526" t="s">
        <v>3031</v>
      </c>
      <c r="F526">
        <v>3</v>
      </c>
    </row>
    <row r="527" spans="2:6" x14ac:dyDescent="0.2">
      <c r="B527" t="s">
        <v>4079</v>
      </c>
      <c r="C527" t="s">
        <v>4080</v>
      </c>
      <c r="D527">
        <v>7</v>
      </c>
      <c r="E527" t="s">
        <v>4081</v>
      </c>
      <c r="F527">
        <v>1</v>
      </c>
    </row>
    <row r="528" spans="2:6" x14ac:dyDescent="0.2">
      <c r="B528" t="s">
        <v>4082</v>
      </c>
      <c r="C528" t="s">
        <v>4083</v>
      </c>
      <c r="D528">
        <v>7</v>
      </c>
      <c r="E528" t="s">
        <v>4084</v>
      </c>
      <c r="F528">
        <v>2</v>
      </c>
    </row>
    <row r="529" spans="2:6" x14ac:dyDescent="0.2">
      <c r="B529" t="s">
        <v>4085</v>
      </c>
      <c r="C529" t="s">
        <v>4086</v>
      </c>
      <c r="D529">
        <v>7</v>
      </c>
      <c r="E529" t="s">
        <v>3824</v>
      </c>
      <c r="F529">
        <v>1</v>
      </c>
    </row>
    <row r="530" spans="2:6" x14ac:dyDescent="0.2">
      <c r="B530" t="s">
        <v>4087</v>
      </c>
      <c r="C530" t="s">
        <v>4088</v>
      </c>
      <c r="D530">
        <v>7</v>
      </c>
      <c r="E530" t="s">
        <v>3084</v>
      </c>
      <c r="F530">
        <v>1</v>
      </c>
    </row>
    <row r="531" spans="2:6" x14ac:dyDescent="0.2">
      <c r="B531" t="s">
        <v>4089</v>
      </c>
      <c r="C531" t="s">
        <v>4090</v>
      </c>
      <c r="D531">
        <v>7</v>
      </c>
      <c r="E531" t="s">
        <v>3213</v>
      </c>
      <c r="F531">
        <v>1</v>
      </c>
    </row>
    <row r="532" spans="2:6" x14ac:dyDescent="0.2">
      <c r="B532" t="s">
        <v>4091</v>
      </c>
      <c r="C532" t="s">
        <v>4092</v>
      </c>
      <c r="D532">
        <v>7</v>
      </c>
      <c r="E532" t="s">
        <v>4093</v>
      </c>
      <c r="F532">
        <v>9</v>
      </c>
    </row>
    <row r="533" spans="2:6" x14ac:dyDescent="0.2">
      <c r="B533" t="s">
        <v>4094</v>
      </c>
      <c r="C533" t="s">
        <v>4095</v>
      </c>
      <c r="D533">
        <v>7</v>
      </c>
      <c r="E533" t="s">
        <v>4096</v>
      </c>
      <c r="F533">
        <v>3</v>
      </c>
    </row>
    <row r="534" spans="2:6" x14ac:dyDescent="0.2">
      <c r="B534" t="s">
        <v>4097</v>
      </c>
      <c r="C534" t="s">
        <v>4098</v>
      </c>
      <c r="D534">
        <v>7</v>
      </c>
      <c r="E534" t="s">
        <v>4081</v>
      </c>
      <c r="F534">
        <v>3</v>
      </c>
    </row>
    <row r="535" spans="2:6" x14ac:dyDescent="0.2">
      <c r="B535" t="s">
        <v>293</v>
      </c>
      <c r="C535" t="s">
        <v>4099</v>
      </c>
      <c r="D535">
        <v>7</v>
      </c>
      <c r="E535" t="s">
        <v>2915</v>
      </c>
      <c r="F535">
        <v>2</v>
      </c>
    </row>
    <row r="536" spans="2:6" x14ac:dyDescent="0.2">
      <c r="B536" t="s">
        <v>862</v>
      </c>
      <c r="C536" t="s">
        <v>4100</v>
      </c>
      <c r="D536">
        <v>7</v>
      </c>
      <c r="E536" t="s">
        <v>4101</v>
      </c>
      <c r="F536">
        <v>3</v>
      </c>
    </row>
    <row r="537" spans="2:6" x14ac:dyDescent="0.2">
      <c r="B537" t="s">
        <v>4102</v>
      </c>
      <c r="C537" t="s">
        <v>4103</v>
      </c>
      <c r="D537">
        <v>7</v>
      </c>
      <c r="E537" t="s">
        <v>4104</v>
      </c>
      <c r="F537">
        <v>2</v>
      </c>
    </row>
    <row r="538" spans="2:6" x14ac:dyDescent="0.2">
      <c r="B538" t="s">
        <v>4105</v>
      </c>
      <c r="C538" t="s">
        <v>4106</v>
      </c>
      <c r="D538">
        <v>7</v>
      </c>
      <c r="E538" t="s">
        <v>4107</v>
      </c>
      <c r="F538">
        <v>6</v>
      </c>
    </row>
    <row r="539" spans="2:6" x14ac:dyDescent="0.2">
      <c r="B539" t="s">
        <v>4108</v>
      </c>
      <c r="C539" t="s">
        <v>4109</v>
      </c>
      <c r="D539">
        <v>7</v>
      </c>
      <c r="E539" t="s">
        <v>3773</v>
      </c>
      <c r="F539">
        <v>6</v>
      </c>
    </row>
    <row r="540" spans="2:6" x14ac:dyDescent="0.2">
      <c r="B540" t="s">
        <v>4110</v>
      </c>
      <c r="C540" t="s">
        <v>4111</v>
      </c>
      <c r="D540">
        <v>7</v>
      </c>
      <c r="E540" t="s">
        <v>2805</v>
      </c>
      <c r="F540">
        <v>1</v>
      </c>
    </row>
    <row r="541" spans="2:6" x14ac:dyDescent="0.2">
      <c r="B541" t="s">
        <v>4112</v>
      </c>
      <c r="C541" t="s">
        <v>4113</v>
      </c>
      <c r="D541">
        <v>7</v>
      </c>
      <c r="E541" t="s">
        <v>3575</v>
      </c>
      <c r="F541">
        <v>1</v>
      </c>
    </row>
    <row r="542" spans="2:6" x14ac:dyDescent="0.2">
      <c r="B542" t="s">
        <v>4114</v>
      </c>
      <c r="C542" t="s">
        <v>4115</v>
      </c>
      <c r="D542">
        <v>7</v>
      </c>
      <c r="E542" t="s">
        <v>4116</v>
      </c>
      <c r="F542">
        <v>1</v>
      </c>
    </row>
    <row r="543" spans="2:6" x14ac:dyDescent="0.2">
      <c r="B543" t="s">
        <v>1621</v>
      </c>
      <c r="C543" t="s">
        <v>4117</v>
      </c>
      <c r="D543">
        <v>7</v>
      </c>
      <c r="E543" t="s">
        <v>3666</v>
      </c>
      <c r="F543">
        <v>7</v>
      </c>
    </row>
    <row r="544" spans="2:6" x14ac:dyDescent="0.2">
      <c r="B544" t="s">
        <v>4118</v>
      </c>
      <c r="C544" t="s">
        <v>4119</v>
      </c>
      <c r="D544">
        <v>7</v>
      </c>
      <c r="E544" t="s">
        <v>2969</v>
      </c>
      <c r="F544">
        <v>1</v>
      </c>
    </row>
    <row r="545" spans="2:6" x14ac:dyDescent="0.2">
      <c r="B545" t="s">
        <v>4120</v>
      </c>
      <c r="C545" t="s">
        <v>4121</v>
      </c>
      <c r="D545">
        <v>7</v>
      </c>
      <c r="E545" t="s">
        <v>4122</v>
      </c>
      <c r="F545">
        <v>1</v>
      </c>
    </row>
    <row r="546" spans="2:6" x14ac:dyDescent="0.2">
      <c r="B546" t="s">
        <v>4123</v>
      </c>
      <c r="C546" t="s">
        <v>4124</v>
      </c>
      <c r="D546">
        <v>7</v>
      </c>
      <c r="E546" t="s">
        <v>4125</v>
      </c>
      <c r="F546">
        <v>1</v>
      </c>
    </row>
    <row r="547" spans="2:6" x14ac:dyDescent="0.2">
      <c r="B547" t="s">
        <v>4126</v>
      </c>
      <c r="C547" t="s">
        <v>4127</v>
      </c>
      <c r="D547">
        <v>7</v>
      </c>
      <c r="E547" t="s">
        <v>3817</v>
      </c>
      <c r="F547">
        <v>1</v>
      </c>
    </row>
    <row r="548" spans="2:6" x14ac:dyDescent="0.2">
      <c r="B548" t="s">
        <v>4128</v>
      </c>
      <c r="C548" t="s">
        <v>4129</v>
      </c>
      <c r="D548">
        <v>7</v>
      </c>
      <c r="E548" t="s">
        <v>4130</v>
      </c>
      <c r="F548">
        <v>2</v>
      </c>
    </row>
    <row r="549" spans="2:6" x14ac:dyDescent="0.2">
      <c r="B549" t="s">
        <v>4131</v>
      </c>
      <c r="C549" t="s">
        <v>4132</v>
      </c>
      <c r="D549">
        <v>7</v>
      </c>
      <c r="E549" t="s">
        <v>4133</v>
      </c>
      <c r="F549">
        <v>9</v>
      </c>
    </row>
    <row r="550" spans="2:6" x14ac:dyDescent="0.2">
      <c r="B550" t="s">
        <v>4134</v>
      </c>
      <c r="C550" t="s">
        <v>3142</v>
      </c>
      <c r="D550">
        <v>7</v>
      </c>
      <c r="E550" t="s">
        <v>4135</v>
      </c>
      <c r="F550">
        <v>7</v>
      </c>
    </row>
    <row r="551" spans="2:6" x14ac:dyDescent="0.2">
      <c r="B551" t="s">
        <v>432</v>
      </c>
      <c r="C551" t="s">
        <v>4136</v>
      </c>
      <c r="D551">
        <v>7</v>
      </c>
      <c r="E551" t="s">
        <v>4137</v>
      </c>
      <c r="F551">
        <v>5</v>
      </c>
    </row>
    <row r="552" spans="2:6" x14ac:dyDescent="0.2">
      <c r="B552" t="s">
        <v>4138</v>
      </c>
      <c r="C552" t="s">
        <v>4139</v>
      </c>
      <c r="D552">
        <v>7</v>
      </c>
      <c r="E552" t="s">
        <v>2941</v>
      </c>
      <c r="F552">
        <v>1</v>
      </c>
    </row>
    <row r="553" spans="2:6" x14ac:dyDescent="0.2">
      <c r="B553" t="s">
        <v>523</v>
      </c>
      <c r="C553" t="s">
        <v>4140</v>
      </c>
      <c r="D553">
        <v>7</v>
      </c>
      <c r="E553" t="s">
        <v>4006</v>
      </c>
      <c r="F553">
        <v>2</v>
      </c>
    </row>
    <row r="554" spans="2:6" x14ac:dyDescent="0.2">
      <c r="B554" t="s">
        <v>4141</v>
      </c>
      <c r="C554" t="s">
        <v>4142</v>
      </c>
      <c r="D554">
        <v>7</v>
      </c>
      <c r="E554" t="s">
        <v>3162</v>
      </c>
      <c r="F554">
        <v>1</v>
      </c>
    </row>
    <row r="555" spans="2:6" x14ac:dyDescent="0.2">
      <c r="B555" t="s">
        <v>4143</v>
      </c>
      <c r="C555" t="s">
        <v>4144</v>
      </c>
      <c r="D555">
        <v>7</v>
      </c>
      <c r="E555" t="s">
        <v>3081</v>
      </c>
      <c r="F555">
        <v>1</v>
      </c>
    </row>
    <row r="556" spans="2:6" x14ac:dyDescent="0.2">
      <c r="B556" t="s">
        <v>4145</v>
      </c>
      <c r="C556" t="s">
        <v>4146</v>
      </c>
      <c r="D556">
        <v>7</v>
      </c>
      <c r="E556" t="s">
        <v>3597</v>
      </c>
      <c r="F556">
        <v>3</v>
      </c>
    </row>
    <row r="557" spans="2:6" x14ac:dyDescent="0.2">
      <c r="B557" t="s">
        <v>4147</v>
      </c>
      <c r="C557" t="s">
        <v>4148</v>
      </c>
      <c r="D557">
        <v>7</v>
      </c>
      <c r="E557" t="s">
        <v>3327</v>
      </c>
      <c r="F557">
        <v>3</v>
      </c>
    </row>
    <row r="558" spans="2:6" x14ac:dyDescent="0.2">
      <c r="B558" t="s">
        <v>4149</v>
      </c>
      <c r="C558" t="s">
        <v>4150</v>
      </c>
      <c r="D558">
        <v>7</v>
      </c>
      <c r="E558" t="s">
        <v>4151</v>
      </c>
      <c r="F558">
        <v>1</v>
      </c>
    </row>
    <row r="559" spans="2:6" x14ac:dyDescent="0.2">
      <c r="B559" t="s">
        <v>4152</v>
      </c>
      <c r="C559" t="s">
        <v>4153</v>
      </c>
      <c r="D559">
        <v>7</v>
      </c>
      <c r="E559" t="s">
        <v>2788</v>
      </c>
      <c r="F559">
        <v>1</v>
      </c>
    </row>
    <row r="560" spans="2:6" x14ac:dyDescent="0.2">
      <c r="B560" t="s">
        <v>905</v>
      </c>
      <c r="C560" t="s">
        <v>4154</v>
      </c>
      <c r="D560">
        <v>7</v>
      </c>
      <c r="E560" t="s">
        <v>3381</v>
      </c>
      <c r="F560">
        <v>3</v>
      </c>
    </row>
    <row r="561" spans="2:6" x14ac:dyDescent="0.2">
      <c r="B561" t="s">
        <v>4155</v>
      </c>
      <c r="C561" t="s">
        <v>4156</v>
      </c>
      <c r="D561">
        <v>7</v>
      </c>
      <c r="E561" t="s">
        <v>4157</v>
      </c>
      <c r="F561">
        <v>8</v>
      </c>
    </row>
    <row r="562" spans="2:6" x14ac:dyDescent="0.2">
      <c r="B562" t="s">
        <v>4158</v>
      </c>
      <c r="C562" t="s">
        <v>4159</v>
      </c>
      <c r="D562">
        <v>7</v>
      </c>
      <c r="E562" t="s">
        <v>3686</v>
      </c>
      <c r="F562">
        <v>2</v>
      </c>
    </row>
    <row r="563" spans="2:6" x14ac:dyDescent="0.2">
      <c r="B563" t="s">
        <v>4160</v>
      </c>
      <c r="C563" t="s">
        <v>4161</v>
      </c>
      <c r="D563">
        <v>7</v>
      </c>
      <c r="E563" t="s">
        <v>3466</v>
      </c>
      <c r="F563">
        <v>1</v>
      </c>
    </row>
    <row r="564" spans="2:6" x14ac:dyDescent="0.2">
      <c r="B564" t="s">
        <v>525</v>
      </c>
      <c r="C564" t="s">
        <v>4162</v>
      </c>
      <c r="D564">
        <v>7</v>
      </c>
      <c r="E564" t="s">
        <v>4163</v>
      </c>
      <c r="F564">
        <v>7</v>
      </c>
    </row>
    <row r="565" spans="2:6" x14ac:dyDescent="0.2">
      <c r="B565" t="s">
        <v>4164</v>
      </c>
      <c r="C565" t="s">
        <v>4165</v>
      </c>
      <c r="D565">
        <v>7</v>
      </c>
      <c r="E565" t="s">
        <v>4166</v>
      </c>
      <c r="F565">
        <v>1</v>
      </c>
    </row>
    <row r="566" spans="2:6" x14ac:dyDescent="0.2">
      <c r="B566" t="s">
        <v>4167</v>
      </c>
      <c r="C566" t="s">
        <v>4168</v>
      </c>
      <c r="D566">
        <v>7</v>
      </c>
      <c r="E566" t="s">
        <v>3713</v>
      </c>
      <c r="F566">
        <v>2</v>
      </c>
    </row>
    <row r="567" spans="2:6" x14ac:dyDescent="0.2">
      <c r="B567" t="s">
        <v>4169</v>
      </c>
      <c r="C567" t="s">
        <v>4170</v>
      </c>
      <c r="D567">
        <v>7</v>
      </c>
      <c r="E567" t="s">
        <v>2788</v>
      </c>
      <c r="F567">
        <v>1</v>
      </c>
    </row>
    <row r="568" spans="2:6" x14ac:dyDescent="0.2">
      <c r="B568" t="s">
        <v>4171</v>
      </c>
      <c r="C568" t="s">
        <v>4172</v>
      </c>
      <c r="D568">
        <v>7</v>
      </c>
      <c r="E568" t="s">
        <v>2941</v>
      </c>
      <c r="F568">
        <v>1</v>
      </c>
    </row>
    <row r="569" spans="2:6" x14ac:dyDescent="0.2">
      <c r="B569" t="s">
        <v>4173</v>
      </c>
      <c r="C569" t="s">
        <v>4174</v>
      </c>
      <c r="D569">
        <v>7</v>
      </c>
      <c r="E569" t="s">
        <v>3106</v>
      </c>
      <c r="F569">
        <v>1</v>
      </c>
    </row>
    <row r="570" spans="2:6" x14ac:dyDescent="0.2">
      <c r="B570" t="s">
        <v>4175</v>
      </c>
      <c r="C570" t="s">
        <v>4176</v>
      </c>
      <c r="D570">
        <v>7</v>
      </c>
      <c r="E570" t="s">
        <v>3742</v>
      </c>
      <c r="F570">
        <v>1</v>
      </c>
    </row>
    <row r="571" spans="2:6" x14ac:dyDescent="0.2">
      <c r="B571" t="s">
        <v>1528</v>
      </c>
      <c r="C571" t="s">
        <v>4177</v>
      </c>
      <c r="D571">
        <v>7</v>
      </c>
      <c r="E571" t="s">
        <v>2805</v>
      </c>
      <c r="F571">
        <v>2</v>
      </c>
    </row>
    <row r="572" spans="2:6" x14ac:dyDescent="0.2">
      <c r="B572" t="s">
        <v>4178</v>
      </c>
      <c r="C572" t="s">
        <v>4179</v>
      </c>
      <c r="D572">
        <v>7</v>
      </c>
      <c r="E572" t="s">
        <v>4180</v>
      </c>
      <c r="F572">
        <v>2</v>
      </c>
    </row>
    <row r="573" spans="2:6" x14ac:dyDescent="0.2">
      <c r="B573" t="s">
        <v>4181</v>
      </c>
      <c r="C573" t="s">
        <v>4182</v>
      </c>
      <c r="D573">
        <v>7</v>
      </c>
      <c r="E573" t="s">
        <v>2836</v>
      </c>
      <c r="F573">
        <v>9</v>
      </c>
    </row>
    <row r="574" spans="2:6" x14ac:dyDescent="0.2">
      <c r="B574" t="s">
        <v>4183</v>
      </c>
      <c r="C574" t="s">
        <v>4184</v>
      </c>
      <c r="D574">
        <v>7</v>
      </c>
      <c r="E574" t="s">
        <v>4185</v>
      </c>
      <c r="F574">
        <v>2</v>
      </c>
    </row>
    <row r="575" spans="2:6" x14ac:dyDescent="0.2">
      <c r="B575" t="s">
        <v>4186</v>
      </c>
      <c r="C575" t="s">
        <v>458</v>
      </c>
      <c r="D575">
        <v>7</v>
      </c>
      <c r="E575" t="s">
        <v>4187</v>
      </c>
      <c r="F575">
        <v>2</v>
      </c>
    </row>
    <row r="576" spans="2:6" x14ac:dyDescent="0.2">
      <c r="B576" t="s">
        <v>4188</v>
      </c>
      <c r="C576" t="s">
        <v>4189</v>
      </c>
      <c r="D576">
        <v>7</v>
      </c>
      <c r="E576" t="s">
        <v>2912</v>
      </c>
      <c r="F576">
        <v>1</v>
      </c>
    </row>
    <row r="577" spans="2:6" x14ac:dyDescent="0.2">
      <c r="B577" t="s">
        <v>4190</v>
      </c>
      <c r="C577" t="s">
        <v>4191</v>
      </c>
      <c r="D577">
        <v>7</v>
      </c>
      <c r="E577" t="s">
        <v>4192</v>
      </c>
      <c r="F577">
        <v>4</v>
      </c>
    </row>
    <row r="578" spans="2:6" x14ac:dyDescent="0.2">
      <c r="B578" t="s">
        <v>4193</v>
      </c>
      <c r="C578" t="s">
        <v>4194</v>
      </c>
      <c r="D578">
        <v>7</v>
      </c>
      <c r="E578" t="s">
        <v>4195</v>
      </c>
      <c r="F578">
        <v>1</v>
      </c>
    </row>
    <row r="579" spans="2:6" x14ac:dyDescent="0.2">
      <c r="B579" t="s">
        <v>4196</v>
      </c>
      <c r="C579" t="s">
        <v>4197</v>
      </c>
      <c r="D579">
        <v>7</v>
      </c>
      <c r="E579" t="s">
        <v>2985</v>
      </c>
      <c r="F579">
        <v>1</v>
      </c>
    </row>
    <row r="580" spans="2:6" x14ac:dyDescent="0.2">
      <c r="B580" t="s">
        <v>4198</v>
      </c>
      <c r="C580" t="s">
        <v>4199</v>
      </c>
      <c r="D580">
        <v>7</v>
      </c>
      <c r="E580" t="s">
        <v>4200</v>
      </c>
      <c r="F580">
        <v>1</v>
      </c>
    </row>
    <row r="581" spans="2:6" x14ac:dyDescent="0.2">
      <c r="B581" t="s">
        <v>4201</v>
      </c>
      <c r="C581" t="s">
        <v>4202</v>
      </c>
      <c r="D581">
        <v>7</v>
      </c>
      <c r="E581" t="s">
        <v>4203</v>
      </c>
      <c r="F581">
        <v>3</v>
      </c>
    </row>
    <row r="582" spans="2:6" x14ac:dyDescent="0.2">
      <c r="B582" t="s">
        <v>4204</v>
      </c>
      <c r="C582" t="s">
        <v>4205</v>
      </c>
      <c r="D582">
        <v>7</v>
      </c>
      <c r="E582" t="s">
        <v>2892</v>
      </c>
      <c r="F582">
        <v>6</v>
      </c>
    </row>
    <row r="583" spans="2:6" x14ac:dyDescent="0.2">
      <c r="B583" t="s">
        <v>4206</v>
      </c>
      <c r="C583" t="s">
        <v>4207</v>
      </c>
      <c r="D583">
        <v>7</v>
      </c>
      <c r="E583" t="s">
        <v>4208</v>
      </c>
      <c r="F583">
        <v>4</v>
      </c>
    </row>
    <row r="584" spans="2:6" x14ac:dyDescent="0.2">
      <c r="B584" t="s">
        <v>4209</v>
      </c>
      <c r="C584" t="s">
        <v>4210</v>
      </c>
      <c r="D584">
        <v>7</v>
      </c>
      <c r="E584" t="s">
        <v>3071</v>
      </c>
      <c r="F584">
        <v>4</v>
      </c>
    </row>
    <row r="585" spans="2:6" x14ac:dyDescent="0.2">
      <c r="B585" t="s">
        <v>4211</v>
      </c>
      <c r="C585" t="s">
        <v>4212</v>
      </c>
      <c r="D585">
        <v>7</v>
      </c>
      <c r="E585" t="s">
        <v>4213</v>
      </c>
      <c r="F585">
        <v>17</v>
      </c>
    </row>
    <row r="586" spans="2:6" x14ac:dyDescent="0.2">
      <c r="B586" t="s">
        <v>4214</v>
      </c>
      <c r="C586" t="s">
        <v>4215</v>
      </c>
      <c r="D586">
        <v>7</v>
      </c>
      <c r="E586" t="s">
        <v>4216</v>
      </c>
      <c r="F586">
        <v>6</v>
      </c>
    </row>
    <row r="587" spans="2:6" x14ac:dyDescent="0.2">
      <c r="B587" t="s">
        <v>4217</v>
      </c>
      <c r="C587" t="s">
        <v>4218</v>
      </c>
      <c r="D587">
        <v>7</v>
      </c>
      <c r="E587" t="s">
        <v>3402</v>
      </c>
      <c r="F587">
        <v>2</v>
      </c>
    </row>
    <row r="588" spans="2:6" x14ac:dyDescent="0.2">
      <c r="B588" t="s">
        <v>1411</v>
      </c>
      <c r="C588" t="s">
        <v>4219</v>
      </c>
      <c r="D588">
        <v>7</v>
      </c>
      <c r="E588" t="s">
        <v>4220</v>
      </c>
      <c r="F588">
        <v>86</v>
      </c>
    </row>
    <row r="589" spans="2:6" x14ac:dyDescent="0.2">
      <c r="B589" t="s">
        <v>1570</v>
      </c>
      <c r="C589" t="s">
        <v>4221</v>
      </c>
      <c r="D589">
        <v>7</v>
      </c>
      <c r="E589" t="s">
        <v>4222</v>
      </c>
      <c r="F589">
        <v>1</v>
      </c>
    </row>
    <row r="590" spans="2:6" x14ac:dyDescent="0.2">
      <c r="B590" t="s">
        <v>277</v>
      </c>
      <c r="C590" t="s">
        <v>4223</v>
      </c>
      <c r="D590">
        <v>7</v>
      </c>
      <c r="E590" t="s">
        <v>3824</v>
      </c>
      <c r="F590">
        <v>1</v>
      </c>
    </row>
    <row r="591" spans="2:6" x14ac:dyDescent="0.2">
      <c r="B591" t="s">
        <v>4224</v>
      </c>
      <c r="C591" t="s">
        <v>4225</v>
      </c>
      <c r="D591">
        <v>7</v>
      </c>
      <c r="E591" t="s">
        <v>4226</v>
      </c>
      <c r="F591">
        <v>1</v>
      </c>
    </row>
    <row r="592" spans="2:6" x14ac:dyDescent="0.2">
      <c r="B592" t="s">
        <v>4227</v>
      </c>
      <c r="C592" t="s">
        <v>4228</v>
      </c>
      <c r="D592">
        <v>7</v>
      </c>
      <c r="E592" t="s">
        <v>4229</v>
      </c>
      <c r="F592">
        <v>3</v>
      </c>
    </row>
    <row r="593" spans="2:6" x14ac:dyDescent="0.2">
      <c r="B593" t="s">
        <v>4230</v>
      </c>
      <c r="C593" t="s">
        <v>4231</v>
      </c>
      <c r="D593">
        <v>7</v>
      </c>
      <c r="E593" t="s">
        <v>4232</v>
      </c>
      <c r="F593">
        <v>2</v>
      </c>
    </row>
    <row r="594" spans="2:6" x14ac:dyDescent="0.2">
      <c r="B594" t="s">
        <v>648</v>
      </c>
      <c r="C594" t="s">
        <v>4233</v>
      </c>
      <c r="D594">
        <v>7</v>
      </c>
      <c r="E594" t="s">
        <v>3839</v>
      </c>
      <c r="F594">
        <v>3</v>
      </c>
    </row>
    <row r="595" spans="2:6" x14ac:dyDescent="0.2">
      <c r="B595" t="s">
        <v>4234</v>
      </c>
      <c r="C595" t="s">
        <v>4235</v>
      </c>
      <c r="D595">
        <v>7</v>
      </c>
      <c r="E595" t="s">
        <v>2921</v>
      </c>
      <c r="F595">
        <v>2</v>
      </c>
    </row>
    <row r="596" spans="2:6" x14ac:dyDescent="0.2">
      <c r="B596" t="s">
        <v>4236</v>
      </c>
      <c r="C596" t="s">
        <v>4237</v>
      </c>
      <c r="D596">
        <v>7</v>
      </c>
      <c r="E596" t="s">
        <v>4238</v>
      </c>
      <c r="F596">
        <v>1</v>
      </c>
    </row>
    <row r="597" spans="2:6" x14ac:dyDescent="0.2">
      <c r="B597" t="s">
        <v>4239</v>
      </c>
      <c r="C597" t="s">
        <v>4240</v>
      </c>
      <c r="D597">
        <v>7</v>
      </c>
      <c r="E597" t="s">
        <v>4241</v>
      </c>
      <c r="F597">
        <v>2</v>
      </c>
    </row>
    <row r="598" spans="2:6" x14ac:dyDescent="0.2">
      <c r="B598" t="s">
        <v>4242</v>
      </c>
      <c r="C598" t="s">
        <v>4243</v>
      </c>
      <c r="D598">
        <v>7</v>
      </c>
      <c r="E598" t="s">
        <v>4244</v>
      </c>
      <c r="F598">
        <v>3</v>
      </c>
    </row>
    <row r="599" spans="2:6" x14ac:dyDescent="0.2">
      <c r="B599" t="s">
        <v>4245</v>
      </c>
      <c r="C599" t="s">
        <v>4246</v>
      </c>
      <c r="D599">
        <v>7</v>
      </c>
      <c r="E599" t="s">
        <v>3084</v>
      </c>
      <c r="F599">
        <v>2</v>
      </c>
    </row>
    <row r="600" spans="2:6" x14ac:dyDescent="0.2">
      <c r="B600" t="s">
        <v>4247</v>
      </c>
      <c r="C600" t="s">
        <v>4248</v>
      </c>
      <c r="D600">
        <v>7</v>
      </c>
      <c r="E600" t="s">
        <v>2850</v>
      </c>
      <c r="F600">
        <v>2</v>
      </c>
    </row>
    <row r="601" spans="2:6" x14ac:dyDescent="0.2">
      <c r="B601" t="s">
        <v>674</v>
      </c>
      <c r="C601" t="s">
        <v>4249</v>
      </c>
      <c r="D601">
        <v>7</v>
      </c>
      <c r="E601" t="s">
        <v>4130</v>
      </c>
      <c r="F601">
        <v>1</v>
      </c>
    </row>
    <row r="602" spans="2:6" x14ac:dyDescent="0.2">
      <c r="B602" t="s">
        <v>4250</v>
      </c>
      <c r="C602" t="s">
        <v>4251</v>
      </c>
      <c r="D602">
        <v>7</v>
      </c>
      <c r="E602" t="s">
        <v>4252</v>
      </c>
      <c r="F602">
        <v>7</v>
      </c>
    </row>
    <row r="603" spans="2:6" x14ac:dyDescent="0.2">
      <c r="B603" t="s">
        <v>4253</v>
      </c>
      <c r="C603" t="s">
        <v>4254</v>
      </c>
      <c r="D603">
        <v>7</v>
      </c>
      <c r="E603" t="s">
        <v>4255</v>
      </c>
      <c r="F603">
        <v>3</v>
      </c>
    </row>
    <row r="604" spans="2:6" x14ac:dyDescent="0.2">
      <c r="B604" t="s">
        <v>420</v>
      </c>
      <c r="C604" t="s">
        <v>4256</v>
      </c>
      <c r="D604">
        <v>7</v>
      </c>
      <c r="E604" t="s">
        <v>4257</v>
      </c>
      <c r="F604">
        <v>11</v>
      </c>
    </row>
    <row r="605" spans="2:6" x14ac:dyDescent="0.2">
      <c r="B605" t="s">
        <v>4258</v>
      </c>
      <c r="C605" t="s">
        <v>4259</v>
      </c>
      <c r="D605">
        <v>7</v>
      </c>
      <c r="E605" t="s">
        <v>4260</v>
      </c>
      <c r="F605">
        <v>2</v>
      </c>
    </row>
    <row r="606" spans="2:6" x14ac:dyDescent="0.2">
      <c r="B606" t="s">
        <v>4261</v>
      </c>
      <c r="C606" t="s">
        <v>4262</v>
      </c>
      <c r="D606">
        <v>7</v>
      </c>
      <c r="E606" t="s">
        <v>4263</v>
      </c>
      <c r="F606">
        <v>1</v>
      </c>
    </row>
    <row r="607" spans="2:6" x14ac:dyDescent="0.2">
      <c r="B607" t="s">
        <v>4264</v>
      </c>
      <c r="C607" t="s">
        <v>4265</v>
      </c>
      <c r="D607">
        <v>7</v>
      </c>
      <c r="E607" t="s">
        <v>4151</v>
      </c>
      <c r="F607">
        <v>1</v>
      </c>
    </row>
    <row r="608" spans="2:6" x14ac:dyDescent="0.2">
      <c r="B608" t="s">
        <v>4266</v>
      </c>
      <c r="C608" t="s">
        <v>4267</v>
      </c>
      <c r="D608">
        <v>7</v>
      </c>
      <c r="E608" t="s">
        <v>4268</v>
      </c>
      <c r="F608">
        <v>2</v>
      </c>
    </row>
    <row r="609" spans="2:6" x14ac:dyDescent="0.2">
      <c r="B609" t="s">
        <v>4269</v>
      </c>
      <c r="C609" t="s">
        <v>4270</v>
      </c>
      <c r="D609">
        <v>7</v>
      </c>
      <c r="E609" t="s">
        <v>3643</v>
      </c>
      <c r="F609">
        <v>1</v>
      </c>
    </row>
    <row r="610" spans="2:6" x14ac:dyDescent="0.2">
      <c r="B610" t="s">
        <v>4271</v>
      </c>
      <c r="C610" t="s">
        <v>4272</v>
      </c>
      <c r="D610">
        <v>7</v>
      </c>
      <c r="E610" t="s">
        <v>4273</v>
      </c>
      <c r="F610">
        <v>1</v>
      </c>
    </row>
    <row r="611" spans="2:6" x14ac:dyDescent="0.2">
      <c r="B611" t="s">
        <v>4274</v>
      </c>
      <c r="C611" t="s">
        <v>4275</v>
      </c>
      <c r="D611">
        <v>7</v>
      </c>
      <c r="E611" t="s">
        <v>4276</v>
      </c>
      <c r="F611">
        <v>43</v>
      </c>
    </row>
    <row r="612" spans="2:6" x14ac:dyDescent="0.2">
      <c r="B612" t="s">
        <v>4277</v>
      </c>
      <c r="C612" t="s">
        <v>3781</v>
      </c>
      <c r="D612">
        <v>7</v>
      </c>
      <c r="E612" t="s">
        <v>2921</v>
      </c>
      <c r="F612">
        <v>7</v>
      </c>
    </row>
    <row r="613" spans="2:6" x14ac:dyDescent="0.2">
      <c r="B613" t="s">
        <v>4278</v>
      </c>
      <c r="C613" t="s">
        <v>4279</v>
      </c>
      <c r="D613">
        <v>7</v>
      </c>
      <c r="E613" t="s">
        <v>4280</v>
      </c>
      <c r="F613">
        <v>77</v>
      </c>
    </row>
    <row r="614" spans="2:6" x14ac:dyDescent="0.2">
      <c r="B614" t="s">
        <v>4281</v>
      </c>
      <c r="C614" t="s">
        <v>4282</v>
      </c>
      <c r="D614">
        <v>7</v>
      </c>
      <c r="E614" t="s">
        <v>2921</v>
      </c>
      <c r="F614">
        <v>8</v>
      </c>
    </row>
    <row r="615" spans="2:6" x14ac:dyDescent="0.2">
      <c r="B615" t="s">
        <v>4283</v>
      </c>
      <c r="C615" t="s">
        <v>4284</v>
      </c>
      <c r="D615">
        <v>7</v>
      </c>
      <c r="E615" t="s">
        <v>3455</v>
      </c>
      <c r="F615">
        <v>1</v>
      </c>
    </row>
    <row r="616" spans="2:6" x14ac:dyDescent="0.2">
      <c r="B616" t="s">
        <v>4285</v>
      </c>
      <c r="C616" t="s">
        <v>4286</v>
      </c>
      <c r="D616">
        <v>7</v>
      </c>
      <c r="E616" t="s">
        <v>4287</v>
      </c>
      <c r="F616">
        <v>3</v>
      </c>
    </row>
    <row r="617" spans="2:6" x14ac:dyDescent="0.2">
      <c r="B617" t="s">
        <v>161</v>
      </c>
      <c r="C617" t="s">
        <v>4288</v>
      </c>
      <c r="D617">
        <v>7</v>
      </c>
      <c r="E617" t="s">
        <v>4289</v>
      </c>
      <c r="F617">
        <v>4</v>
      </c>
    </row>
    <row r="618" spans="2:6" x14ac:dyDescent="0.2">
      <c r="B618" t="s">
        <v>4290</v>
      </c>
      <c r="C618" t="s">
        <v>4291</v>
      </c>
      <c r="D618">
        <v>7</v>
      </c>
      <c r="E618" t="s">
        <v>4292</v>
      </c>
      <c r="F618">
        <v>19</v>
      </c>
    </row>
    <row r="619" spans="2:6" x14ac:dyDescent="0.2">
      <c r="B619" t="s">
        <v>4293</v>
      </c>
      <c r="C619" t="s">
        <v>4294</v>
      </c>
      <c r="D619">
        <v>7</v>
      </c>
      <c r="E619" t="s">
        <v>4295</v>
      </c>
      <c r="F619">
        <v>5</v>
      </c>
    </row>
    <row r="620" spans="2:6" x14ac:dyDescent="0.2">
      <c r="B620" t="s">
        <v>1327</v>
      </c>
      <c r="C620" t="s">
        <v>4296</v>
      </c>
      <c r="D620">
        <v>7</v>
      </c>
      <c r="E620" t="s">
        <v>3567</v>
      </c>
      <c r="F620">
        <v>6</v>
      </c>
    </row>
    <row r="621" spans="2:6" x14ac:dyDescent="0.2">
      <c r="B621" t="s">
        <v>4297</v>
      </c>
      <c r="C621" t="s">
        <v>4298</v>
      </c>
      <c r="D621">
        <v>7</v>
      </c>
      <c r="E621" t="s">
        <v>4299</v>
      </c>
      <c r="F621">
        <v>10</v>
      </c>
    </row>
    <row r="622" spans="2:6" x14ac:dyDescent="0.2">
      <c r="B622" t="s">
        <v>1279</v>
      </c>
      <c r="C622" t="s">
        <v>4300</v>
      </c>
      <c r="D622">
        <v>7</v>
      </c>
      <c r="E622" t="s">
        <v>3201</v>
      </c>
      <c r="F622">
        <v>2</v>
      </c>
    </row>
    <row r="623" spans="2:6" x14ac:dyDescent="0.2">
      <c r="B623" t="s">
        <v>4301</v>
      </c>
      <c r="C623" t="s">
        <v>4302</v>
      </c>
      <c r="D623">
        <v>7</v>
      </c>
      <c r="E623" t="s">
        <v>4303</v>
      </c>
      <c r="F623">
        <v>10</v>
      </c>
    </row>
    <row r="624" spans="2:6" x14ac:dyDescent="0.2">
      <c r="B624" t="s">
        <v>749</v>
      </c>
      <c r="C624" t="s">
        <v>4304</v>
      </c>
      <c r="D624">
        <v>7</v>
      </c>
      <c r="E624" t="s">
        <v>2819</v>
      </c>
      <c r="F624">
        <v>1</v>
      </c>
    </row>
    <row r="625" spans="2:6" x14ac:dyDescent="0.2">
      <c r="B625" t="s">
        <v>4305</v>
      </c>
      <c r="C625" t="s">
        <v>4306</v>
      </c>
      <c r="D625">
        <v>7</v>
      </c>
      <c r="E625" t="s">
        <v>3688</v>
      </c>
      <c r="F625">
        <v>3</v>
      </c>
    </row>
    <row r="626" spans="2:6" x14ac:dyDescent="0.2">
      <c r="B626" t="s">
        <v>4307</v>
      </c>
      <c r="C626" t="s">
        <v>4308</v>
      </c>
      <c r="D626">
        <v>7</v>
      </c>
      <c r="E626" t="s">
        <v>3586</v>
      </c>
      <c r="F626">
        <v>1</v>
      </c>
    </row>
    <row r="627" spans="2:6" x14ac:dyDescent="0.2">
      <c r="B627" t="s">
        <v>4309</v>
      </c>
      <c r="C627" t="s">
        <v>4310</v>
      </c>
      <c r="D627">
        <v>7</v>
      </c>
      <c r="E627" t="s">
        <v>4311</v>
      </c>
      <c r="F627">
        <v>1</v>
      </c>
    </row>
    <row r="628" spans="2:6" x14ac:dyDescent="0.2">
      <c r="B628" t="s">
        <v>807</v>
      </c>
      <c r="C628" t="s">
        <v>4312</v>
      </c>
      <c r="D628">
        <v>7</v>
      </c>
      <c r="E628" t="s">
        <v>2863</v>
      </c>
      <c r="F628">
        <v>13</v>
      </c>
    </row>
    <row r="629" spans="2:6" x14ac:dyDescent="0.2">
      <c r="B629" t="s">
        <v>4313</v>
      </c>
      <c r="C629" t="s">
        <v>4314</v>
      </c>
      <c r="D629">
        <v>7</v>
      </c>
      <c r="E629" t="s">
        <v>2952</v>
      </c>
      <c r="F629">
        <v>1</v>
      </c>
    </row>
    <row r="630" spans="2:6" x14ac:dyDescent="0.2">
      <c r="B630" t="s">
        <v>4315</v>
      </c>
      <c r="C630" t="s">
        <v>4316</v>
      </c>
      <c r="D630">
        <v>7</v>
      </c>
      <c r="E630" t="s">
        <v>4317</v>
      </c>
      <c r="F630">
        <v>4</v>
      </c>
    </row>
    <row r="631" spans="2:6" x14ac:dyDescent="0.2">
      <c r="B631" t="s">
        <v>4318</v>
      </c>
      <c r="C631" t="s">
        <v>4319</v>
      </c>
      <c r="D631">
        <v>7</v>
      </c>
      <c r="E631" t="s">
        <v>3232</v>
      </c>
      <c r="F631">
        <v>1</v>
      </c>
    </row>
    <row r="632" spans="2:6" x14ac:dyDescent="0.2">
      <c r="B632" t="s">
        <v>4320</v>
      </c>
      <c r="C632" t="s">
        <v>4321</v>
      </c>
      <c r="D632">
        <v>7</v>
      </c>
      <c r="E632" t="s">
        <v>3702</v>
      </c>
      <c r="F632">
        <v>11</v>
      </c>
    </row>
    <row r="633" spans="2:6" x14ac:dyDescent="0.2">
      <c r="B633" t="s">
        <v>4322</v>
      </c>
      <c r="C633" t="s">
        <v>4323</v>
      </c>
      <c r="D633">
        <v>7</v>
      </c>
      <c r="E633" t="s">
        <v>3702</v>
      </c>
      <c r="F633">
        <v>2</v>
      </c>
    </row>
    <row r="634" spans="2:6" x14ac:dyDescent="0.2">
      <c r="B634" t="s">
        <v>4324</v>
      </c>
      <c r="C634" t="s">
        <v>4325</v>
      </c>
      <c r="D634">
        <v>7</v>
      </c>
      <c r="E634" t="s">
        <v>4326</v>
      </c>
      <c r="F634">
        <v>17</v>
      </c>
    </row>
    <row r="635" spans="2:6" x14ac:dyDescent="0.2">
      <c r="B635" t="s">
        <v>4327</v>
      </c>
      <c r="C635" t="s">
        <v>4328</v>
      </c>
      <c r="D635">
        <v>7</v>
      </c>
      <c r="E635" t="s">
        <v>4329</v>
      </c>
      <c r="F635">
        <v>1</v>
      </c>
    </row>
    <row r="636" spans="2:6" x14ac:dyDescent="0.2">
      <c r="B636" t="s">
        <v>1713</v>
      </c>
      <c r="C636" t="s">
        <v>4330</v>
      </c>
      <c r="D636">
        <v>7</v>
      </c>
      <c r="E636" t="s">
        <v>2997</v>
      </c>
      <c r="F636">
        <v>8</v>
      </c>
    </row>
    <row r="637" spans="2:6" x14ac:dyDescent="0.2">
      <c r="B637" t="s">
        <v>4331</v>
      </c>
      <c r="C637" t="s">
        <v>4332</v>
      </c>
      <c r="D637">
        <v>7</v>
      </c>
      <c r="E637" t="s">
        <v>3952</v>
      </c>
      <c r="F637">
        <v>79</v>
      </c>
    </row>
    <row r="638" spans="2:6" x14ac:dyDescent="0.2">
      <c r="B638" t="s">
        <v>4333</v>
      </c>
      <c r="C638" t="s">
        <v>4334</v>
      </c>
      <c r="D638">
        <v>7</v>
      </c>
      <c r="E638" t="s">
        <v>4335</v>
      </c>
      <c r="F638">
        <v>2</v>
      </c>
    </row>
    <row r="639" spans="2:6" x14ac:dyDescent="0.2">
      <c r="B639" t="s">
        <v>4336</v>
      </c>
      <c r="C639" t="s">
        <v>4337</v>
      </c>
      <c r="D639">
        <v>7</v>
      </c>
      <c r="E639" t="s">
        <v>4338</v>
      </c>
      <c r="F639">
        <v>4</v>
      </c>
    </row>
    <row r="640" spans="2:6" x14ac:dyDescent="0.2">
      <c r="B640" t="s">
        <v>4339</v>
      </c>
      <c r="C640" t="s">
        <v>3218</v>
      </c>
      <c r="D640">
        <v>7</v>
      </c>
      <c r="E640" t="s">
        <v>2974</v>
      </c>
      <c r="F640">
        <v>2</v>
      </c>
    </row>
    <row r="641" spans="2:6" x14ac:dyDescent="0.2">
      <c r="B641" t="s">
        <v>4340</v>
      </c>
      <c r="C641" t="s">
        <v>4341</v>
      </c>
      <c r="D641">
        <v>7</v>
      </c>
      <c r="E641" t="s">
        <v>4342</v>
      </c>
      <c r="F641">
        <v>6</v>
      </c>
    </row>
    <row r="642" spans="2:6" x14ac:dyDescent="0.2">
      <c r="B642" t="s">
        <v>4343</v>
      </c>
      <c r="C642" t="s">
        <v>4344</v>
      </c>
      <c r="D642">
        <v>7</v>
      </c>
      <c r="E642" t="s">
        <v>2836</v>
      </c>
      <c r="F642">
        <v>3</v>
      </c>
    </row>
    <row r="643" spans="2:6" x14ac:dyDescent="0.2">
      <c r="B643" t="s">
        <v>892</v>
      </c>
      <c r="C643" t="s">
        <v>4345</v>
      </c>
      <c r="D643">
        <v>7</v>
      </c>
      <c r="E643" t="s">
        <v>3957</v>
      </c>
      <c r="F643">
        <v>1</v>
      </c>
    </row>
    <row r="644" spans="2:6" x14ac:dyDescent="0.2">
      <c r="B644" t="s">
        <v>4346</v>
      </c>
      <c r="C644" t="s">
        <v>4347</v>
      </c>
      <c r="D644">
        <v>7</v>
      </c>
      <c r="E644" t="s">
        <v>4348</v>
      </c>
      <c r="F644">
        <v>4</v>
      </c>
    </row>
    <row r="645" spans="2:6" x14ac:dyDescent="0.2">
      <c r="B645" t="s">
        <v>4349</v>
      </c>
      <c r="C645" t="s">
        <v>4350</v>
      </c>
      <c r="D645">
        <v>7</v>
      </c>
      <c r="E645" t="s">
        <v>3028</v>
      </c>
      <c r="F645">
        <v>7</v>
      </c>
    </row>
    <row r="646" spans="2:6" x14ac:dyDescent="0.2">
      <c r="B646" t="s">
        <v>4351</v>
      </c>
      <c r="C646" t="s">
        <v>4352</v>
      </c>
      <c r="D646">
        <v>7</v>
      </c>
      <c r="E646" t="s">
        <v>4353</v>
      </c>
      <c r="F646">
        <v>2</v>
      </c>
    </row>
    <row r="647" spans="2:6" x14ac:dyDescent="0.2">
      <c r="B647" t="s">
        <v>4354</v>
      </c>
      <c r="C647" t="s">
        <v>4355</v>
      </c>
      <c r="D647">
        <v>7</v>
      </c>
      <c r="E647" t="s">
        <v>3708</v>
      </c>
      <c r="F647">
        <v>49</v>
      </c>
    </row>
    <row r="648" spans="2:6" x14ac:dyDescent="0.2">
      <c r="B648" t="s">
        <v>4356</v>
      </c>
      <c r="C648" t="s">
        <v>4357</v>
      </c>
      <c r="D648">
        <v>7</v>
      </c>
      <c r="E648" t="s">
        <v>4358</v>
      </c>
      <c r="F648">
        <v>4</v>
      </c>
    </row>
    <row r="649" spans="2:6" x14ac:dyDescent="0.2">
      <c r="B649" t="s">
        <v>4359</v>
      </c>
      <c r="C649" t="s">
        <v>4360</v>
      </c>
      <c r="D649">
        <v>7</v>
      </c>
      <c r="E649" t="s">
        <v>3551</v>
      </c>
      <c r="F649">
        <v>1</v>
      </c>
    </row>
    <row r="650" spans="2:6" x14ac:dyDescent="0.2">
      <c r="B650" t="s">
        <v>226</v>
      </c>
      <c r="C650" t="s">
        <v>4361</v>
      </c>
      <c r="D650">
        <v>7</v>
      </c>
      <c r="E650" t="s">
        <v>4362</v>
      </c>
      <c r="F650">
        <v>5</v>
      </c>
    </row>
    <row r="651" spans="2:6" x14ac:dyDescent="0.2">
      <c r="B651" t="s">
        <v>4363</v>
      </c>
      <c r="C651" t="s">
        <v>4364</v>
      </c>
      <c r="D651">
        <v>7</v>
      </c>
      <c r="E651" t="s">
        <v>2906</v>
      </c>
      <c r="F651">
        <v>2</v>
      </c>
    </row>
    <row r="652" spans="2:6" x14ac:dyDescent="0.2">
      <c r="B652" t="s">
        <v>4365</v>
      </c>
      <c r="C652" t="s">
        <v>4366</v>
      </c>
      <c r="D652">
        <v>7</v>
      </c>
      <c r="E652" t="s">
        <v>4367</v>
      </c>
      <c r="F652">
        <v>2</v>
      </c>
    </row>
    <row r="653" spans="2:6" x14ac:dyDescent="0.2">
      <c r="B653" t="s">
        <v>4368</v>
      </c>
      <c r="C653" t="s">
        <v>4369</v>
      </c>
      <c r="D653">
        <v>7</v>
      </c>
      <c r="E653" t="s">
        <v>4370</v>
      </c>
      <c r="F653">
        <v>1</v>
      </c>
    </row>
    <row r="654" spans="2:6" x14ac:dyDescent="0.2">
      <c r="B654" t="s">
        <v>4371</v>
      </c>
      <c r="C654" t="s">
        <v>4372</v>
      </c>
      <c r="D654">
        <v>7</v>
      </c>
      <c r="E654" t="s">
        <v>4373</v>
      </c>
      <c r="F654">
        <v>30</v>
      </c>
    </row>
    <row r="655" spans="2:6" x14ac:dyDescent="0.2">
      <c r="B655" t="s">
        <v>4374</v>
      </c>
      <c r="C655" t="s">
        <v>4375</v>
      </c>
      <c r="D655">
        <v>7</v>
      </c>
      <c r="E655" t="s">
        <v>4376</v>
      </c>
      <c r="F655">
        <v>3</v>
      </c>
    </row>
    <row r="656" spans="2:6" x14ac:dyDescent="0.2">
      <c r="B656" t="s">
        <v>4377</v>
      </c>
      <c r="C656" t="s">
        <v>4378</v>
      </c>
      <c r="D656">
        <v>7</v>
      </c>
      <c r="E656" t="s">
        <v>4379</v>
      </c>
      <c r="F656">
        <v>1</v>
      </c>
    </row>
    <row r="657" spans="2:6" x14ac:dyDescent="0.2">
      <c r="B657" t="s">
        <v>4380</v>
      </c>
      <c r="C657" t="s">
        <v>4381</v>
      </c>
      <c r="D657">
        <v>7</v>
      </c>
      <c r="E657" t="s">
        <v>3294</v>
      </c>
      <c r="F657">
        <v>1</v>
      </c>
    </row>
    <row r="658" spans="2:6" x14ac:dyDescent="0.2">
      <c r="B658" t="s">
        <v>4382</v>
      </c>
      <c r="C658" t="s">
        <v>4383</v>
      </c>
      <c r="D658">
        <v>7</v>
      </c>
      <c r="E658" t="s">
        <v>4384</v>
      </c>
      <c r="F658">
        <v>4</v>
      </c>
    </row>
    <row r="659" spans="2:6" x14ac:dyDescent="0.2">
      <c r="B659" t="s">
        <v>4385</v>
      </c>
      <c r="C659" t="s">
        <v>4386</v>
      </c>
      <c r="D659">
        <v>7</v>
      </c>
      <c r="E659" t="s">
        <v>3232</v>
      </c>
      <c r="F659">
        <v>3</v>
      </c>
    </row>
    <row r="660" spans="2:6" x14ac:dyDescent="0.2">
      <c r="B660" t="s">
        <v>4387</v>
      </c>
      <c r="C660" t="s">
        <v>4291</v>
      </c>
      <c r="D660">
        <v>7</v>
      </c>
      <c r="E660" t="s">
        <v>4388</v>
      </c>
      <c r="F660">
        <v>5</v>
      </c>
    </row>
    <row r="661" spans="2:6" x14ac:dyDescent="0.2">
      <c r="B661" t="s">
        <v>4389</v>
      </c>
      <c r="C661" t="s">
        <v>4390</v>
      </c>
      <c r="D661">
        <v>7</v>
      </c>
      <c r="E661" t="s">
        <v>4232</v>
      </c>
      <c r="F661">
        <v>1</v>
      </c>
    </row>
    <row r="662" spans="2:6" x14ac:dyDescent="0.2">
      <c r="B662" t="s">
        <v>410</v>
      </c>
      <c r="C662" t="s">
        <v>4391</v>
      </c>
      <c r="D662">
        <v>7</v>
      </c>
      <c r="E662" t="s">
        <v>4392</v>
      </c>
      <c r="F662">
        <v>1</v>
      </c>
    </row>
    <row r="663" spans="2:6" x14ac:dyDescent="0.2">
      <c r="B663" t="s">
        <v>4393</v>
      </c>
      <c r="C663" t="s">
        <v>3142</v>
      </c>
      <c r="D663">
        <v>7</v>
      </c>
      <c r="E663" t="s">
        <v>4394</v>
      </c>
      <c r="F663">
        <v>6</v>
      </c>
    </row>
    <row r="664" spans="2:6" x14ac:dyDescent="0.2">
      <c r="B664" t="s">
        <v>4395</v>
      </c>
      <c r="C664" t="s">
        <v>4396</v>
      </c>
      <c r="D664">
        <v>7</v>
      </c>
      <c r="E664" t="s">
        <v>2892</v>
      </c>
      <c r="F664">
        <v>1</v>
      </c>
    </row>
    <row r="665" spans="2:6" x14ac:dyDescent="0.2">
      <c r="B665" t="s">
        <v>4397</v>
      </c>
      <c r="C665" t="s">
        <v>4398</v>
      </c>
      <c r="D665">
        <v>7</v>
      </c>
      <c r="E665" t="s">
        <v>4021</v>
      </c>
      <c r="F665">
        <v>10</v>
      </c>
    </row>
    <row r="666" spans="2:6" x14ac:dyDescent="0.2">
      <c r="B666" t="s">
        <v>4399</v>
      </c>
      <c r="C666" t="s">
        <v>4400</v>
      </c>
      <c r="D666">
        <v>7</v>
      </c>
      <c r="E666" t="s">
        <v>3820</v>
      </c>
      <c r="F666">
        <v>10</v>
      </c>
    </row>
    <row r="667" spans="2:6" x14ac:dyDescent="0.2">
      <c r="B667" t="s">
        <v>4401</v>
      </c>
      <c r="C667" t="s">
        <v>4402</v>
      </c>
      <c r="D667">
        <v>7</v>
      </c>
      <c r="E667" t="s">
        <v>4403</v>
      </c>
      <c r="F667">
        <v>1</v>
      </c>
    </row>
    <row r="668" spans="2:6" x14ac:dyDescent="0.2">
      <c r="B668" t="s">
        <v>4404</v>
      </c>
      <c r="C668" t="s">
        <v>4405</v>
      </c>
      <c r="D668">
        <v>7</v>
      </c>
      <c r="E668" t="s">
        <v>2863</v>
      </c>
      <c r="F668">
        <v>1</v>
      </c>
    </row>
    <row r="669" spans="2:6" x14ac:dyDescent="0.2">
      <c r="B669" t="s">
        <v>2012</v>
      </c>
      <c r="C669" t="s">
        <v>4406</v>
      </c>
      <c r="D669">
        <v>7</v>
      </c>
      <c r="E669" t="s">
        <v>2952</v>
      </c>
      <c r="F669">
        <v>2</v>
      </c>
    </row>
    <row r="670" spans="2:6" x14ac:dyDescent="0.2">
      <c r="B670" t="s">
        <v>4407</v>
      </c>
      <c r="C670" t="s">
        <v>4408</v>
      </c>
      <c r="D670">
        <v>7</v>
      </c>
      <c r="E670" t="s">
        <v>3084</v>
      </c>
      <c r="F670">
        <v>4</v>
      </c>
    </row>
    <row r="671" spans="2:6" x14ac:dyDescent="0.2">
      <c r="B671" t="s">
        <v>4409</v>
      </c>
      <c r="C671" t="s">
        <v>4410</v>
      </c>
      <c r="D671">
        <v>7</v>
      </c>
      <c r="E671" t="s">
        <v>3092</v>
      </c>
      <c r="F671">
        <v>1</v>
      </c>
    </row>
    <row r="672" spans="2:6" x14ac:dyDescent="0.2">
      <c r="B672" t="s">
        <v>4411</v>
      </c>
      <c r="C672" t="s">
        <v>4412</v>
      </c>
      <c r="D672">
        <v>7</v>
      </c>
      <c r="E672" t="s">
        <v>2892</v>
      </c>
      <c r="F672">
        <v>1</v>
      </c>
    </row>
    <row r="673" spans="2:6" x14ac:dyDescent="0.2">
      <c r="B673" t="s">
        <v>4413</v>
      </c>
      <c r="C673" t="s">
        <v>4414</v>
      </c>
      <c r="D673">
        <v>7</v>
      </c>
      <c r="E673" t="s">
        <v>4415</v>
      </c>
      <c r="F673">
        <v>2</v>
      </c>
    </row>
    <row r="674" spans="2:6" x14ac:dyDescent="0.2">
      <c r="B674" t="s">
        <v>387</v>
      </c>
      <c r="C674" t="s">
        <v>4416</v>
      </c>
      <c r="D674">
        <v>7</v>
      </c>
      <c r="E674" t="s">
        <v>3053</v>
      </c>
      <c r="F674">
        <v>7</v>
      </c>
    </row>
    <row r="675" spans="2:6" x14ac:dyDescent="0.2">
      <c r="B675" t="s">
        <v>962</v>
      </c>
      <c r="C675" t="s">
        <v>4417</v>
      </c>
      <c r="D675">
        <v>7</v>
      </c>
      <c r="E675" t="s">
        <v>4418</v>
      </c>
      <c r="F675">
        <v>2</v>
      </c>
    </row>
    <row r="676" spans="2:6" x14ac:dyDescent="0.2">
      <c r="B676" t="s">
        <v>4419</v>
      </c>
      <c r="C676" t="s">
        <v>4420</v>
      </c>
      <c r="D676">
        <v>7</v>
      </c>
      <c r="E676" t="s">
        <v>4421</v>
      </c>
      <c r="F676">
        <v>1</v>
      </c>
    </row>
    <row r="677" spans="2:6" x14ac:dyDescent="0.2">
      <c r="B677" t="s">
        <v>4422</v>
      </c>
      <c r="C677" t="s">
        <v>4423</v>
      </c>
      <c r="D677">
        <v>7</v>
      </c>
      <c r="E677" t="s">
        <v>4424</v>
      </c>
      <c r="F677">
        <v>1</v>
      </c>
    </row>
    <row r="678" spans="2:6" x14ac:dyDescent="0.2">
      <c r="B678" t="s">
        <v>4425</v>
      </c>
      <c r="C678" t="s">
        <v>4426</v>
      </c>
      <c r="D678">
        <v>7</v>
      </c>
      <c r="E678" t="s">
        <v>3213</v>
      </c>
      <c r="F678">
        <v>1</v>
      </c>
    </row>
    <row r="679" spans="2:6" x14ac:dyDescent="0.2">
      <c r="B679" t="s">
        <v>4427</v>
      </c>
      <c r="C679" t="s">
        <v>4428</v>
      </c>
      <c r="D679">
        <v>7</v>
      </c>
      <c r="E679" t="s">
        <v>4429</v>
      </c>
      <c r="F679">
        <v>2</v>
      </c>
    </row>
    <row r="680" spans="2:6" x14ac:dyDescent="0.2">
      <c r="B680" t="s">
        <v>4430</v>
      </c>
      <c r="C680" t="s">
        <v>4431</v>
      </c>
      <c r="D680">
        <v>7</v>
      </c>
      <c r="E680" t="s">
        <v>2933</v>
      </c>
      <c r="F680">
        <v>23</v>
      </c>
    </row>
    <row r="681" spans="2:6" x14ac:dyDescent="0.2">
      <c r="B681" t="s">
        <v>4432</v>
      </c>
      <c r="C681" t="s">
        <v>4433</v>
      </c>
      <c r="D681">
        <v>7</v>
      </c>
      <c r="E681" t="s">
        <v>3036</v>
      </c>
      <c r="F681">
        <v>2</v>
      </c>
    </row>
    <row r="682" spans="2:6" x14ac:dyDescent="0.2">
      <c r="B682" t="s">
        <v>1548</v>
      </c>
      <c r="C682" t="s">
        <v>4434</v>
      </c>
      <c r="D682">
        <v>7</v>
      </c>
      <c r="E682" t="s">
        <v>4435</v>
      </c>
      <c r="F682">
        <v>1</v>
      </c>
    </row>
    <row r="683" spans="2:6" x14ac:dyDescent="0.2">
      <c r="B683" t="s">
        <v>4436</v>
      </c>
      <c r="C683" t="s">
        <v>4179</v>
      </c>
      <c r="D683">
        <v>7</v>
      </c>
      <c r="E683" t="s">
        <v>4437</v>
      </c>
      <c r="F683">
        <v>4</v>
      </c>
    </row>
    <row r="684" spans="2:6" x14ac:dyDescent="0.2">
      <c r="B684" t="s">
        <v>4438</v>
      </c>
      <c r="C684" t="s">
        <v>4439</v>
      </c>
      <c r="D684">
        <v>7</v>
      </c>
      <c r="E684" t="s">
        <v>3586</v>
      </c>
      <c r="F684">
        <v>2</v>
      </c>
    </row>
    <row r="685" spans="2:6" x14ac:dyDescent="0.2">
      <c r="B685" t="s">
        <v>4440</v>
      </c>
      <c r="C685" t="s">
        <v>4441</v>
      </c>
      <c r="D685">
        <v>7</v>
      </c>
      <c r="E685" t="s">
        <v>3495</v>
      </c>
      <c r="F685">
        <v>2</v>
      </c>
    </row>
    <row r="686" spans="2:6" x14ac:dyDescent="0.2">
      <c r="B686" t="s">
        <v>4442</v>
      </c>
      <c r="C686" t="s">
        <v>4443</v>
      </c>
      <c r="D686">
        <v>7</v>
      </c>
      <c r="E686" t="s">
        <v>3386</v>
      </c>
      <c r="F686">
        <v>1</v>
      </c>
    </row>
    <row r="687" spans="2:6" x14ac:dyDescent="0.2">
      <c r="B687" t="s">
        <v>4444</v>
      </c>
      <c r="C687" t="s">
        <v>4445</v>
      </c>
      <c r="D687">
        <v>7</v>
      </c>
      <c r="E687" t="s">
        <v>2785</v>
      </c>
      <c r="F687">
        <v>1</v>
      </c>
    </row>
    <row r="688" spans="2:6" x14ac:dyDescent="0.2">
      <c r="B688" t="s">
        <v>4446</v>
      </c>
      <c r="C688" t="s">
        <v>4447</v>
      </c>
      <c r="D688">
        <v>7</v>
      </c>
      <c r="E688" t="s">
        <v>3367</v>
      </c>
      <c r="F688">
        <v>43</v>
      </c>
    </row>
    <row r="689" spans="2:6" x14ac:dyDescent="0.2">
      <c r="B689" t="s">
        <v>1116</v>
      </c>
      <c r="C689" t="s">
        <v>4448</v>
      </c>
      <c r="D689">
        <v>7</v>
      </c>
      <c r="E689" t="s">
        <v>4449</v>
      </c>
      <c r="F689">
        <v>2</v>
      </c>
    </row>
    <row r="690" spans="2:6" x14ac:dyDescent="0.2">
      <c r="B690" t="s">
        <v>4450</v>
      </c>
      <c r="C690" t="s">
        <v>4451</v>
      </c>
      <c r="D690">
        <v>7</v>
      </c>
      <c r="E690" t="s">
        <v>3031</v>
      </c>
      <c r="F690">
        <v>3</v>
      </c>
    </row>
    <row r="691" spans="2:6" x14ac:dyDescent="0.2">
      <c r="B691" t="s">
        <v>4452</v>
      </c>
      <c r="C691" t="s">
        <v>440</v>
      </c>
      <c r="D691">
        <v>7</v>
      </c>
      <c r="E691" t="s">
        <v>3426</v>
      </c>
      <c r="F691">
        <v>1</v>
      </c>
    </row>
    <row r="692" spans="2:6" x14ac:dyDescent="0.2">
      <c r="B692" t="s">
        <v>615</v>
      </c>
      <c r="C692" t="s">
        <v>4453</v>
      </c>
      <c r="D692">
        <v>7</v>
      </c>
      <c r="E692" t="s">
        <v>3535</v>
      </c>
      <c r="F692">
        <v>10</v>
      </c>
    </row>
    <row r="693" spans="2:6" x14ac:dyDescent="0.2">
      <c r="B693" t="s">
        <v>653</v>
      </c>
      <c r="C693" t="s">
        <v>4454</v>
      </c>
      <c r="D693">
        <v>7</v>
      </c>
      <c r="E693" t="s">
        <v>3162</v>
      </c>
      <c r="F693">
        <v>1</v>
      </c>
    </row>
    <row r="694" spans="2:6" x14ac:dyDescent="0.2">
      <c r="B694" t="s">
        <v>1109</v>
      </c>
      <c r="C694" t="s">
        <v>4455</v>
      </c>
      <c r="D694">
        <v>7</v>
      </c>
      <c r="E694" t="s">
        <v>3824</v>
      </c>
      <c r="F694">
        <v>10</v>
      </c>
    </row>
    <row r="695" spans="2:6" x14ac:dyDescent="0.2">
      <c r="B695" t="s">
        <v>4456</v>
      </c>
      <c r="C695" t="s">
        <v>4457</v>
      </c>
      <c r="D695">
        <v>7</v>
      </c>
      <c r="E695" t="s">
        <v>4458</v>
      </c>
      <c r="F695">
        <v>3</v>
      </c>
    </row>
    <row r="696" spans="2:6" x14ac:dyDescent="0.2">
      <c r="B696" t="s">
        <v>704</v>
      </c>
      <c r="C696" t="s">
        <v>4459</v>
      </c>
      <c r="D696">
        <v>7</v>
      </c>
      <c r="E696" t="s">
        <v>2988</v>
      </c>
      <c r="F696">
        <v>31</v>
      </c>
    </row>
    <row r="697" spans="2:6" x14ac:dyDescent="0.2">
      <c r="B697" t="s">
        <v>4460</v>
      </c>
      <c r="C697" t="s">
        <v>4461</v>
      </c>
      <c r="D697">
        <v>7</v>
      </c>
      <c r="E697" t="s">
        <v>4462</v>
      </c>
      <c r="F697">
        <v>4</v>
      </c>
    </row>
    <row r="698" spans="2:6" x14ac:dyDescent="0.2">
      <c r="B698" t="s">
        <v>4463</v>
      </c>
      <c r="C698" t="s">
        <v>4464</v>
      </c>
      <c r="D698">
        <v>7</v>
      </c>
      <c r="E698" t="s">
        <v>4260</v>
      </c>
      <c r="F698">
        <v>1</v>
      </c>
    </row>
    <row r="699" spans="2:6" x14ac:dyDescent="0.2">
      <c r="B699" t="s">
        <v>992</v>
      </c>
      <c r="C699" t="s">
        <v>4465</v>
      </c>
      <c r="D699">
        <v>7</v>
      </c>
      <c r="E699" t="s">
        <v>3307</v>
      </c>
      <c r="F699">
        <v>5</v>
      </c>
    </row>
    <row r="700" spans="2:6" x14ac:dyDescent="0.2">
      <c r="B700" t="s">
        <v>4466</v>
      </c>
      <c r="C700" t="s">
        <v>4467</v>
      </c>
      <c r="D700">
        <v>7</v>
      </c>
      <c r="E700" t="s">
        <v>3688</v>
      </c>
      <c r="F700">
        <v>1</v>
      </c>
    </row>
    <row r="701" spans="2:6" x14ac:dyDescent="0.2">
      <c r="B701" t="s">
        <v>4468</v>
      </c>
      <c r="C701" t="s">
        <v>4469</v>
      </c>
      <c r="D701">
        <v>7</v>
      </c>
      <c r="E701" t="s">
        <v>3084</v>
      </c>
      <c r="F701">
        <v>2</v>
      </c>
    </row>
    <row r="702" spans="2:6" x14ac:dyDescent="0.2">
      <c r="B702" t="s">
        <v>4470</v>
      </c>
      <c r="C702" t="s">
        <v>4471</v>
      </c>
      <c r="D702">
        <v>7</v>
      </c>
      <c r="E702" t="s">
        <v>3475</v>
      </c>
      <c r="F702">
        <v>32</v>
      </c>
    </row>
    <row r="703" spans="2:6" x14ac:dyDescent="0.2">
      <c r="B703" t="s">
        <v>4472</v>
      </c>
      <c r="C703" t="s">
        <v>4473</v>
      </c>
      <c r="D703">
        <v>7</v>
      </c>
      <c r="E703" t="s">
        <v>3153</v>
      </c>
      <c r="F703">
        <v>1</v>
      </c>
    </row>
    <row r="704" spans="2:6" x14ac:dyDescent="0.2">
      <c r="B704" t="s">
        <v>4474</v>
      </c>
      <c r="C704" t="s">
        <v>4475</v>
      </c>
      <c r="D704">
        <v>7</v>
      </c>
      <c r="E704" t="s">
        <v>2988</v>
      </c>
      <c r="F704">
        <v>2</v>
      </c>
    </row>
    <row r="705" spans="2:6" x14ac:dyDescent="0.2">
      <c r="B705" t="s">
        <v>4476</v>
      </c>
      <c r="C705" t="s">
        <v>4477</v>
      </c>
      <c r="D705">
        <v>7</v>
      </c>
      <c r="E705" t="s">
        <v>2842</v>
      </c>
      <c r="F705">
        <v>1</v>
      </c>
    </row>
    <row r="706" spans="2:6" x14ac:dyDescent="0.2">
      <c r="B706" t="s">
        <v>4478</v>
      </c>
      <c r="C706" t="s">
        <v>4479</v>
      </c>
      <c r="D706">
        <v>7</v>
      </c>
      <c r="E706" t="s">
        <v>2857</v>
      </c>
      <c r="F706">
        <v>1</v>
      </c>
    </row>
    <row r="707" spans="2:6" x14ac:dyDescent="0.2">
      <c r="B707" t="s">
        <v>4480</v>
      </c>
      <c r="C707" t="s">
        <v>4481</v>
      </c>
      <c r="D707">
        <v>7</v>
      </c>
      <c r="E707" t="s">
        <v>3746</v>
      </c>
      <c r="F707">
        <v>2</v>
      </c>
    </row>
    <row r="708" spans="2:6" x14ac:dyDescent="0.2">
      <c r="B708" t="s">
        <v>4482</v>
      </c>
      <c r="C708" t="s">
        <v>4483</v>
      </c>
      <c r="D708">
        <v>7</v>
      </c>
      <c r="E708" t="s">
        <v>4484</v>
      </c>
      <c r="F708">
        <v>19</v>
      </c>
    </row>
    <row r="709" spans="2:6" x14ac:dyDescent="0.2">
      <c r="B709" t="s">
        <v>746</v>
      </c>
      <c r="C709" t="s">
        <v>4485</v>
      </c>
      <c r="D709">
        <v>7</v>
      </c>
      <c r="E709" t="s">
        <v>3564</v>
      </c>
      <c r="F709">
        <v>12</v>
      </c>
    </row>
    <row r="710" spans="2:6" x14ac:dyDescent="0.2">
      <c r="B710" t="s">
        <v>4486</v>
      </c>
      <c r="C710" t="s">
        <v>4487</v>
      </c>
      <c r="D710">
        <v>7</v>
      </c>
      <c r="E710" t="s">
        <v>2958</v>
      </c>
      <c r="F710">
        <v>12</v>
      </c>
    </row>
    <row r="711" spans="2:6" x14ac:dyDescent="0.2">
      <c r="B711" t="s">
        <v>4488</v>
      </c>
      <c r="C711" t="s">
        <v>4489</v>
      </c>
      <c r="D711">
        <v>7</v>
      </c>
      <c r="E711" t="s">
        <v>2811</v>
      </c>
      <c r="F711">
        <v>1</v>
      </c>
    </row>
    <row r="712" spans="2:6" x14ac:dyDescent="0.2">
      <c r="B712" t="s">
        <v>4490</v>
      </c>
      <c r="C712" t="s">
        <v>4491</v>
      </c>
      <c r="D712">
        <v>7</v>
      </c>
      <c r="E712" t="s">
        <v>2915</v>
      </c>
      <c r="F712">
        <v>1</v>
      </c>
    </row>
    <row r="713" spans="2:6" x14ac:dyDescent="0.2">
      <c r="B713" t="s">
        <v>1814</v>
      </c>
      <c r="C713" t="s">
        <v>4492</v>
      </c>
      <c r="D713">
        <v>7</v>
      </c>
      <c r="E713" t="s">
        <v>4493</v>
      </c>
      <c r="F713">
        <v>7</v>
      </c>
    </row>
    <row r="714" spans="2:6" x14ac:dyDescent="0.2">
      <c r="B714" t="s">
        <v>4494</v>
      </c>
      <c r="C714" t="s">
        <v>4495</v>
      </c>
      <c r="D714">
        <v>7</v>
      </c>
      <c r="E714" t="s">
        <v>2915</v>
      </c>
      <c r="F714">
        <v>2</v>
      </c>
    </row>
    <row r="715" spans="2:6" x14ac:dyDescent="0.2">
      <c r="B715" t="s">
        <v>4496</v>
      </c>
      <c r="C715" t="s">
        <v>4497</v>
      </c>
      <c r="D715">
        <v>7</v>
      </c>
      <c r="E715" t="s">
        <v>4498</v>
      </c>
      <c r="F715">
        <v>6</v>
      </c>
    </row>
    <row r="716" spans="2:6" x14ac:dyDescent="0.2">
      <c r="B716" t="s">
        <v>4499</v>
      </c>
      <c r="C716" t="s">
        <v>4500</v>
      </c>
      <c r="D716">
        <v>7</v>
      </c>
      <c r="E716" t="s">
        <v>4501</v>
      </c>
      <c r="F716">
        <v>2</v>
      </c>
    </row>
    <row r="717" spans="2:6" x14ac:dyDescent="0.2">
      <c r="B717" t="s">
        <v>4502</v>
      </c>
      <c r="C717" t="s">
        <v>4503</v>
      </c>
      <c r="D717">
        <v>7</v>
      </c>
      <c r="E717" t="s">
        <v>3227</v>
      </c>
      <c r="F717">
        <v>3</v>
      </c>
    </row>
    <row r="718" spans="2:6" x14ac:dyDescent="0.2">
      <c r="B718" t="s">
        <v>4504</v>
      </c>
      <c r="C718" t="s">
        <v>4505</v>
      </c>
      <c r="D718">
        <v>7</v>
      </c>
      <c r="E718" t="s">
        <v>3307</v>
      </c>
      <c r="F718">
        <v>3</v>
      </c>
    </row>
    <row r="719" spans="2:6" x14ac:dyDescent="0.2">
      <c r="B719" t="s">
        <v>4506</v>
      </c>
      <c r="C719" t="s">
        <v>4507</v>
      </c>
      <c r="D719">
        <v>7</v>
      </c>
      <c r="E719" t="s">
        <v>3688</v>
      </c>
      <c r="F719">
        <v>30</v>
      </c>
    </row>
    <row r="720" spans="2:6" x14ac:dyDescent="0.2">
      <c r="B720" t="s">
        <v>4508</v>
      </c>
      <c r="C720" t="s">
        <v>4509</v>
      </c>
      <c r="D720">
        <v>7</v>
      </c>
      <c r="E720" t="s">
        <v>4510</v>
      </c>
      <c r="F720">
        <v>2</v>
      </c>
    </row>
    <row r="721" spans="2:6" x14ac:dyDescent="0.2">
      <c r="B721" t="s">
        <v>1838</v>
      </c>
      <c r="C721" t="s">
        <v>4511</v>
      </c>
      <c r="D721">
        <v>7</v>
      </c>
      <c r="E721" t="s">
        <v>3994</v>
      </c>
      <c r="F721">
        <v>3</v>
      </c>
    </row>
    <row r="722" spans="2:6" x14ac:dyDescent="0.2">
      <c r="B722" t="s">
        <v>4512</v>
      </c>
      <c r="C722" t="s">
        <v>4513</v>
      </c>
      <c r="D722">
        <v>7</v>
      </c>
      <c r="E722" t="s">
        <v>4514</v>
      </c>
      <c r="F722">
        <v>4</v>
      </c>
    </row>
    <row r="723" spans="2:6" x14ac:dyDescent="0.2">
      <c r="B723" t="s">
        <v>4515</v>
      </c>
      <c r="C723" t="s">
        <v>4516</v>
      </c>
      <c r="D723">
        <v>7</v>
      </c>
      <c r="E723" t="s">
        <v>4517</v>
      </c>
      <c r="F723">
        <v>1</v>
      </c>
    </row>
    <row r="724" spans="2:6" x14ac:dyDescent="0.2">
      <c r="B724" t="s">
        <v>4518</v>
      </c>
      <c r="C724" t="s">
        <v>4519</v>
      </c>
      <c r="D724">
        <v>7</v>
      </c>
      <c r="E724" t="s">
        <v>4520</v>
      </c>
      <c r="F724">
        <v>2</v>
      </c>
    </row>
    <row r="725" spans="2:6" x14ac:dyDescent="0.2">
      <c r="B725" t="s">
        <v>4521</v>
      </c>
      <c r="C725" t="s">
        <v>4522</v>
      </c>
      <c r="D725">
        <v>7</v>
      </c>
      <c r="E725" t="s">
        <v>2833</v>
      </c>
      <c r="F725">
        <v>3</v>
      </c>
    </row>
    <row r="726" spans="2:6" x14ac:dyDescent="0.2">
      <c r="B726" t="s">
        <v>4523</v>
      </c>
      <c r="C726" t="s">
        <v>4524</v>
      </c>
      <c r="D726">
        <v>7</v>
      </c>
      <c r="E726" t="s">
        <v>4525</v>
      </c>
      <c r="F726">
        <v>3</v>
      </c>
    </row>
    <row r="727" spans="2:6" x14ac:dyDescent="0.2">
      <c r="B727" t="s">
        <v>503</v>
      </c>
      <c r="C727" t="s">
        <v>4526</v>
      </c>
      <c r="D727">
        <v>7</v>
      </c>
      <c r="E727" t="s">
        <v>3261</v>
      </c>
      <c r="F727">
        <v>2</v>
      </c>
    </row>
    <row r="728" spans="2:6" x14ac:dyDescent="0.2">
      <c r="B728" t="s">
        <v>601</v>
      </c>
      <c r="C728" t="s">
        <v>4527</v>
      </c>
      <c r="D728">
        <v>7</v>
      </c>
      <c r="E728" t="s">
        <v>4528</v>
      </c>
      <c r="F728">
        <v>5</v>
      </c>
    </row>
    <row r="729" spans="2:6" x14ac:dyDescent="0.2">
      <c r="B729" t="s">
        <v>4529</v>
      </c>
      <c r="C729" t="s">
        <v>4530</v>
      </c>
      <c r="D729">
        <v>7</v>
      </c>
      <c r="E729" t="s">
        <v>4531</v>
      </c>
      <c r="F729">
        <v>2</v>
      </c>
    </row>
    <row r="730" spans="2:6" x14ac:dyDescent="0.2">
      <c r="B730" t="s">
        <v>4532</v>
      </c>
      <c r="C730" t="s">
        <v>4533</v>
      </c>
      <c r="D730">
        <v>7</v>
      </c>
      <c r="E730" t="s">
        <v>4534</v>
      </c>
      <c r="F730">
        <v>1</v>
      </c>
    </row>
    <row r="731" spans="2:6" x14ac:dyDescent="0.2">
      <c r="B731" t="s">
        <v>4535</v>
      </c>
      <c r="C731" t="s">
        <v>4536</v>
      </c>
      <c r="D731">
        <v>7</v>
      </c>
      <c r="E731" t="s">
        <v>4537</v>
      </c>
      <c r="F731">
        <v>18</v>
      </c>
    </row>
    <row r="732" spans="2:6" x14ac:dyDescent="0.2">
      <c r="B732" t="s">
        <v>4538</v>
      </c>
      <c r="C732" t="s">
        <v>4539</v>
      </c>
      <c r="D732">
        <v>7</v>
      </c>
      <c r="E732" t="s">
        <v>4540</v>
      </c>
      <c r="F732">
        <v>1</v>
      </c>
    </row>
    <row r="733" spans="2:6" x14ac:dyDescent="0.2">
      <c r="B733" t="s">
        <v>1538</v>
      </c>
      <c r="C733" t="s">
        <v>4541</v>
      </c>
      <c r="D733">
        <v>7</v>
      </c>
      <c r="E733" t="s">
        <v>4542</v>
      </c>
      <c r="F733">
        <v>63</v>
      </c>
    </row>
    <row r="734" spans="2:6" x14ac:dyDescent="0.2">
      <c r="B734" t="s">
        <v>4543</v>
      </c>
      <c r="C734" t="s">
        <v>4544</v>
      </c>
      <c r="D734">
        <v>7</v>
      </c>
      <c r="E734" t="s">
        <v>3092</v>
      </c>
      <c r="F734">
        <v>11</v>
      </c>
    </row>
    <row r="735" spans="2:6" x14ac:dyDescent="0.2">
      <c r="B735" t="s">
        <v>1552</v>
      </c>
      <c r="C735" t="s">
        <v>4545</v>
      </c>
      <c r="D735">
        <v>7</v>
      </c>
      <c r="E735" t="s">
        <v>3628</v>
      </c>
      <c r="F735">
        <v>2</v>
      </c>
    </row>
    <row r="736" spans="2:6" x14ac:dyDescent="0.2">
      <c r="B736" t="s">
        <v>4546</v>
      </c>
      <c r="C736" t="s">
        <v>4547</v>
      </c>
      <c r="D736">
        <v>7</v>
      </c>
      <c r="E736" t="s">
        <v>2785</v>
      </c>
      <c r="F736">
        <v>1</v>
      </c>
    </row>
    <row r="737" spans="2:6" x14ac:dyDescent="0.2">
      <c r="B737" t="s">
        <v>4548</v>
      </c>
      <c r="C737" t="s">
        <v>4549</v>
      </c>
      <c r="D737">
        <v>7</v>
      </c>
      <c r="E737" t="s">
        <v>4550</v>
      </c>
      <c r="F737">
        <v>1</v>
      </c>
    </row>
    <row r="738" spans="2:6" x14ac:dyDescent="0.2">
      <c r="B738" t="s">
        <v>851</v>
      </c>
      <c r="C738" t="s">
        <v>4551</v>
      </c>
      <c r="D738">
        <v>7</v>
      </c>
      <c r="E738" t="s">
        <v>3901</v>
      </c>
      <c r="F738">
        <v>1</v>
      </c>
    </row>
    <row r="739" spans="2:6" x14ac:dyDescent="0.2">
      <c r="B739" t="s">
        <v>4552</v>
      </c>
      <c r="C739" t="s">
        <v>4553</v>
      </c>
      <c r="D739">
        <v>7</v>
      </c>
      <c r="E739" t="s">
        <v>4554</v>
      </c>
      <c r="F739">
        <v>11</v>
      </c>
    </row>
    <row r="740" spans="2:6" x14ac:dyDescent="0.2">
      <c r="B740" t="s">
        <v>4555</v>
      </c>
      <c r="C740" t="s">
        <v>4556</v>
      </c>
      <c r="D740">
        <v>7</v>
      </c>
      <c r="E740" t="s">
        <v>4557</v>
      </c>
      <c r="F740">
        <v>1</v>
      </c>
    </row>
    <row r="741" spans="2:6" x14ac:dyDescent="0.2">
      <c r="B741" t="s">
        <v>4558</v>
      </c>
      <c r="C741" t="s">
        <v>4559</v>
      </c>
      <c r="D741">
        <v>7</v>
      </c>
      <c r="E741" t="s">
        <v>4560</v>
      </c>
      <c r="F741">
        <v>21</v>
      </c>
    </row>
    <row r="742" spans="2:6" x14ac:dyDescent="0.2">
      <c r="B742" t="s">
        <v>4561</v>
      </c>
      <c r="C742" t="s">
        <v>4562</v>
      </c>
      <c r="D742">
        <v>7</v>
      </c>
      <c r="E742" t="s">
        <v>3316</v>
      </c>
      <c r="F742">
        <v>2</v>
      </c>
    </row>
    <row r="743" spans="2:6" x14ac:dyDescent="0.2">
      <c r="B743" t="s">
        <v>4563</v>
      </c>
      <c r="C743" t="s">
        <v>4564</v>
      </c>
      <c r="D743">
        <v>7</v>
      </c>
      <c r="E743" t="s">
        <v>3081</v>
      </c>
      <c r="F743">
        <v>5</v>
      </c>
    </row>
    <row r="744" spans="2:6" x14ac:dyDescent="0.2">
      <c r="B744" t="s">
        <v>4565</v>
      </c>
      <c r="C744" t="s">
        <v>4566</v>
      </c>
      <c r="D744">
        <v>7</v>
      </c>
      <c r="E744" t="s">
        <v>4567</v>
      </c>
      <c r="F744">
        <v>3</v>
      </c>
    </row>
    <row r="745" spans="2:6" x14ac:dyDescent="0.2">
      <c r="B745" t="s">
        <v>4568</v>
      </c>
      <c r="C745" t="s">
        <v>4569</v>
      </c>
      <c r="D745">
        <v>7</v>
      </c>
      <c r="E745" t="s">
        <v>2892</v>
      </c>
      <c r="F745">
        <v>1</v>
      </c>
    </row>
    <row r="746" spans="2:6" x14ac:dyDescent="0.2">
      <c r="B746" t="s">
        <v>4570</v>
      </c>
      <c r="C746" t="s">
        <v>4571</v>
      </c>
      <c r="D746">
        <v>7</v>
      </c>
      <c r="E746" t="s">
        <v>3109</v>
      </c>
      <c r="F746">
        <v>2</v>
      </c>
    </row>
    <row r="747" spans="2:6" x14ac:dyDescent="0.2">
      <c r="B747" t="s">
        <v>336</v>
      </c>
      <c r="C747" t="s">
        <v>4572</v>
      </c>
      <c r="D747">
        <v>7</v>
      </c>
      <c r="E747" t="s">
        <v>3564</v>
      </c>
      <c r="F747">
        <v>11</v>
      </c>
    </row>
    <row r="748" spans="2:6" x14ac:dyDescent="0.2">
      <c r="B748" t="s">
        <v>4573</v>
      </c>
      <c r="C748" t="s">
        <v>4574</v>
      </c>
      <c r="D748">
        <v>7</v>
      </c>
      <c r="E748" t="s">
        <v>4575</v>
      </c>
      <c r="F748">
        <v>3</v>
      </c>
    </row>
    <row r="749" spans="2:6" x14ac:dyDescent="0.2">
      <c r="B749" t="s">
        <v>4576</v>
      </c>
      <c r="C749" t="s">
        <v>4577</v>
      </c>
      <c r="D749">
        <v>7</v>
      </c>
      <c r="E749" t="s">
        <v>2785</v>
      </c>
      <c r="F749">
        <v>2</v>
      </c>
    </row>
    <row r="750" spans="2:6" x14ac:dyDescent="0.2">
      <c r="B750" t="s">
        <v>4578</v>
      </c>
      <c r="C750" t="s">
        <v>4579</v>
      </c>
      <c r="D750">
        <v>7</v>
      </c>
      <c r="E750" t="s">
        <v>4580</v>
      </c>
      <c r="F750">
        <v>2</v>
      </c>
    </row>
    <row r="751" spans="2:6" x14ac:dyDescent="0.2">
      <c r="B751" t="s">
        <v>818</v>
      </c>
      <c r="C751" t="s">
        <v>4581</v>
      </c>
      <c r="D751">
        <v>7</v>
      </c>
      <c r="E751" t="s">
        <v>3316</v>
      </c>
      <c r="F751">
        <v>1</v>
      </c>
    </row>
    <row r="752" spans="2:6" x14ac:dyDescent="0.2">
      <c r="B752" t="s">
        <v>417</v>
      </c>
      <c r="C752" t="s">
        <v>4582</v>
      </c>
      <c r="D752">
        <v>7</v>
      </c>
      <c r="E752" t="s">
        <v>4583</v>
      </c>
      <c r="F752">
        <v>51</v>
      </c>
    </row>
    <row r="753" spans="2:6" x14ac:dyDescent="0.2">
      <c r="B753" t="s">
        <v>2036</v>
      </c>
      <c r="C753" t="s">
        <v>4584</v>
      </c>
      <c r="D753">
        <v>7</v>
      </c>
      <c r="E753" t="s">
        <v>4585</v>
      </c>
      <c r="F753">
        <v>1</v>
      </c>
    </row>
    <row r="754" spans="2:6" x14ac:dyDescent="0.2">
      <c r="B754" t="s">
        <v>4586</v>
      </c>
      <c r="C754" t="s">
        <v>4587</v>
      </c>
      <c r="D754">
        <v>7</v>
      </c>
      <c r="E754" t="s">
        <v>2949</v>
      </c>
      <c r="F754">
        <v>3</v>
      </c>
    </row>
    <row r="755" spans="2:6" x14ac:dyDescent="0.2">
      <c r="B755" t="s">
        <v>4588</v>
      </c>
      <c r="C755" t="s">
        <v>4589</v>
      </c>
      <c r="D755">
        <v>7</v>
      </c>
      <c r="E755" t="s">
        <v>4590</v>
      </c>
      <c r="F755">
        <v>22</v>
      </c>
    </row>
    <row r="756" spans="2:6" x14ac:dyDescent="0.2">
      <c r="B756" t="s">
        <v>4591</v>
      </c>
      <c r="C756" t="s">
        <v>4592</v>
      </c>
      <c r="D756">
        <v>7</v>
      </c>
      <c r="E756" t="s">
        <v>4593</v>
      </c>
      <c r="F756">
        <v>5</v>
      </c>
    </row>
    <row r="757" spans="2:6" x14ac:dyDescent="0.2">
      <c r="B757" t="s">
        <v>416</v>
      </c>
      <c r="C757" t="s">
        <v>4594</v>
      </c>
      <c r="D757">
        <v>7</v>
      </c>
      <c r="E757" t="s">
        <v>3119</v>
      </c>
      <c r="F757">
        <v>1</v>
      </c>
    </row>
    <row r="758" spans="2:6" x14ac:dyDescent="0.2">
      <c r="B758" t="s">
        <v>4595</v>
      </c>
      <c r="C758" t="s">
        <v>4596</v>
      </c>
      <c r="D758">
        <v>7</v>
      </c>
      <c r="E758" t="s">
        <v>2892</v>
      </c>
      <c r="F758">
        <v>2</v>
      </c>
    </row>
    <row r="759" spans="2:6" x14ac:dyDescent="0.2">
      <c r="B759" t="s">
        <v>4597</v>
      </c>
      <c r="C759" t="s">
        <v>4598</v>
      </c>
      <c r="D759">
        <v>7</v>
      </c>
      <c r="E759" t="s">
        <v>3952</v>
      </c>
      <c r="F759">
        <v>3</v>
      </c>
    </row>
    <row r="760" spans="2:6" x14ac:dyDescent="0.2">
      <c r="B760" t="s">
        <v>4599</v>
      </c>
      <c r="C760" t="s">
        <v>4600</v>
      </c>
      <c r="D760">
        <v>7</v>
      </c>
      <c r="E760" t="s">
        <v>3316</v>
      </c>
      <c r="F760">
        <v>1</v>
      </c>
    </row>
    <row r="761" spans="2:6" x14ac:dyDescent="0.2">
      <c r="B761" t="s">
        <v>845</v>
      </c>
      <c r="C761" t="s">
        <v>4601</v>
      </c>
      <c r="D761">
        <v>7</v>
      </c>
      <c r="E761" t="s">
        <v>3316</v>
      </c>
      <c r="F761">
        <v>2</v>
      </c>
    </row>
    <row r="762" spans="2:6" x14ac:dyDescent="0.2">
      <c r="B762" t="s">
        <v>4602</v>
      </c>
      <c r="C762" t="s">
        <v>4603</v>
      </c>
      <c r="D762">
        <v>7</v>
      </c>
      <c r="E762" t="s">
        <v>4335</v>
      </c>
      <c r="F762">
        <v>5</v>
      </c>
    </row>
    <row r="763" spans="2:6" x14ac:dyDescent="0.2">
      <c r="B763" t="s">
        <v>4604</v>
      </c>
      <c r="C763" t="s">
        <v>4605</v>
      </c>
      <c r="D763">
        <v>7</v>
      </c>
      <c r="E763" t="s">
        <v>4606</v>
      </c>
      <c r="F763">
        <v>4</v>
      </c>
    </row>
    <row r="764" spans="2:6" x14ac:dyDescent="0.2">
      <c r="B764" t="s">
        <v>4607</v>
      </c>
      <c r="C764" t="s">
        <v>4608</v>
      </c>
      <c r="D764">
        <v>7</v>
      </c>
      <c r="E764" t="s">
        <v>2915</v>
      </c>
      <c r="F764">
        <v>3</v>
      </c>
    </row>
    <row r="765" spans="2:6" x14ac:dyDescent="0.2">
      <c r="B765" t="s">
        <v>4609</v>
      </c>
      <c r="C765" t="s">
        <v>4610</v>
      </c>
      <c r="D765">
        <v>7</v>
      </c>
      <c r="E765" t="s">
        <v>3106</v>
      </c>
      <c r="F765">
        <v>1</v>
      </c>
    </row>
    <row r="766" spans="2:6" x14ac:dyDescent="0.2">
      <c r="B766" t="s">
        <v>4611</v>
      </c>
      <c r="C766" t="s">
        <v>3630</v>
      </c>
      <c r="D766">
        <v>7</v>
      </c>
      <c r="E766" t="s">
        <v>4612</v>
      </c>
      <c r="F766">
        <v>2</v>
      </c>
    </row>
    <row r="767" spans="2:6" x14ac:dyDescent="0.2">
      <c r="B767" t="s">
        <v>4613</v>
      </c>
      <c r="C767" t="s">
        <v>4614</v>
      </c>
      <c r="D767">
        <v>7</v>
      </c>
      <c r="E767" t="s">
        <v>4615</v>
      </c>
      <c r="F767">
        <v>30</v>
      </c>
    </row>
    <row r="768" spans="2:6" x14ac:dyDescent="0.2">
      <c r="B768" t="s">
        <v>4616</v>
      </c>
      <c r="C768" t="s">
        <v>4617</v>
      </c>
      <c r="D768">
        <v>7</v>
      </c>
      <c r="E768" t="s">
        <v>4618</v>
      </c>
      <c r="F768">
        <v>2</v>
      </c>
    </row>
    <row r="769" spans="2:6" x14ac:dyDescent="0.2">
      <c r="B769" t="s">
        <v>4619</v>
      </c>
      <c r="C769" t="s">
        <v>4620</v>
      </c>
      <c r="D769">
        <v>7</v>
      </c>
      <c r="E769" t="s">
        <v>4621</v>
      </c>
      <c r="F769">
        <v>6</v>
      </c>
    </row>
    <row r="770" spans="2:6" x14ac:dyDescent="0.2">
      <c r="B770" t="s">
        <v>4622</v>
      </c>
      <c r="C770" t="s">
        <v>4483</v>
      </c>
      <c r="D770">
        <v>7</v>
      </c>
      <c r="E770" t="s">
        <v>4623</v>
      </c>
      <c r="F770">
        <v>5</v>
      </c>
    </row>
    <row r="771" spans="2:6" x14ac:dyDescent="0.2">
      <c r="B771" t="s">
        <v>4624</v>
      </c>
      <c r="C771" t="s">
        <v>4625</v>
      </c>
      <c r="D771">
        <v>7</v>
      </c>
      <c r="E771" t="s">
        <v>4626</v>
      </c>
      <c r="F771">
        <v>2</v>
      </c>
    </row>
    <row r="772" spans="2:6" x14ac:dyDescent="0.2">
      <c r="B772" t="s">
        <v>4627</v>
      </c>
      <c r="C772" t="s">
        <v>4628</v>
      </c>
      <c r="D772">
        <v>7</v>
      </c>
      <c r="E772" t="s">
        <v>4629</v>
      </c>
      <c r="F772">
        <v>5</v>
      </c>
    </row>
    <row r="773" spans="2:6" x14ac:dyDescent="0.2">
      <c r="B773" t="s">
        <v>4630</v>
      </c>
      <c r="C773" t="s">
        <v>4631</v>
      </c>
      <c r="D773">
        <v>7</v>
      </c>
      <c r="E773" t="s">
        <v>4632</v>
      </c>
      <c r="F773">
        <v>4</v>
      </c>
    </row>
    <row r="774" spans="2:6" x14ac:dyDescent="0.2">
      <c r="B774" t="s">
        <v>4633</v>
      </c>
      <c r="C774" t="s">
        <v>4634</v>
      </c>
      <c r="D774">
        <v>7</v>
      </c>
      <c r="E774" t="s">
        <v>4635</v>
      </c>
      <c r="F774">
        <v>16</v>
      </c>
    </row>
    <row r="775" spans="2:6" x14ac:dyDescent="0.2">
      <c r="B775" t="s">
        <v>4636</v>
      </c>
      <c r="C775" t="s">
        <v>4637</v>
      </c>
      <c r="D775">
        <v>7</v>
      </c>
      <c r="E775" t="s">
        <v>4638</v>
      </c>
      <c r="F775">
        <v>10</v>
      </c>
    </row>
    <row r="776" spans="2:6" x14ac:dyDescent="0.2">
      <c r="B776" t="s">
        <v>4639</v>
      </c>
      <c r="C776" t="s">
        <v>4640</v>
      </c>
      <c r="D776">
        <v>7</v>
      </c>
      <c r="E776" t="s">
        <v>4260</v>
      </c>
      <c r="F776">
        <v>9</v>
      </c>
    </row>
    <row r="777" spans="2:6" x14ac:dyDescent="0.2">
      <c r="B777" t="s">
        <v>996</v>
      </c>
      <c r="C777" t="s">
        <v>4641</v>
      </c>
      <c r="D777">
        <v>7</v>
      </c>
      <c r="E777" t="s">
        <v>3671</v>
      </c>
      <c r="F777">
        <v>9</v>
      </c>
    </row>
    <row r="778" spans="2:6" x14ac:dyDescent="0.2">
      <c r="B778" t="s">
        <v>4642</v>
      </c>
      <c r="C778" t="s">
        <v>4643</v>
      </c>
      <c r="D778">
        <v>7</v>
      </c>
      <c r="E778" t="s">
        <v>2921</v>
      </c>
      <c r="F778">
        <v>2</v>
      </c>
    </row>
    <row r="779" spans="2:6" x14ac:dyDescent="0.2">
      <c r="B779" t="s">
        <v>2130</v>
      </c>
      <c r="C779" t="s">
        <v>4644</v>
      </c>
      <c r="D779">
        <v>7</v>
      </c>
      <c r="E779" t="s">
        <v>4645</v>
      </c>
      <c r="F779">
        <v>1</v>
      </c>
    </row>
    <row r="780" spans="2:6" x14ac:dyDescent="0.2">
      <c r="B780" t="s">
        <v>4646</v>
      </c>
      <c r="C780" t="s">
        <v>4647</v>
      </c>
      <c r="D780">
        <v>7</v>
      </c>
      <c r="E780" t="s">
        <v>2892</v>
      </c>
      <c r="F780">
        <v>16</v>
      </c>
    </row>
    <row r="781" spans="2:6" x14ac:dyDescent="0.2">
      <c r="B781" t="s">
        <v>4648</v>
      </c>
      <c r="C781" t="s">
        <v>4649</v>
      </c>
      <c r="D781">
        <v>7</v>
      </c>
      <c r="E781" t="s">
        <v>4650</v>
      </c>
      <c r="F781">
        <v>8</v>
      </c>
    </row>
    <row r="782" spans="2:6" x14ac:dyDescent="0.2">
      <c r="B782" t="s">
        <v>4651</v>
      </c>
      <c r="C782" t="s">
        <v>4652</v>
      </c>
      <c r="D782">
        <v>7</v>
      </c>
      <c r="E782" t="s">
        <v>3567</v>
      </c>
      <c r="F782">
        <v>1</v>
      </c>
    </row>
    <row r="783" spans="2:6" x14ac:dyDescent="0.2">
      <c r="B783" t="s">
        <v>4653</v>
      </c>
      <c r="C783" t="s">
        <v>4654</v>
      </c>
      <c r="D783">
        <v>7</v>
      </c>
      <c r="E783" t="s">
        <v>3386</v>
      </c>
      <c r="F783">
        <v>1</v>
      </c>
    </row>
    <row r="784" spans="2:6" x14ac:dyDescent="0.2">
      <c r="B784" t="s">
        <v>1045</v>
      </c>
      <c r="C784" t="s">
        <v>4655</v>
      </c>
      <c r="D784">
        <v>7</v>
      </c>
      <c r="E784" t="s">
        <v>3133</v>
      </c>
      <c r="F784">
        <v>2</v>
      </c>
    </row>
    <row r="785" spans="2:6" x14ac:dyDescent="0.2">
      <c r="B785" t="s">
        <v>4656</v>
      </c>
      <c r="C785" t="s">
        <v>4657</v>
      </c>
      <c r="D785">
        <v>7</v>
      </c>
      <c r="E785" t="s">
        <v>2985</v>
      </c>
      <c r="F785">
        <v>4</v>
      </c>
    </row>
    <row r="786" spans="2:6" x14ac:dyDescent="0.2">
      <c r="B786" t="s">
        <v>4658</v>
      </c>
      <c r="C786" t="s">
        <v>4291</v>
      </c>
      <c r="D786">
        <v>7</v>
      </c>
      <c r="E786" t="s">
        <v>4659</v>
      </c>
      <c r="F786">
        <v>2</v>
      </c>
    </row>
    <row r="787" spans="2:6" x14ac:dyDescent="0.2">
      <c r="B787" t="s">
        <v>4660</v>
      </c>
      <c r="C787" t="s">
        <v>4661</v>
      </c>
      <c r="D787">
        <v>7</v>
      </c>
      <c r="E787" t="s">
        <v>2915</v>
      </c>
      <c r="F787">
        <v>2</v>
      </c>
    </row>
    <row r="788" spans="2:6" x14ac:dyDescent="0.2">
      <c r="B788" t="s">
        <v>461</v>
      </c>
      <c r="C788" t="s">
        <v>4662</v>
      </c>
      <c r="D788">
        <v>7</v>
      </c>
      <c r="E788" t="s">
        <v>2958</v>
      </c>
      <c r="F788">
        <v>9</v>
      </c>
    </row>
    <row r="789" spans="2:6" x14ac:dyDescent="0.2">
      <c r="B789" t="s">
        <v>4663</v>
      </c>
      <c r="C789" t="s">
        <v>4664</v>
      </c>
      <c r="D789">
        <v>7</v>
      </c>
      <c r="E789" t="s">
        <v>3004</v>
      </c>
      <c r="F789">
        <v>8</v>
      </c>
    </row>
    <row r="790" spans="2:6" x14ac:dyDescent="0.2">
      <c r="B790" t="s">
        <v>4665</v>
      </c>
      <c r="C790" t="s">
        <v>4666</v>
      </c>
      <c r="D790">
        <v>7</v>
      </c>
      <c r="E790" t="s">
        <v>4667</v>
      </c>
      <c r="F790">
        <v>1</v>
      </c>
    </row>
    <row r="791" spans="2:6" x14ac:dyDescent="0.2">
      <c r="B791" t="s">
        <v>4668</v>
      </c>
      <c r="C791" t="s">
        <v>4669</v>
      </c>
      <c r="D791">
        <v>7</v>
      </c>
      <c r="E791" t="s">
        <v>4670</v>
      </c>
      <c r="F791">
        <v>5</v>
      </c>
    </row>
    <row r="792" spans="2:6" x14ac:dyDescent="0.2">
      <c r="B792" t="s">
        <v>4671</v>
      </c>
      <c r="C792" t="s">
        <v>4672</v>
      </c>
      <c r="D792">
        <v>7</v>
      </c>
      <c r="E792" t="s">
        <v>3957</v>
      </c>
      <c r="F792">
        <v>1</v>
      </c>
    </row>
    <row r="793" spans="2:6" x14ac:dyDescent="0.2">
      <c r="B793" t="s">
        <v>4673</v>
      </c>
      <c r="C793" t="s">
        <v>4674</v>
      </c>
      <c r="D793">
        <v>7</v>
      </c>
      <c r="E793" t="s">
        <v>4675</v>
      </c>
      <c r="F793">
        <v>2</v>
      </c>
    </row>
    <row r="794" spans="2:6" x14ac:dyDescent="0.2">
      <c r="B794" t="s">
        <v>4676</v>
      </c>
      <c r="C794" t="s">
        <v>4677</v>
      </c>
      <c r="D794">
        <v>7</v>
      </c>
      <c r="E794" t="s">
        <v>3095</v>
      </c>
      <c r="F794">
        <v>2</v>
      </c>
    </row>
    <row r="795" spans="2:6" x14ac:dyDescent="0.2">
      <c r="B795" t="s">
        <v>4678</v>
      </c>
      <c r="C795" t="s">
        <v>4679</v>
      </c>
      <c r="D795">
        <v>7</v>
      </c>
      <c r="E795" t="s">
        <v>4629</v>
      </c>
      <c r="F795">
        <v>1</v>
      </c>
    </row>
    <row r="796" spans="2:6" x14ac:dyDescent="0.2">
      <c r="B796" t="s">
        <v>444</v>
      </c>
      <c r="C796" t="s">
        <v>4680</v>
      </c>
      <c r="D796">
        <v>7</v>
      </c>
      <c r="E796" t="s">
        <v>2958</v>
      </c>
      <c r="F796">
        <v>9</v>
      </c>
    </row>
    <row r="797" spans="2:6" x14ac:dyDescent="0.2">
      <c r="B797" t="s">
        <v>4681</v>
      </c>
      <c r="C797" t="s">
        <v>4682</v>
      </c>
      <c r="D797">
        <v>7</v>
      </c>
      <c r="E797" t="s">
        <v>3139</v>
      </c>
      <c r="F797">
        <v>3</v>
      </c>
    </row>
    <row r="798" spans="2:6" x14ac:dyDescent="0.2">
      <c r="B798" t="s">
        <v>4683</v>
      </c>
      <c r="C798" t="s">
        <v>4684</v>
      </c>
      <c r="D798">
        <v>7</v>
      </c>
      <c r="E798" t="s">
        <v>4685</v>
      </c>
      <c r="F798">
        <v>2</v>
      </c>
    </row>
    <row r="799" spans="2:6" x14ac:dyDescent="0.2">
      <c r="B799" t="s">
        <v>414</v>
      </c>
      <c r="C799" t="s">
        <v>4686</v>
      </c>
      <c r="D799">
        <v>7</v>
      </c>
      <c r="E799" t="s">
        <v>4687</v>
      </c>
      <c r="F799">
        <v>17</v>
      </c>
    </row>
    <row r="800" spans="2:6" x14ac:dyDescent="0.2">
      <c r="B800" t="s">
        <v>4688</v>
      </c>
      <c r="C800" t="s">
        <v>4689</v>
      </c>
      <c r="D800">
        <v>7</v>
      </c>
      <c r="E800" t="s">
        <v>4690</v>
      </c>
      <c r="F800">
        <v>1</v>
      </c>
    </row>
    <row r="801" spans="2:6" x14ac:dyDescent="0.2">
      <c r="B801" t="s">
        <v>4691</v>
      </c>
      <c r="C801" t="s">
        <v>4692</v>
      </c>
      <c r="D801">
        <v>7</v>
      </c>
      <c r="E801" t="s">
        <v>4693</v>
      </c>
      <c r="F801">
        <v>1</v>
      </c>
    </row>
    <row r="802" spans="2:6" x14ac:dyDescent="0.2">
      <c r="B802" t="s">
        <v>305</v>
      </c>
      <c r="C802" t="s">
        <v>4694</v>
      </c>
      <c r="D802">
        <v>7</v>
      </c>
      <c r="E802" t="s">
        <v>3321</v>
      </c>
      <c r="F802">
        <v>1</v>
      </c>
    </row>
    <row r="803" spans="2:6" x14ac:dyDescent="0.2">
      <c r="B803" t="s">
        <v>4695</v>
      </c>
      <c r="C803" t="s">
        <v>4696</v>
      </c>
      <c r="D803">
        <v>7</v>
      </c>
      <c r="E803" t="s">
        <v>3597</v>
      </c>
      <c r="F803">
        <v>8</v>
      </c>
    </row>
    <row r="804" spans="2:6" x14ac:dyDescent="0.2">
      <c r="B804" t="s">
        <v>4697</v>
      </c>
      <c r="C804" t="s">
        <v>4698</v>
      </c>
      <c r="D804">
        <v>7</v>
      </c>
      <c r="E804" t="s">
        <v>4699</v>
      </c>
      <c r="F804">
        <v>1</v>
      </c>
    </row>
    <row r="805" spans="2:6" x14ac:dyDescent="0.2">
      <c r="B805" t="s">
        <v>4700</v>
      </c>
      <c r="C805" t="s">
        <v>4701</v>
      </c>
      <c r="D805">
        <v>7</v>
      </c>
      <c r="E805" t="s">
        <v>4702</v>
      </c>
      <c r="F805">
        <v>1</v>
      </c>
    </row>
    <row r="806" spans="2:6" x14ac:dyDescent="0.2">
      <c r="B806" t="s">
        <v>4703</v>
      </c>
      <c r="C806" t="s">
        <v>4704</v>
      </c>
      <c r="D806">
        <v>7</v>
      </c>
      <c r="E806" t="s">
        <v>3455</v>
      </c>
      <c r="F806">
        <v>2</v>
      </c>
    </row>
    <row r="807" spans="2:6" x14ac:dyDescent="0.2">
      <c r="B807" t="s">
        <v>4705</v>
      </c>
      <c r="C807" t="s">
        <v>4706</v>
      </c>
      <c r="D807">
        <v>7</v>
      </c>
      <c r="E807" t="s">
        <v>3957</v>
      </c>
      <c r="F807">
        <v>1</v>
      </c>
    </row>
    <row r="808" spans="2:6" x14ac:dyDescent="0.2">
      <c r="B808" t="s">
        <v>4707</v>
      </c>
      <c r="C808" t="s">
        <v>4708</v>
      </c>
      <c r="D808">
        <v>7</v>
      </c>
      <c r="E808" t="s">
        <v>4709</v>
      </c>
      <c r="F808">
        <v>8</v>
      </c>
    </row>
    <row r="809" spans="2:6" x14ac:dyDescent="0.2">
      <c r="B809" t="s">
        <v>4710</v>
      </c>
      <c r="C809" t="s">
        <v>4711</v>
      </c>
      <c r="D809">
        <v>7</v>
      </c>
      <c r="E809" t="s">
        <v>3139</v>
      </c>
      <c r="F809">
        <v>1</v>
      </c>
    </row>
    <row r="810" spans="2:6" x14ac:dyDescent="0.2">
      <c r="B810" t="s">
        <v>4712</v>
      </c>
      <c r="C810" t="s">
        <v>4713</v>
      </c>
      <c r="D810">
        <v>7</v>
      </c>
      <c r="E810" t="s">
        <v>3994</v>
      </c>
      <c r="F810">
        <v>11</v>
      </c>
    </row>
    <row r="811" spans="2:6" x14ac:dyDescent="0.2">
      <c r="B811" t="s">
        <v>1092</v>
      </c>
      <c r="C811" t="s">
        <v>4714</v>
      </c>
      <c r="D811">
        <v>7</v>
      </c>
      <c r="E811" t="s">
        <v>2788</v>
      </c>
      <c r="F811">
        <v>1</v>
      </c>
    </row>
    <row r="812" spans="2:6" x14ac:dyDescent="0.2">
      <c r="B812" t="s">
        <v>847</v>
      </c>
      <c r="C812" t="s">
        <v>4715</v>
      </c>
      <c r="D812">
        <v>7</v>
      </c>
      <c r="E812" t="s">
        <v>4716</v>
      </c>
      <c r="F812">
        <v>1</v>
      </c>
    </row>
    <row r="813" spans="2:6" x14ac:dyDescent="0.2">
      <c r="B813" t="s">
        <v>181</v>
      </c>
      <c r="C813" t="s">
        <v>4717</v>
      </c>
      <c r="D813">
        <v>7</v>
      </c>
      <c r="E813" t="s">
        <v>4718</v>
      </c>
      <c r="F813">
        <v>15</v>
      </c>
    </row>
    <row r="814" spans="2:6" x14ac:dyDescent="0.2">
      <c r="B814" t="s">
        <v>4719</v>
      </c>
      <c r="C814" t="s">
        <v>4720</v>
      </c>
      <c r="D814">
        <v>7</v>
      </c>
      <c r="E814" t="s">
        <v>4580</v>
      </c>
      <c r="F814">
        <v>1</v>
      </c>
    </row>
    <row r="815" spans="2:6" x14ac:dyDescent="0.2">
      <c r="B815" t="s">
        <v>4721</v>
      </c>
      <c r="C815" t="s">
        <v>4722</v>
      </c>
      <c r="D815">
        <v>7</v>
      </c>
      <c r="E815" t="s">
        <v>4723</v>
      </c>
      <c r="F815">
        <v>3</v>
      </c>
    </row>
    <row r="816" spans="2:6" x14ac:dyDescent="0.2">
      <c r="B816" t="s">
        <v>4724</v>
      </c>
      <c r="C816" t="s">
        <v>4725</v>
      </c>
      <c r="D816">
        <v>7</v>
      </c>
      <c r="E816" t="s">
        <v>3031</v>
      </c>
      <c r="F816">
        <v>2</v>
      </c>
    </row>
    <row r="817" spans="2:6" x14ac:dyDescent="0.2">
      <c r="B817" t="s">
        <v>4726</v>
      </c>
      <c r="C817" t="s">
        <v>4727</v>
      </c>
      <c r="D817">
        <v>7</v>
      </c>
      <c r="E817" t="s">
        <v>3516</v>
      </c>
      <c r="F817">
        <v>3</v>
      </c>
    </row>
    <row r="818" spans="2:6" x14ac:dyDescent="0.2">
      <c r="B818" t="s">
        <v>4728</v>
      </c>
      <c r="C818" t="s">
        <v>4729</v>
      </c>
      <c r="D818">
        <v>7</v>
      </c>
      <c r="E818" t="s">
        <v>2985</v>
      </c>
      <c r="F818">
        <v>1</v>
      </c>
    </row>
    <row r="819" spans="2:6" x14ac:dyDescent="0.2">
      <c r="B819" t="s">
        <v>4730</v>
      </c>
      <c r="C819" t="s">
        <v>4731</v>
      </c>
      <c r="D819">
        <v>7</v>
      </c>
      <c r="E819" t="s">
        <v>3059</v>
      </c>
      <c r="F819">
        <v>2</v>
      </c>
    </row>
    <row r="820" spans="2:6" x14ac:dyDescent="0.2">
      <c r="B820" t="s">
        <v>4732</v>
      </c>
      <c r="C820" t="s">
        <v>4733</v>
      </c>
      <c r="D820">
        <v>7</v>
      </c>
      <c r="E820" t="s">
        <v>2850</v>
      </c>
      <c r="F820">
        <v>1</v>
      </c>
    </row>
    <row r="821" spans="2:6" x14ac:dyDescent="0.2">
      <c r="B821" t="s">
        <v>4734</v>
      </c>
      <c r="C821" t="s">
        <v>4735</v>
      </c>
      <c r="D821">
        <v>7</v>
      </c>
      <c r="E821" t="s">
        <v>2915</v>
      </c>
      <c r="F821">
        <v>8</v>
      </c>
    </row>
    <row r="822" spans="2:6" x14ac:dyDescent="0.2">
      <c r="B822" t="s">
        <v>4736</v>
      </c>
      <c r="C822" t="s">
        <v>4737</v>
      </c>
      <c r="D822">
        <v>7</v>
      </c>
      <c r="E822" t="s">
        <v>4738</v>
      </c>
      <c r="F822">
        <v>11</v>
      </c>
    </row>
    <row r="823" spans="2:6" x14ac:dyDescent="0.2">
      <c r="B823" t="s">
        <v>4739</v>
      </c>
      <c r="C823" t="s">
        <v>4740</v>
      </c>
      <c r="D823">
        <v>7</v>
      </c>
      <c r="E823" t="s">
        <v>4367</v>
      </c>
      <c r="F823">
        <v>1</v>
      </c>
    </row>
    <row r="824" spans="2:6" x14ac:dyDescent="0.2">
      <c r="B824" t="s">
        <v>627</v>
      </c>
      <c r="C824" t="s">
        <v>4741</v>
      </c>
      <c r="D824">
        <v>7</v>
      </c>
      <c r="E824" t="s">
        <v>3591</v>
      </c>
      <c r="F824">
        <v>54</v>
      </c>
    </row>
    <row r="825" spans="2:6" x14ac:dyDescent="0.2">
      <c r="B825" t="s">
        <v>4742</v>
      </c>
      <c r="C825" t="s">
        <v>4743</v>
      </c>
      <c r="D825">
        <v>7</v>
      </c>
      <c r="E825" t="s">
        <v>4744</v>
      </c>
      <c r="F825">
        <v>2</v>
      </c>
    </row>
    <row r="826" spans="2:6" x14ac:dyDescent="0.2">
      <c r="B826" t="s">
        <v>4745</v>
      </c>
      <c r="C826" t="s">
        <v>4457</v>
      </c>
      <c r="D826">
        <v>7</v>
      </c>
      <c r="E826" t="s">
        <v>2921</v>
      </c>
      <c r="F826">
        <v>6</v>
      </c>
    </row>
    <row r="827" spans="2:6" x14ac:dyDescent="0.2">
      <c r="B827" t="s">
        <v>4746</v>
      </c>
      <c r="C827" t="s">
        <v>4553</v>
      </c>
      <c r="D827">
        <v>7</v>
      </c>
      <c r="E827" t="s">
        <v>4747</v>
      </c>
      <c r="F827">
        <v>5</v>
      </c>
    </row>
    <row r="828" spans="2:6" x14ac:dyDescent="0.2">
      <c r="B828" t="s">
        <v>4748</v>
      </c>
      <c r="C828" t="s">
        <v>4749</v>
      </c>
      <c r="D828">
        <v>7</v>
      </c>
      <c r="E828" t="s">
        <v>4750</v>
      </c>
      <c r="F828">
        <v>3</v>
      </c>
    </row>
    <row r="829" spans="2:6" x14ac:dyDescent="0.2">
      <c r="B829" t="s">
        <v>4751</v>
      </c>
      <c r="C829" t="s">
        <v>4752</v>
      </c>
      <c r="D829">
        <v>7</v>
      </c>
      <c r="E829" t="s">
        <v>4753</v>
      </c>
      <c r="F829">
        <v>5</v>
      </c>
    </row>
    <row r="830" spans="2:6" x14ac:dyDescent="0.2">
      <c r="B830" t="s">
        <v>4754</v>
      </c>
      <c r="C830" t="s">
        <v>4755</v>
      </c>
      <c r="D830">
        <v>7</v>
      </c>
      <c r="E830" t="s">
        <v>2830</v>
      </c>
      <c r="F830">
        <v>3</v>
      </c>
    </row>
    <row r="831" spans="2:6" x14ac:dyDescent="0.2">
      <c r="B831" t="s">
        <v>4756</v>
      </c>
      <c r="C831" t="s">
        <v>4757</v>
      </c>
      <c r="D831">
        <v>7</v>
      </c>
      <c r="E831" t="s">
        <v>4758</v>
      </c>
      <c r="F831">
        <v>1</v>
      </c>
    </row>
    <row r="832" spans="2:6" x14ac:dyDescent="0.2">
      <c r="B832" t="s">
        <v>4759</v>
      </c>
      <c r="C832" t="s">
        <v>4760</v>
      </c>
      <c r="D832">
        <v>7</v>
      </c>
      <c r="E832" t="s">
        <v>4761</v>
      </c>
      <c r="F832">
        <v>3</v>
      </c>
    </row>
    <row r="833" spans="2:6" x14ac:dyDescent="0.2">
      <c r="B833" t="s">
        <v>4762</v>
      </c>
      <c r="C833" t="s">
        <v>4763</v>
      </c>
      <c r="D833">
        <v>7</v>
      </c>
      <c r="E833" t="s">
        <v>3081</v>
      </c>
      <c r="F833">
        <v>4</v>
      </c>
    </row>
    <row r="834" spans="2:6" x14ac:dyDescent="0.2">
      <c r="B834" t="s">
        <v>664</v>
      </c>
      <c r="C834" t="s">
        <v>4764</v>
      </c>
      <c r="D834">
        <v>7</v>
      </c>
      <c r="E834" t="s">
        <v>2788</v>
      </c>
      <c r="F834">
        <v>4</v>
      </c>
    </row>
    <row r="835" spans="2:6" x14ac:dyDescent="0.2">
      <c r="B835" t="s">
        <v>4765</v>
      </c>
      <c r="C835" t="s">
        <v>4766</v>
      </c>
      <c r="D835">
        <v>7</v>
      </c>
      <c r="E835" t="s">
        <v>3213</v>
      </c>
      <c r="F835">
        <v>8</v>
      </c>
    </row>
    <row r="836" spans="2:6" x14ac:dyDescent="0.2">
      <c r="B836" t="s">
        <v>4767</v>
      </c>
      <c r="C836" t="s">
        <v>4768</v>
      </c>
      <c r="D836">
        <v>7</v>
      </c>
      <c r="E836" t="s">
        <v>4769</v>
      </c>
      <c r="F836">
        <v>10</v>
      </c>
    </row>
    <row r="837" spans="2:6" x14ac:dyDescent="0.2">
      <c r="B837" t="s">
        <v>4770</v>
      </c>
      <c r="C837" t="s">
        <v>4771</v>
      </c>
      <c r="D837">
        <v>7</v>
      </c>
      <c r="E837" t="s">
        <v>4772</v>
      </c>
      <c r="F837">
        <v>3</v>
      </c>
    </row>
    <row r="838" spans="2:6" x14ac:dyDescent="0.2">
      <c r="B838" t="s">
        <v>4773</v>
      </c>
      <c r="C838" t="s">
        <v>4774</v>
      </c>
      <c r="D838">
        <v>7</v>
      </c>
      <c r="E838" t="s">
        <v>3109</v>
      </c>
      <c r="F838">
        <v>4</v>
      </c>
    </row>
    <row r="839" spans="2:6" x14ac:dyDescent="0.2">
      <c r="B839" t="s">
        <v>2010</v>
      </c>
      <c r="C839" t="s">
        <v>4775</v>
      </c>
      <c r="D839">
        <v>7</v>
      </c>
      <c r="E839" t="s">
        <v>3321</v>
      </c>
      <c r="F839">
        <v>2</v>
      </c>
    </row>
    <row r="840" spans="2:6" x14ac:dyDescent="0.2">
      <c r="B840" t="s">
        <v>4776</v>
      </c>
      <c r="C840" t="s">
        <v>4777</v>
      </c>
      <c r="D840">
        <v>7</v>
      </c>
      <c r="E840" t="s">
        <v>4778</v>
      </c>
      <c r="F840">
        <v>2</v>
      </c>
    </row>
    <row r="841" spans="2:6" x14ac:dyDescent="0.2">
      <c r="B841" t="s">
        <v>4779</v>
      </c>
      <c r="C841" t="s">
        <v>4780</v>
      </c>
      <c r="D841">
        <v>7</v>
      </c>
      <c r="E841" t="s">
        <v>4166</v>
      </c>
      <c r="F841">
        <v>60</v>
      </c>
    </row>
    <row r="842" spans="2:6" x14ac:dyDescent="0.2">
      <c r="B842" t="s">
        <v>4781</v>
      </c>
      <c r="C842" t="s">
        <v>4782</v>
      </c>
      <c r="D842">
        <v>7</v>
      </c>
      <c r="E842" t="s">
        <v>2988</v>
      </c>
      <c r="F842">
        <v>1</v>
      </c>
    </row>
    <row r="843" spans="2:6" x14ac:dyDescent="0.2">
      <c r="B843" t="s">
        <v>4783</v>
      </c>
      <c r="C843" t="s">
        <v>4784</v>
      </c>
      <c r="D843">
        <v>7</v>
      </c>
      <c r="E843" t="s">
        <v>3213</v>
      </c>
      <c r="F843">
        <v>1</v>
      </c>
    </row>
    <row r="844" spans="2:6" x14ac:dyDescent="0.2">
      <c r="B844" t="s">
        <v>1979</v>
      </c>
      <c r="C844" t="s">
        <v>4785</v>
      </c>
      <c r="D844">
        <v>7</v>
      </c>
      <c r="E844" t="s">
        <v>4081</v>
      </c>
      <c r="F844">
        <v>12</v>
      </c>
    </row>
    <row r="845" spans="2:6" x14ac:dyDescent="0.2">
      <c r="B845" t="s">
        <v>4786</v>
      </c>
      <c r="C845" t="s">
        <v>4787</v>
      </c>
      <c r="D845">
        <v>7</v>
      </c>
      <c r="E845" t="s">
        <v>4788</v>
      </c>
      <c r="F845">
        <v>4</v>
      </c>
    </row>
    <row r="846" spans="2:6" x14ac:dyDescent="0.2">
      <c r="B846" t="s">
        <v>4789</v>
      </c>
      <c r="C846" t="s">
        <v>4790</v>
      </c>
      <c r="D846">
        <v>7</v>
      </c>
      <c r="E846" t="s">
        <v>3067</v>
      </c>
      <c r="F846">
        <v>1</v>
      </c>
    </row>
    <row r="847" spans="2:6" x14ac:dyDescent="0.2">
      <c r="B847" t="s">
        <v>4791</v>
      </c>
      <c r="C847" t="s">
        <v>4792</v>
      </c>
      <c r="D847">
        <v>7</v>
      </c>
      <c r="E847" t="s">
        <v>4793</v>
      </c>
      <c r="F847">
        <v>2</v>
      </c>
    </row>
    <row r="848" spans="2:6" x14ac:dyDescent="0.2">
      <c r="B848" t="s">
        <v>4794</v>
      </c>
      <c r="C848" t="s">
        <v>4795</v>
      </c>
      <c r="D848">
        <v>7</v>
      </c>
      <c r="E848" t="s">
        <v>4151</v>
      </c>
      <c r="F848">
        <v>1</v>
      </c>
    </row>
    <row r="849" spans="2:6" x14ac:dyDescent="0.2">
      <c r="B849" t="s">
        <v>4796</v>
      </c>
      <c r="C849" t="s">
        <v>4797</v>
      </c>
      <c r="D849">
        <v>7</v>
      </c>
      <c r="E849" t="s">
        <v>3067</v>
      </c>
      <c r="F849">
        <v>1</v>
      </c>
    </row>
    <row r="850" spans="2:6" x14ac:dyDescent="0.2">
      <c r="B850" t="s">
        <v>4798</v>
      </c>
      <c r="C850" t="s">
        <v>4799</v>
      </c>
      <c r="D850">
        <v>7</v>
      </c>
      <c r="E850" t="s">
        <v>3901</v>
      </c>
      <c r="F850">
        <v>2</v>
      </c>
    </row>
    <row r="851" spans="2:6" x14ac:dyDescent="0.2">
      <c r="B851" t="s">
        <v>4800</v>
      </c>
      <c r="C851" t="s">
        <v>491</v>
      </c>
      <c r="D851">
        <v>7</v>
      </c>
      <c r="E851" t="s">
        <v>4801</v>
      </c>
      <c r="F851">
        <v>2</v>
      </c>
    </row>
    <row r="852" spans="2:6" x14ac:dyDescent="0.2">
      <c r="B852" t="s">
        <v>4802</v>
      </c>
      <c r="C852" t="s">
        <v>4803</v>
      </c>
      <c r="D852">
        <v>7</v>
      </c>
      <c r="E852" t="s">
        <v>4804</v>
      </c>
      <c r="F852">
        <v>1</v>
      </c>
    </row>
    <row r="853" spans="2:6" x14ac:dyDescent="0.2">
      <c r="B853" t="s">
        <v>4805</v>
      </c>
      <c r="C853" t="s">
        <v>4806</v>
      </c>
      <c r="D853">
        <v>7</v>
      </c>
      <c r="E853" t="s">
        <v>3564</v>
      </c>
      <c r="F853">
        <v>4</v>
      </c>
    </row>
    <row r="854" spans="2:6" x14ac:dyDescent="0.2">
      <c r="B854" t="s">
        <v>4807</v>
      </c>
      <c r="C854" t="s">
        <v>4808</v>
      </c>
      <c r="D854">
        <v>7</v>
      </c>
      <c r="E854" t="s">
        <v>4809</v>
      </c>
      <c r="F854">
        <v>1</v>
      </c>
    </row>
    <row r="855" spans="2:6" x14ac:dyDescent="0.2">
      <c r="B855" t="s">
        <v>1064</v>
      </c>
      <c r="C855" t="s">
        <v>4810</v>
      </c>
      <c r="D855">
        <v>7</v>
      </c>
      <c r="E855" t="s">
        <v>3230</v>
      </c>
      <c r="F855">
        <v>1</v>
      </c>
    </row>
    <row r="856" spans="2:6" x14ac:dyDescent="0.2">
      <c r="B856" t="s">
        <v>4811</v>
      </c>
      <c r="C856" t="s">
        <v>4812</v>
      </c>
      <c r="D856">
        <v>7</v>
      </c>
      <c r="E856" t="s">
        <v>4813</v>
      </c>
      <c r="F856">
        <v>3</v>
      </c>
    </row>
    <row r="857" spans="2:6" x14ac:dyDescent="0.2">
      <c r="B857" t="s">
        <v>4814</v>
      </c>
      <c r="C857" t="s">
        <v>4815</v>
      </c>
      <c r="D857">
        <v>7</v>
      </c>
      <c r="E857" t="s">
        <v>3839</v>
      </c>
      <c r="F857">
        <v>8</v>
      </c>
    </row>
    <row r="858" spans="2:6" x14ac:dyDescent="0.2">
      <c r="B858" t="s">
        <v>4816</v>
      </c>
      <c r="C858" t="s">
        <v>4817</v>
      </c>
      <c r="D858">
        <v>7</v>
      </c>
      <c r="E858" t="s">
        <v>4818</v>
      </c>
      <c r="F858">
        <v>1</v>
      </c>
    </row>
    <row r="859" spans="2:6" x14ac:dyDescent="0.2">
      <c r="B859" t="s">
        <v>4819</v>
      </c>
      <c r="C859" t="s">
        <v>4820</v>
      </c>
      <c r="D859">
        <v>7</v>
      </c>
      <c r="E859" t="s">
        <v>3335</v>
      </c>
      <c r="F859">
        <v>2</v>
      </c>
    </row>
    <row r="860" spans="2:6" x14ac:dyDescent="0.2">
      <c r="B860" t="s">
        <v>964</v>
      </c>
      <c r="C860" t="s">
        <v>4821</v>
      </c>
      <c r="D860">
        <v>7</v>
      </c>
      <c r="E860" t="s">
        <v>3820</v>
      </c>
      <c r="F860">
        <v>19</v>
      </c>
    </row>
    <row r="861" spans="2:6" x14ac:dyDescent="0.2">
      <c r="B861" t="s">
        <v>280</v>
      </c>
      <c r="C861" t="s">
        <v>4822</v>
      </c>
      <c r="D861">
        <v>7</v>
      </c>
      <c r="E861" t="s">
        <v>4823</v>
      </c>
      <c r="F861">
        <v>4</v>
      </c>
    </row>
    <row r="862" spans="2:6" x14ac:dyDescent="0.2">
      <c r="B862" t="s">
        <v>4824</v>
      </c>
      <c r="C862" t="s">
        <v>4825</v>
      </c>
      <c r="D862">
        <v>7</v>
      </c>
      <c r="E862" t="s">
        <v>4826</v>
      </c>
      <c r="F862">
        <v>4</v>
      </c>
    </row>
    <row r="863" spans="2:6" x14ac:dyDescent="0.2">
      <c r="B863" t="s">
        <v>4827</v>
      </c>
      <c r="C863" t="s">
        <v>4828</v>
      </c>
      <c r="D863">
        <v>7</v>
      </c>
      <c r="E863" t="s">
        <v>3628</v>
      </c>
      <c r="F863">
        <v>1</v>
      </c>
    </row>
    <row r="864" spans="2:6" x14ac:dyDescent="0.2">
      <c r="B864" t="s">
        <v>4829</v>
      </c>
      <c r="C864" t="s">
        <v>4830</v>
      </c>
      <c r="D864">
        <v>7</v>
      </c>
      <c r="E864" t="s">
        <v>4831</v>
      </c>
      <c r="F864">
        <v>2</v>
      </c>
    </row>
    <row r="865" spans="2:6" x14ac:dyDescent="0.2">
      <c r="B865" t="s">
        <v>4832</v>
      </c>
      <c r="C865" t="s">
        <v>4833</v>
      </c>
      <c r="D865">
        <v>7</v>
      </c>
      <c r="E865" t="s">
        <v>3957</v>
      </c>
      <c r="F865">
        <v>2</v>
      </c>
    </row>
    <row r="866" spans="2:6" x14ac:dyDescent="0.2">
      <c r="B866" t="s">
        <v>4834</v>
      </c>
      <c r="C866" t="s">
        <v>4835</v>
      </c>
      <c r="D866">
        <v>7</v>
      </c>
      <c r="E866" t="s">
        <v>4836</v>
      </c>
      <c r="F866">
        <v>4</v>
      </c>
    </row>
    <row r="867" spans="2:6" x14ac:dyDescent="0.2">
      <c r="B867" t="s">
        <v>4837</v>
      </c>
      <c r="C867" t="s">
        <v>4838</v>
      </c>
      <c r="D867">
        <v>7</v>
      </c>
      <c r="E867" t="s">
        <v>3095</v>
      </c>
      <c r="F867">
        <v>4</v>
      </c>
    </row>
    <row r="868" spans="2:6" x14ac:dyDescent="0.2">
      <c r="B868" t="s">
        <v>4839</v>
      </c>
      <c r="C868" t="s">
        <v>4840</v>
      </c>
      <c r="D868">
        <v>7</v>
      </c>
      <c r="E868" t="s">
        <v>2941</v>
      </c>
      <c r="F868">
        <v>1</v>
      </c>
    </row>
    <row r="869" spans="2:6" x14ac:dyDescent="0.2">
      <c r="B869" t="s">
        <v>4841</v>
      </c>
      <c r="C869" t="s">
        <v>4842</v>
      </c>
      <c r="D869">
        <v>7</v>
      </c>
      <c r="E869" t="s">
        <v>4843</v>
      </c>
      <c r="F869">
        <v>1</v>
      </c>
    </row>
    <row r="870" spans="2:6" x14ac:dyDescent="0.2">
      <c r="B870" t="s">
        <v>4844</v>
      </c>
      <c r="C870" t="s">
        <v>4845</v>
      </c>
      <c r="D870">
        <v>7</v>
      </c>
      <c r="E870" t="s">
        <v>3153</v>
      </c>
      <c r="F870">
        <v>1</v>
      </c>
    </row>
    <row r="871" spans="2:6" x14ac:dyDescent="0.2">
      <c r="B871" t="s">
        <v>4846</v>
      </c>
      <c r="C871" t="s">
        <v>4847</v>
      </c>
      <c r="D871">
        <v>7</v>
      </c>
      <c r="E871" t="s">
        <v>4848</v>
      </c>
      <c r="F871">
        <v>1</v>
      </c>
    </row>
    <row r="872" spans="2:6" x14ac:dyDescent="0.2">
      <c r="B872" t="s">
        <v>4849</v>
      </c>
      <c r="C872" t="s">
        <v>4850</v>
      </c>
      <c r="D872">
        <v>7</v>
      </c>
      <c r="E872" t="s">
        <v>3713</v>
      </c>
      <c r="F872">
        <v>1</v>
      </c>
    </row>
    <row r="873" spans="2:6" x14ac:dyDescent="0.2">
      <c r="B873" t="s">
        <v>4851</v>
      </c>
      <c r="C873" t="s">
        <v>4852</v>
      </c>
      <c r="D873">
        <v>7</v>
      </c>
      <c r="E873" t="s">
        <v>4853</v>
      </c>
      <c r="F873">
        <v>1</v>
      </c>
    </row>
    <row r="874" spans="2:6" x14ac:dyDescent="0.2">
      <c r="B874" t="s">
        <v>821</v>
      </c>
      <c r="C874" t="s">
        <v>4854</v>
      </c>
      <c r="D874">
        <v>7</v>
      </c>
      <c r="E874" t="s">
        <v>4280</v>
      </c>
      <c r="F874">
        <v>6</v>
      </c>
    </row>
    <row r="875" spans="2:6" x14ac:dyDescent="0.2">
      <c r="B875" t="s">
        <v>4855</v>
      </c>
      <c r="C875" t="s">
        <v>4856</v>
      </c>
      <c r="D875">
        <v>7</v>
      </c>
      <c r="E875" t="s">
        <v>3232</v>
      </c>
      <c r="F875">
        <v>3</v>
      </c>
    </row>
    <row r="876" spans="2:6" x14ac:dyDescent="0.2">
      <c r="B876" t="s">
        <v>391</v>
      </c>
      <c r="C876" t="s">
        <v>4857</v>
      </c>
      <c r="D876">
        <v>7</v>
      </c>
      <c r="E876" t="s">
        <v>4081</v>
      </c>
      <c r="F876">
        <v>2</v>
      </c>
    </row>
    <row r="877" spans="2:6" x14ac:dyDescent="0.2">
      <c r="B877" t="s">
        <v>4858</v>
      </c>
      <c r="C877" t="s">
        <v>4859</v>
      </c>
      <c r="D877">
        <v>7</v>
      </c>
      <c r="E877" t="s">
        <v>3213</v>
      </c>
      <c r="F877">
        <v>1</v>
      </c>
    </row>
    <row r="878" spans="2:6" x14ac:dyDescent="0.2">
      <c r="B878" t="s">
        <v>4860</v>
      </c>
      <c r="C878" t="s">
        <v>4861</v>
      </c>
      <c r="D878">
        <v>7</v>
      </c>
      <c r="E878" t="s">
        <v>2974</v>
      </c>
      <c r="F878">
        <v>3</v>
      </c>
    </row>
    <row r="879" spans="2:6" x14ac:dyDescent="0.2">
      <c r="B879" t="s">
        <v>4862</v>
      </c>
      <c r="C879" t="s">
        <v>4863</v>
      </c>
      <c r="D879">
        <v>7</v>
      </c>
      <c r="E879" t="s">
        <v>3327</v>
      </c>
      <c r="F879">
        <v>1</v>
      </c>
    </row>
    <row r="880" spans="2:6" x14ac:dyDescent="0.2">
      <c r="B880" t="s">
        <v>419</v>
      </c>
      <c r="C880" t="s">
        <v>4864</v>
      </c>
      <c r="D880">
        <v>7</v>
      </c>
      <c r="E880" t="s">
        <v>4865</v>
      </c>
      <c r="F880">
        <v>15</v>
      </c>
    </row>
    <row r="881" spans="2:6" x14ac:dyDescent="0.2">
      <c r="B881" t="s">
        <v>4866</v>
      </c>
      <c r="C881" t="s">
        <v>2663</v>
      </c>
      <c r="D881">
        <v>7</v>
      </c>
      <c r="E881" t="s">
        <v>3013</v>
      </c>
      <c r="F881">
        <v>30</v>
      </c>
    </row>
    <row r="882" spans="2:6" x14ac:dyDescent="0.2">
      <c r="B882" t="s">
        <v>4867</v>
      </c>
      <c r="C882" t="s">
        <v>4868</v>
      </c>
      <c r="D882">
        <v>7</v>
      </c>
      <c r="E882" t="s">
        <v>4869</v>
      </c>
      <c r="F882">
        <v>6</v>
      </c>
    </row>
    <row r="883" spans="2:6" x14ac:dyDescent="0.2">
      <c r="B883" t="s">
        <v>4870</v>
      </c>
      <c r="C883" t="s">
        <v>4871</v>
      </c>
      <c r="D883">
        <v>7</v>
      </c>
      <c r="E883" t="s">
        <v>4872</v>
      </c>
      <c r="F883">
        <v>1</v>
      </c>
    </row>
    <row r="884" spans="2:6" x14ac:dyDescent="0.2">
      <c r="B884" t="s">
        <v>4873</v>
      </c>
      <c r="C884" t="s">
        <v>4874</v>
      </c>
      <c r="D884">
        <v>7</v>
      </c>
      <c r="E884" t="s">
        <v>3081</v>
      </c>
      <c r="F884">
        <v>1</v>
      </c>
    </row>
    <row r="885" spans="2:6" x14ac:dyDescent="0.2">
      <c r="B885" t="s">
        <v>4875</v>
      </c>
      <c r="C885" t="s">
        <v>4876</v>
      </c>
      <c r="D885">
        <v>7</v>
      </c>
      <c r="E885" t="s">
        <v>3133</v>
      </c>
      <c r="F885">
        <v>2</v>
      </c>
    </row>
    <row r="886" spans="2:6" x14ac:dyDescent="0.2">
      <c r="B886" t="s">
        <v>4877</v>
      </c>
      <c r="C886" t="s">
        <v>4878</v>
      </c>
      <c r="D886">
        <v>7</v>
      </c>
      <c r="E886" t="s">
        <v>4879</v>
      </c>
      <c r="F886">
        <v>3</v>
      </c>
    </row>
    <row r="887" spans="2:6" x14ac:dyDescent="0.2">
      <c r="B887" t="s">
        <v>4880</v>
      </c>
      <c r="C887" t="s">
        <v>4881</v>
      </c>
      <c r="D887">
        <v>7</v>
      </c>
      <c r="E887" t="s">
        <v>2830</v>
      </c>
      <c r="F887">
        <v>3</v>
      </c>
    </row>
    <row r="888" spans="2:6" x14ac:dyDescent="0.2">
      <c r="B888" t="s">
        <v>4882</v>
      </c>
      <c r="C888" t="s">
        <v>4883</v>
      </c>
      <c r="D888">
        <v>7</v>
      </c>
      <c r="E888" t="s">
        <v>4884</v>
      </c>
      <c r="F888">
        <v>8</v>
      </c>
    </row>
    <row r="889" spans="2:6" x14ac:dyDescent="0.2">
      <c r="B889" t="s">
        <v>4885</v>
      </c>
      <c r="C889" t="s">
        <v>4886</v>
      </c>
      <c r="D889">
        <v>7</v>
      </c>
      <c r="E889" t="s">
        <v>2850</v>
      </c>
      <c r="F889">
        <v>1</v>
      </c>
    </row>
    <row r="890" spans="2:6" x14ac:dyDescent="0.2">
      <c r="B890" t="s">
        <v>156</v>
      </c>
      <c r="C890" t="s">
        <v>4887</v>
      </c>
      <c r="D890">
        <v>7</v>
      </c>
      <c r="E890" t="s">
        <v>4888</v>
      </c>
      <c r="F890">
        <v>8</v>
      </c>
    </row>
    <row r="891" spans="2:6" x14ac:dyDescent="0.2">
      <c r="B891" t="s">
        <v>4889</v>
      </c>
      <c r="C891" t="s">
        <v>4890</v>
      </c>
      <c r="D891">
        <v>7</v>
      </c>
      <c r="E891" t="s">
        <v>4891</v>
      </c>
      <c r="F891">
        <v>4</v>
      </c>
    </row>
    <row r="892" spans="2:6" x14ac:dyDescent="0.2">
      <c r="B892" t="s">
        <v>4892</v>
      </c>
      <c r="C892" t="s">
        <v>4893</v>
      </c>
      <c r="D892">
        <v>7</v>
      </c>
      <c r="E892" t="s">
        <v>4894</v>
      </c>
      <c r="F892">
        <v>1</v>
      </c>
    </row>
    <row r="893" spans="2:6" x14ac:dyDescent="0.2">
      <c r="B893" t="s">
        <v>4895</v>
      </c>
      <c r="C893" t="s">
        <v>4896</v>
      </c>
      <c r="D893">
        <v>7</v>
      </c>
      <c r="E893" t="s">
        <v>4897</v>
      </c>
      <c r="F893">
        <v>2</v>
      </c>
    </row>
    <row r="894" spans="2:6" x14ac:dyDescent="0.2">
      <c r="B894" t="s">
        <v>4898</v>
      </c>
      <c r="C894" t="s">
        <v>4899</v>
      </c>
      <c r="D894">
        <v>7</v>
      </c>
      <c r="E894" t="s">
        <v>3007</v>
      </c>
      <c r="F894">
        <v>15</v>
      </c>
    </row>
    <row r="895" spans="2:6" x14ac:dyDescent="0.2">
      <c r="B895" t="s">
        <v>240</v>
      </c>
      <c r="C895" t="s">
        <v>4900</v>
      </c>
      <c r="D895">
        <v>7</v>
      </c>
      <c r="E895" t="s">
        <v>4104</v>
      </c>
      <c r="F895">
        <v>11</v>
      </c>
    </row>
    <row r="896" spans="2:6" x14ac:dyDescent="0.2">
      <c r="B896" t="s">
        <v>4901</v>
      </c>
      <c r="C896" t="s">
        <v>4902</v>
      </c>
      <c r="D896">
        <v>7</v>
      </c>
      <c r="E896" t="s">
        <v>4903</v>
      </c>
      <c r="F896">
        <v>5</v>
      </c>
    </row>
    <row r="897" spans="2:6" x14ac:dyDescent="0.2">
      <c r="B897" t="s">
        <v>4904</v>
      </c>
      <c r="C897" t="s">
        <v>4905</v>
      </c>
      <c r="D897">
        <v>7</v>
      </c>
      <c r="E897" t="s">
        <v>4906</v>
      </c>
      <c r="F897">
        <v>2</v>
      </c>
    </row>
    <row r="898" spans="2:6" x14ac:dyDescent="0.2">
      <c r="B898" t="s">
        <v>4907</v>
      </c>
      <c r="C898" t="s">
        <v>4908</v>
      </c>
      <c r="D898">
        <v>7</v>
      </c>
      <c r="E898" t="s">
        <v>4909</v>
      </c>
      <c r="F898">
        <v>4</v>
      </c>
    </row>
    <row r="899" spans="2:6" x14ac:dyDescent="0.2">
      <c r="B899" t="s">
        <v>4910</v>
      </c>
      <c r="C899" t="s">
        <v>4911</v>
      </c>
      <c r="D899">
        <v>7</v>
      </c>
      <c r="E899" t="s">
        <v>3109</v>
      </c>
      <c r="F899">
        <v>3</v>
      </c>
    </row>
    <row r="900" spans="2:6" x14ac:dyDescent="0.2">
      <c r="B900" t="s">
        <v>4912</v>
      </c>
      <c r="C900" t="s">
        <v>4913</v>
      </c>
      <c r="D900">
        <v>7</v>
      </c>
      <c r="E900" t="s">
        <v>3820</v>
      </c>
      <c r="F900">
        <v>2</v>
      </c>
    </row>
    <row r="901" spans="2:6" x14ac:dyDescent="0.2">
      <c r="B901" t="s">
        <v>858</v>
      </c>
      <c r="C901" t="s">
        <v>4914</v>
      </c>
      <c r="D901">
        <v>7</v>
      </c>
      <c r="E901" t="s">
        <v>3532</v>
      </c>
      <c r="F901">
        <v>1</v>
      </c>
    </row>
    <row r="902" spans="2:6" x14ac:dyDescent="0.2">
      <c r="B902" t="s">
        <v>4915</v>
      </c>
      <c r="C902" t="s">
        <v>4916</v>
      </c>
      <c r="D902">
        <v>7</v>
      </c>
      <c r="E902" t="s">
        <v>3791</v>
      </c>
      <c r="F902">
        <v>3</v>
      </c>
    </row>
    <row r="903" spans="2:6" x14ac:dyDescent="0.2">
      <c r="B903" t="s">
        <v>4917</v>
      </c>
      <c r="C903" t="s">
        <v>4918</v>
      </c>
      <c r="D903">
        <v>7</v>
      </c>
      <c r="E903" t="s">
        <v>4919</v>
      </c>
      <c r="F903">
        <v>4</v>
      </c>
    </row>
    <row r="904" spans="2:6" x14ac:dyDescent="0.2">
      <c r="B904" t="s">
        <v>4920</v>
      </c>
      <c r="C904" t="s">
        <v>4921</v>
      </c>
      <c r="D904">
        <v>7</v>
      </c>
      <c r="E904" t="s">
        <v>3036</v>
      </c>
      <c r="F904">
        <v>3</v>
      </c>
    </row>
    <row r="905" spans="2:6" x14ac:dyDescent="0.2">
      <c r="B905" t="s">
        <v>4922</v>
      </c>
      <c r="C905" t="s">
        <v>4923</v>
      </c>
      <c r="D905">
        <v>7</v>
      </c>
      <c r="E905" t="s">
        <v>4924</v>
      </c>
      <c r="F905">
        <v>4</v>
      </c>
    </row>
    <row r="906" spans="2:6" x14ac:dyDescent="0.2">
      <c r="B906" t="s">
        <v>4925</v>
      </c>
      <c r="C906" t="s">
        <v>4926</v>
      </c>
      <c r="D906">
        <v>7</v>
      </c>
      <c r="E906" t="s">
        <v>3036</v>
      </c>
      <c r="F906">
        <v>1</v>
      </c>
    </row>
    <row r="907" spans="2:6" x14ac:dyDescent="0.2">
      <c r="B907" t="s">
        <v>588</v>
      </c>
      <c r="C907" t="s">
        <v>4927</v>
      </c>
      <c r="D907">
        <v>7</v>
      </c>
      <c r="E907" t="s">
        <v>4928</v>
      </c>
      <c r="F907">
        <v>4</v>
      </c>
    </row>
    <row r="908" spans="2:6" x14ac:dyDescent="0.2">
      <c r="B908" t="s">
        <v>4929</v>
      </c>
      <c r="C908" t="s">
        <v>4930</v>
      </c>
      <c r="D908">
        <v>7</v>
      </c>
      <c r="E908" t="s">
        <v>2811</v>
      </c>
      <c r="F908">
        <v>11</v>
      </c>
    </row>
    <row r="909" spans="2:6" x14ac:dyDescent="0.2">
      <c r="B909" t="s">
        <v>4931</v>
      </c>
      <c r="C909" t="s">
        <v>4932</v>
      </c>
      <c r="D909">
        <v>7</v>
      </c>
      <c r="E909" t="s">
        <v>3067</v>
      </c>
      <c r="F909">
        <v>5</v>
      </c>
    </row>
    <row r="910" spans="2:6" x14ac:dyDescent="0.2">
      <c r="B910" t="s">
        <v>206</v>
      </c>
      <c r="C910" t="s">
        <v>4933</v>
      </c>
      <c r="D910">
        <v>7</v>
      </c>
      <c r="E910" t="s">
        <v>4934</v>
      </c>
      <c r="F910">
        <v>2</v>
      </c>
    </row>
    <row r="911" spans="2:6" x14ac:dyDescent="0.2">
      <c r="B911" t="s">
        <v>1866</v>
      </c>
      <c r="C911" t="s">
        <v>4935</v>
      </c>
      <c r="D911">
        <v>7</v>
      </c>
      <c r="E911" t="s">
        <v>3321</v>
      </c>
      <c r="F911">
        <v>4</v>
      </c>
    </row>
    <row r="912" spans="2:6" x14ac:dyDescent="0.2">
      <c r="B912" t="s">
        <v>4936</v>
      </c>
      <c r="C912" t="s">
        <v>4937</v>
      </c>
      <c r="D912">
        <v>7</v>
      </c>
      <c r="E912" t="s">
        <v>2850</v>
      </c>
      <c r="F912">
        <v>1</v>
      </c>
    </row>
    <row r="913" spans="2:6" x14ac:dyDescent="0.2">
      <c r="B913" t="s">
        <v>4938</v>
      </c>
      <c r="C913" t="s">
        <v>4939</v>
      </c>
      <c r="D913">
        <v>7</v>
      </c>
      <c r="E913" t="s">
        <v>3106</v>
      </c>
      <c r="F913">
        <v>1</v>
      </c>
    </row>
    <row r="914" spans="2:6" x14ac:dyDescent="0.2">
      <c r="B914" t="s">
        <v>4940</v>
      </c>
      <c r="C914" t="s">
        <v>4941</v>
      </c>
      <c r="D914">
        <v>7</v>
      </c>
      <c r="E914" t="s">
        <v>2788</v>
      </c>
      <c r="F914">
        <v>1</v>
      </c>
    </row>
    <row r="915" spans="2:6" x14ac:dyDescent="0.2">
      <c r="B915" t="s">
        <v>4942</v>
      </c>
      <c r="C915" t="s">
        <v>4943</v>
      </c>
      <c r="D915">
        <v>7</v>
      </c>
      <c r="E915" t="s">
        <v>4944</v>
      </c>
      <c r="F915">
        <v>8</v>
      </c>
    </row>
    <row r="916" spans="2:6" x14ac:dyDescent="0.2">
      <c r="B916" t="s">
        <v>4945</v>
      </c>
      <c r="C916" t="s">
        <v>4946</v>
      </c>
      <c r="D916">
        <v>7</v>
      </c>
      <c r="E916" t="s">
        <v>3708</v>
      </c>
      <c r="F916">
        <v>1</v>
      </c>
    </row>
    <row r="917" spans="2:6" x14ac:dyDescent="0.2">
      <c r="B917" t="s">
        <v>4947</v>
      </c>
      <c r="C917" t="s">
        <v>4948</v>
      </c>
      <c r="D917">
        <v>7</v>
      </c>
      <c r="E917" t="s">
        <v>4788</v>
      </c>
      <c r="F917">
        <v>4</v>
      </c>
    </row>
    <row r="918" spans="2:6" x14ac:dyDescent="0.2">
      <c r="B918" t="s">
        <v>4949</v>
      </c>
      <c r="C918" t="s">
        <v>4950</v>
      </c>
      <c r="D918">
        <v>7</v>
      </c>
      <c r="E918" t="s">
        <v>4043</v>
      </c>
      <c r="F918">
        <v>5</v>
      </c>
    </row>
    <row r="919" spans="2:6" x14ac:dyDescent="0.2">
      <c r="B919" t="s">
        <v>4951</v>
      </c>
      <c r="C919" t="s">
        <v>4952</v>
      </c>
      <c r="D919">
        <v>7</v>
      </c>
      <c r="E919" t="s">
        <v>4953</v>
      </c>
      <c r="F919">
        <v>7</v>
      </c>
    </row>
    <row r="920" spans="2:6" x14ac:dyDescent="0.2">
      <c r="B920" t="s">
        <v>4954</v>
      </c>
      <c r="C920" t="s">
        <v>4955</v>
      </c>
      <c r="D920">
        <v>7</v>
      </c>
      <c r="E920" t="s">
        <v>4956</v>
      </c>
      <c r="F920">
        <v>2</v>
      </c>
    </row>
    <row r="921" spans="2:6" x14ac:dyDescent="0.2">
      <c r="B921" t="s">
        <v>4957</v>
      </c>
      <c r="C921" t="s">
        <v>4958</v>
      </c>
      <c r="D921">
        <v>7</v>
      </c>
      <c r="E921" t="s">
        <v>4959</v>
      </c>
      <c r="F921">
        <v>3</v>
      </c>
    </row>
    <row r="922" spans="2:6" x14ac:dyDescent="0.2">
      <c r="B922" t="s">
        <v>4960</v>
      </c>
      <c r="C922" t="s">
        <v>4961</v>
      </c>
      <c r="D922">
        <v>7</v>
      </c>
      <c r="E922" t="s">
        <v>4962</v>
      </c>
      <c r="F922">
        <v>14</v>
      </c>
    </row>
    <row r="923" spans="2:6" x14ac:dyDescent="0.2">
      <c r="B923" t="s">
        <v>533</v>
      </c>
      <c r="C923" t="s">
        <v>4963</v>
      </c>
      <c r="D923">
        <v>7</v>
      </c>
      <c r="E923" t="s">
        <v>4260</v>
      </c>
      <c r="F923">
        <v>16</v>
      </c>
    </row>
    <row r="924" spans="2:6" x14ac:dyDescent="0.2">
      <c r="B924" t="s">
        <v>4964</v>
      </c>
      <c r="C924" t="s">
        <v>4965</v>
      </c>
      <c r="D924">
        <v>7</v>
      </c>
      <c r="E924" t="s">
        <v>4966</v>
      </c>
      <c r="F924">
        <v>29</v>
      </c>
    </row>
    <row r="925" spans="2:6" x14ac:dyDescent="0.2">
      <c r="B925" t="s">
        <v>1002</v>
      </c>
      <c r="C925" t="s">
        <v>4967</v>
      </c>
      <c r="D925">
        <v>7</v>
      </c>
      <c r="E925" t="s">
        <v>4418</v>
      </c>
      <c r="F925">
        <v>1</v>
      </c>
    </row>
    <row r="926" spans="2:6" x14ac:dyDescent="0.2">
      <c r="B926" t="s">
        <v>4968</v>
      </c>
      <c r="C926" t="s">
        <v>4969</v>
      </c>
      <c r="D926">
        <v>7</v>
      </c>
      <c r="E926" t="s">
        <v>2915</v>
      </c>
      <c r="F926">
        <v>2</v>
      </c>
    </row>
    <row r="927" spans="2:6" x14ac:dyDescent="0.2">
      <c r="B927" t="s">
        <v>4970</v>
      </c>
      <c r="C927" t="s">
        <v>4971</v>
      </c>
      <c r="D927">
        <v>7</v>
      </c>
      <c r="E927" t="s">
        <v>4972</v>
      </c>
      <c r="F927">
        <v>1</v>
      </c>
    </row>
    <row r="928" spans="2:6" x14ac:dyDescent="0.2">
      <c r="B928" t="s">
        <v>4973</v>
      </c>
      <c r="C928" t="s">
        <v>4974</v>
      </c>
      <c r="D928">
        <v>7</v>
      </c>
      <c r="E928" t="s">
        <v>4975</v>
      </c>
      <c r="F928">
        <v>1</v>
      </c>
    </row>
    <row r="929" spans="2:6" x14ac:dyDescent="0.2">
      <c r="B929" t="s">
        <v>4976</v>
      </c>
      <c r="C929" t="s">
        <v>4977</v>
      </c>
      <c r="D929">
        <v>7</v>
      </c>
      <c r="E929" t="s">
        <v>3808</v>
      </c>
      <c r="F929">
        <v>3</v>
      </c>
    </row>
    <row r="930" spans="2:6" x14ac:dyDescent="0.2">
      <c r="B930" t="s">
        <v>4978</v>
      </c>
      <c r="C930" t="s">
        <v>4979</v>
      </c>
      <c r="D930">
        <v>7</v>
      </c>
      <c r="E930" t="s">
        <v>3591</v>
      </c>
      <c r="F930">
        <v>7</v>
      </c>
    </row>
    <row r="931" spans="2:6" x14ac:dyDescent="0.2">
      <c r="B931" t="s">
        <v>4980</v>
      </c>
      <c r="C931" t="s">
        <v>4981</v>
      </c>
      <c r="D931">
        <v>7</v>
      </c>
      <c r="E931" t="s">
        <v>4982</v>
      </c>
      <c r="F931">
        <v>8</v>
      </c>
    </row>
    <row r="932" spans="2:6" x14ac:dyDescent="0.2">
      <c r="B932" t="s">
        <v>4983</v>
      </c>
      <c r="C932" t="s">
        <v>4984</v>
      </c>
      <c r="D932">
        <v>7</v>
      </c>
      <c r="E932" t="s">
        <v>2863</v>
      </c>
      <c r="F932">
        <v>2</v>
      </c>
    </row>
    <row r="933" spans="2:6" x14ac:dyDescent="0.2">
      <c r="B933" t="s">
        <v>625</v>
      </c>
      <c r="C933" t="s">
        <v>4985</v>
      </c>
      <c r="D933">
        <v>7</v>
      </c>
      <c r="E933" t="s">
        <v>4986</v>
      </c>
      <c r="F933">
        <v>3</v>
      </c>
    </row>
    <row r="934" spans="2:6" x14ac:dyDescent="0.2">
      <c r="B934" t="s">
        <v>4987</v>
      </c>
      <c r="C934" t="s">
        <v>4988</v>
      </c>
      <c r="D934">
        <v>7</v>
      </c>
      <c r="E934" t="s">
        <v>3213</v>
      </c>
      <c r="F934">
        <v>1</v>
      </c>
    </row>
    <row r="935" spans="2:6" x14ac:dyDescent="0.2">
      <c r="B935" t="s">
        <v>4989</v>
      </c>
      <c r="C935" t="s">
        <v>4990</v>
      </c>
      <c r="D935">
        <v>7</v>
      </c>
      <c r="E935" t="s">
        <v>4888</v>
      </c>
      <c r="F935">
        <v>2</v>
      </c>
    </row>
    <row r="936" spans="2:6" x14ac:dyDescent="0.2">
      <c r="B936" t="s">
        <v>288</v>
      </c>
      <c r="C936" t="s">
        <v>4991</v>
      </c>
      <c r="D936">
        <v>7</v>
      </c>
      <c r="E936" t="s">
        <v>4992</v>
      </c>
      <c r="F936">
        <v>9</v>
      </c>
    </row>
    <row r="937" spans="2:6" x14ac:dyDescent="0.2">
      <c r="B937" t="s">
        <v>4993</v>
      </c>
      <c r="C937" t="s">
        <v>4291</v>
      </c>
      <c r="D937">
        <v>7</v>
      </c>
      <c r="E937" t="s">
        <v>4994</v>
      </c>
      <c r="F937">
        <v>12</v>
      </c>
    </row>
    <row r="938" spans="2:6" x14ac:dyDescent="0.2">
      <c r="B938" t="s">
        <v>4995</v>
      </c>
      <c r="C938" t="s">
        <v>4996</v>
      </c>
      <c r="D938">
        <v>7</v>
      </c>
      <c r="E938" t="s">
        <v>4997</v>
      </c>
      <c r="F938">
        <v>3</v>
      </c>
    </row>
    <row r="939" spans="2:6" x14ac:dyDescent="0.2">
      <c r="B939" t="s">
        <v>4998</v>
      </c>
      <c r="C939" t="s">
        <v>4999</v>
      </c>
      <c r="D939">
        <v>7</v>
      </c>
      <c r="E939" t="s">
        <v>5000</v>
      </c>
      <c r="F939">
        <v>2</v>
      </c>
    </row>
    <row r="940" spans="2:6" x14ac:dyDescent="0.2">
      <c r="B940" t="s">
        <v>1515</v>
      </c>
      <c r="C940" t="s">
        <v>5001</v>
      </c>
      <c r="D940">
        <v>7</v>
      </c>
      <c r="E940" t="s">
        <v>3321</v>
      </c>
      <c r="F940">
        <v>6</v>
      </c>
    </row>
    <row r="941" spans="2:6" x14ac:dyDescent="0.2">
      <c r="B941" t="s">
        <v>5002</v>
      </c>
      <c r="C941" t="s">
        <v>5003</v>
      </c>
      <c r="D941">
        <v>7</v>
      </c>
      <c r="E941" t="s">
        <v>3994</v>
      </c>
      <c r="F941">
        <v>1</v>
      </c>
    </row>
    <row r="942" spans="2:6" x14ac:dyDescent="0.2">
      <c r="B942" t="s">
        <v>5004</v>
      </c>
      <c r="C942" t="s">
        <v>5005</v>
      </c>
      <c r="D942">
        <v>7</v>
      </c>
      <c r="E942" t="s">
        <v>3586</v>
      </c>
      <c r="F942">
        <v>1</v>
      </c>
    </row>
    <row r="943" spans="2:6" x14ac:dyDescent="0.2">
      <c r="B943" t="s">
        <v>5006</v>
      </c>
      <c r="C943" t="s">
        <v>5007</v>
      </c>
      <c r="D943">
        <v>7</v>
      </c>
      <c r="E943" t="s">
        <v>5008</v>
      </c>
      <c r="F943">
        <v>1</v>
      </c>
    </row>
    <row r="944" spans="2:6" x14ac:dyDescent="0.2">
      <c r="B944" t="s">
        <v>5009</v>
      </c>
      <c r="C944" t="s">
        <v>5010</v>
      </c>
      <c r="D944">
        <v>7</v>
      </c>
      <c r="E944" t="s">
        <v>5011</v>
      </c>
      <c r="F944">
        <v>2</v>
      </c>
    </row>
    <row r="945" spans="2:6" x14ac:dyDescent="0.2">
      <c r="B945" t="s">
        <v>5012</v>
      </c>
      <c r="C945" t="s">
        <v>5013</v>
      </c>
      <c r="D945">
        <v>7</v>
      </c>
      <c r="E945" t="s">
        <v>5014</v>
      </c>
      <c r="F945">
        <v>1</v>
      </c>
    </row>
    <row r="946" spans="2:6" x14ac:dyDescent="0.2">
      <c r="B946" t="s">
        <v>5015</v>
      </c>
      <c r="C946" t="s">
        <v>4179</v>
      </c>
      <c r="D946">
        <v>7</v>
      </c>
      <c r="E946" t="s">
        <v>4421</v>
      </c>
      <c r="F946">
        <v>3</v>
      </c>
    </row>
    <row r="947" spans="2:6" x14ac:dyDescent="0.2">
      <c r="B947" t="s">
        <v>5016</v>
      </c>
      <c r="C947" t="s">
        <v>5017</v>
      </c>
      <c r="D947">
        <v>7</v>
      </c>
      <c r="E947" t="s">
        <v>5018</v>
      </c>
      <c r="F947">
        <v>1</v>
      </c>
    </row>
    <row r="948" spans="2:6" x14ac:dyDescent="0.2">
      <c r="B948" t="s">
        <v>5019</v>
      </c>
      <c r="C948" t="s">
        <v>1049</v>
      </c>
      <c r="D948">
        <v>7</v>
      </c>
      <c r="E948" t="s">
        <v>5020</v>
      </c>
      <c r="F948">
        <v>2</v>
      </c>
    </row>
    <row r="949" spans="2:6" x14ac:dyDescent="0.2">
      <c r="B949" t="s">
        <v>5021</v>
      </c>
      <c r="C949" t="s">
        <v>5022</v>
      </c>
      <c r="D949">
        <v>7</v>
      </c>
      <c r="E949" t="s">
        <v>4260</v>
      </c>
      <c r="F949">
        <v>7</v>
      </c>
    </row>
    <row r="950" spans="2:6" x14ac:dyDescent="0.2">
      <c r="B950" t="s">
        <v>5023</v>
      </c>
      <c r="C950" t="s">
        <v>5024</v>
      </c>
      <c r="D950">
        <v>7</v>
      </c>
      <c r="E950" t="s">
        <v>2921</v>
      </c>
      <c r="F950">
        <v>3</v>
      </c>
    </row>
    <row r="951" spans="2:6" x14ac:dyDescent="0.2">
      <c r="B951" t="s">
        <v>5025</v>
      </c>
      <c r="C951" t="s">
        <v>5026</v>
      </c>
      <c r="D951">
        <v>7</v>
      </c>
      <c r="E951" t="s">
        <v>3250</v>
      </c>
      <c r="F951">
        <v>2</v>
      </c>
    </row>
    <row r="952" spans="2:6" x14ac:dyDescent="0.2">
      <c r="B952" t="s">
        <v>5027</v>
      </c>
      <c r="C952" t="s">
        <v>5028</v>
      </c>
      <c r="D952">
        <v>7</v>
      </c>
      <c r="E952" t="s">
        <v>5029</v>
      </c>
      <c r="F952">
        <v>1</v>
      </c>
    </row>
    <row r="953" spans="2:6" x14ac:dyDescent="0.2">
      <c r="B953" t="s">
        <v>1118</v>
      </c>
      <c r="C953" t="s">
        <v>5030</v>
      </c>
      <c r="D953">
        <v>7</v>
      </c>
      <c r="E953" t="s">
        <v>3773</v>
      </c>
      <c r="F953">
        <v>2</v>
      </c>
    </row>
    <row r="954" spans="2:6" x14ac:dyDescent="0.2">
      <c r="B954" t="s">
        <v>5031</v>
      </c>
      <c r="C954" t="s">
        <v>5032</v>
      </c>
      <c r="D954">
        <v>7</v>
      </c>
      <c r="E954" t="s">
        <v>2895</v>
      </c>
      <c r="F954">
        <v>2</v>
      </c>
    </row>
    <row r="955" spans="2:6" x14ac:dyDescent="0.2">
      <c r="B955" t="s">
        <v>5033</v>
      </c>
      <c r="C955" t="s">
        <v>5034</v>
      </c>
      <c r="D955">
        <v>7</v>
      </c>
      <c r="E955" t="s">
        <v>3213</v>
      </c>
      <c r="F955">
        <v>1</v>
      </c>
    </row>
    <row r="956" spans="2:6" x14ac:dyDescent="0.2">
      <c r="B956" t="s">
        <v>1659</v>
      </c>
      <c r="C956" t="s">
        <v>5035</v>
      </c>
      <c r="D956">
        <v>7</v>
      </c>
      <c r="E956" t="s">
        <v>5036</v>
      </c>
      <c r="F956">
        <v>9</v>
      </c>
    </row>
    <row r="957" spans="2:6" x14ac:dyDescent="0.2">
      <c r="B957" t="s">
        <v>5037</v>
      </c>
      <c r="C957" t="s">
        <v>3781</v>
      </c>
      <c r="D957">
        <v>7</v>
      </c>
      <c r="E957" t="s">
        <v>2921</v>
      </c>
      <c r="F957">
        <v>1</v>
      </c>
    </row>
    <row r="958" spans="2:6" x14ac:dyDescent="0.2">
      <c r="B958" t="s">
        <v>5038</v>
      </c>
      <c r="C958" t="s">
        <v>5039</v>
      </c>
      <c r="D958">
        <v>7</v>
      </c>
      <c r="E958" t="s">
        <v>2802</v>
      </c>
      <c r="F958">
        <v>3</v>
      </c>
    </row>
    <row r="959" spans="2:6" x14ac:dyDescent="0.2">
      <c r="B959" t="s">
        <v>5040</v>
      </c>
      <c r="C959" t="s">
        <v>5041</v>
      </c>
      <c r="D959">
        <v>7</v>
      </c>
      <c r="E959" t="s">
        <v>3048</v>
      </c>
      <c r="F959">
        <v>9</v>
      </c>
    </row>
    <row r="960" spans="2:6" x14ac:dyDescent="0.2">
      <c r="B960" t="s">
        <v>5042</v>
      </c>
      <c r="C960" t="s">
        <v>5043</v>
      </c>
      <c r="D960">
        <v>7</v>
      </c>
      <c r="E960" t="s">
        <v>2974</v>
      </c>
      <c r="F960">
        <v>2</v>
      </c>
    </row>
    <row r="961" spans="2:6" x14ac:dyDescent="0.2">
      <c r="B961" t="s">
        <v>5044</v>
      </c>
      <c r="C961" t="s">
        <v>5045</v>
      </c>
      <c r="D961">
        <v>7</v>
      </c>
      <c r="E961" t="s">
        <v>3628</v>
      </c>
      <c r="F961">
        <v>1</v>
      </c>
    </row>
    <row r="962" spans="2:6" x14ac:dyDescent="0.2">
      <c r="B962" t="s">
        <v>5046</v>
      </c>
      <c r="C962" t="s">
        <v>5047</v>
      </c>
      <c r="D962">
        <v>7</v>
      </c>
      <c r="E962" t="s">
        <v>2785</v>
      </c>
      <c r="F962">
        <v>2</v>
      </c>
    </row>
    <row r="963" spans="2:6" x14ac:dyDescent="0.2">
      <c r="B963" t="s">
        <v>5048</v>
      </c>
      <c r="C963" t="s">
        <v>5049</v>
      </c>
      <c r="D963">
        <v>7</v>
      </c>
      <c r="E963" t="s">
        <v>3586</v>
      </c>
      <c r="F963">
        <v>2</v>
      </c>
    </row>
    <row r="964" spans="2:6" x14ac:dyDescent="0.2">
      <c r="B964" t="s">
        <v>5050</v>
      </c>
      <c r="C964" t="s">
        <v>5051</v>
      </c>
      <c r="D964">
        <v>7</v>
      </c>
      <c r="E964" t="s">
        <v>5052</v>
      </c>
      <c r="F964">
        <v>6</v>
      </c>
    </row>
    <row r="965" spans="2:6" x14ac:dyDescent="0.2">
      <c r="B965" t="s">
        <v>5053</v>
      </c>
      <c r="C965" t="s">
        <v>5054</v>
      </c>
      <c r="D965">
        <v>7</v>
      </c>
      <c r="E965" t="s">
        <v>2941</v>
      </c>
      <c r="F965">
        <v>1</v>
      </c>
    </row>
    <row r="966" spans="2:6" x14ac:dyDescent="0.2">
      <c r="B966" t="s">
        <v>5055</v>
      </c>
      <c r="C966" t="s">
        <v>5056</v>
      </c>
      <c r="D966">
        <v>7</v>
      </c>
      <c r="E966" t="s">
        <v>2857</v>
      </c>
      <c r="F966">
        <v>1</v>
      </c>
    </row>
    <row r="967" spans="2:6" x14ac:dyDescent="0.2">
      <c r="B967" t="s">
        <v>5057</v>
      </c>
      <c r="C967" t="s">
        <v>5058</v>
      </c>
      <c r="D967">
        <v>7</v>
      </c>
      <c r="E967" t="s">
        <v>5059</v>
      </c>
      <c r="F967">
        <v>1</v>
      </c>
    </row>
    <row r="968" spans="2:6" x14ac:dyDescent="0.2">
      <c r="B968" t="s">
        <v>5060</v>
      </c>
      <c r="C968" t="s">
        <v>5061</v>
      </c>
      <c r="D968">
        <v>7</v>
      </c>
      <c r="E968" t="s">
        <v>5062</v>
      </c>
      <c r="F968">
        <v>12</v>
      </c>
    </row>
    <row r="969" spans="2:6" x14ac:dyDescent="0.2">
      <c r="B969" t="s">
        <v>5063</v>
      </c>
      <c r="C969" t="s">
        <v>5064</v>
      </c>
      <c r="D969">
        <v>7</v>
      </c>
      <c r="E969" t="s">
        <v>3162</v>
      </c>
      <c r="F969">
        <v>1</v>
      </c>
    </row>
    <row r="970" spans="2:6" x14ac:dyDescent="0.2">
      <c r="B970" t="s">
        <v>5065</v>
      </c>
      <c r="C970" t="s">
        <v>5066</v>
      </c>
      <c r="D970">
        <v>7</v>
      </c>
      <c r="E970" t="s">
        <v>2811</v>
      </c>
      <c r="F970">
        <v>1</v>
      </c>
    </row>
    <row r="971" spans="2:6" x14ac:dyDescent="0.2">
      <c r="B971" t="s">
        <v>5067</v>
      </c>
      <c r="C971" t="s">
        <v>5068</v>
      </c>
      <c r="D971">
        <v>7</v>
      </c>
      <c r="E971" t="s">
        <v>3213</v>
      </c>
      <c r="F971">
        <v>1</v>
      </c>
    </row>
    <row r="972" spans="2:6" x14ac:dyDescent="0.2">
      <c r="B972" t="s">
        <v>5069</v>
      </c>
      <c r="C972" t="s">
        <v>5070</v>
      </c>
      <c r="D972">
        <v>7</v>
      </c>
      <c r="E972" t="s">
        <v>3742</v>
      </c>
      <c r="F972">
        <v>1</v>
      </c>
    </row>
    <row r="973" spans="2:6" x14ac:dyDescent="0.2">
      <c r="B973" t="s">
        <v>5071</v>
      </c>
      <c r="C973" t="s">
        <v>5072</v>
      </c>
      <c r="D973">
        <v>7</v>
      </c>
      <c r="E973" t="s">
        <v>3455</v>
      </c>
      <c r="F973">
        <v>1</v>
      </c>
    </row>
    <row r="974" spans="2:6" x14ac:dyDescent="0.2">
      <c r="B974" t="s">
        <v>5073</v>
      </c>
      <c r="C974" t="s">
        <v>5074</v>
      </c>
      <c r="D974">
        <v>7</v>
      </c>
      <c r="E974" t="s">
        <v>4358</v>
      </c>
      <c r="F974">
        <v>4</v>
      </c>
    </row>
    <row r="975" spans="2:6" x14ac:dyDescent="0.2">
      <c r="B975" t="s">
        <v>5075</v>
      </c>
      <c r="C975" t="s">
        <v>5076</v>
      </c>
      <c r="D975">
        <v>7</v>
      </c>
      <c r="E975" t="s">
        <v>2850</v>
      </c>
      <c r="F975">
        <v>1</v>
      </c>
    </row>
    <row r="976" spans="2:6" x14ac:dyDescent="0.2">
      <c r="B976" t="s">
        <v>5077</v>
      </c>
      <c r="C976" t="s">
        <v>5078</v>
      </c>
      <c r="D976">
        <v>7</v>
      </c>
      <c r="E976" t="s">
        <v>3067</v>
      </c>
      <c r="F976">
        <v>2</v>
      </c>
    </row>
    <row r="977" spans="2:6" x14ac:dyDescent="0.2">
      <c r="B977" t="s">
        <v>5079</v>
      </c>
      <c r="C977" t="s">
        <v>3192</v>
      </c>
      <c r="D977">
        <v>7</v>
      </c>
      <c r="E977" t="s">
        <v>5080</v>
      </c>
      <c r="F977">
        <v>1</v>
      </c>
    </row>
    <row r="978" spans="2:6" x14ac:dyDescent="0.2">
      <c r="B978" t="s">
        <v>5081</v>
      </c>
      <c r="C978" t="s">
        <v>5082</v>
      </c>
      <c r="D978">
        <v>7</v>
      </c>
      <c r="E978" t="s">
        <v>2830</v>
      </c>
      <c r="F978">
        <v>2</v>
      </c>
    </row>
    <row r="979" spans="2:6" x14ac:dyDescent="0.2">
      <c r="B979" t="s">
        <v>5083</v>
      </c>
      <c r="C979" t="s">
        <v>5084</v>
      </c>
      <c r="D979">
        <v>7</v>
      </c>
      <c r="E979" t="s">
        <v>3330</v>
      </c>
      <c r="F979">
        <v>9</v>
      </c>
    </row>
    <row r="980" spans="2:6" x14ac:dyDescent="0.2">
      <c r="B980" t="s">
        <v>5085</v>
      </c>
      <c r="C980" t="s">
        <v>5086</v>
      </c>
      <c r="D980">
        <v>7</v>
      </c>
      <c r="E980" t="s">
        <v>3466</v>
      </c>
      <c r="F980">
        <v>1</v>
      </c>
    </row>
    <row r="981" spans="2:6" x14ac:dyDescent="0.2">
      <c r="B981" t="s">
        <v>5087</v>
      </c>
      <c r="C981" t="s">
        <v>5088</v>
      </c>
      <c r="D981">
        <v>7</v>
      </c>
      <c r="E981" t="s">
        <v>3335</v>
      </c>
      <c r="F981">
        <v>1</v>
      </c>
    </row>
    <row r="982" spans="2:6" x14ac:dyDescent="0.2">
      <c r="B982" t="s">
        <v>5089</v>
      </c>
      <c r="C982" t="s">
        <v>5090</v>
      </c>
      <c r="D982">
        <v>7</v>
      </c>
      <c r="E982" t="s">
        <v>3098</v>
      </c>
      <c r="F982">
        <v>2</v>
      </c>
    </row>
    <row r="983" spans="2:6" x14ac:dyDescent="0.2">
      <c r="B983" t="s">
        <v>5091</v>
      </c>
      <c r="C983" t="s">
        <v>5092</v>
      </c>
      <c r="D983">
        <v>7</v>
      </c>
      <c r="E983" t="s">
        <v>2788</v>
      </c>
      <c r="F983">
        <v>1</v>
      </c>
    </row>
    <row r="984" spans="2:6" x14ac:dyDescent="0.2">
      <c r="B984" t="s">
        <v>5093</v>
      </c>
      <c r="C984" t="s">
        <v>5094</v>
      </c>
      <c r="D984">
        <v>7</v>
      </c>
      <c r="E984" t="s">
        <v>3109</v>
      </c>
      <c r="F984">
        <v>1</v>
      </c>
    </row>
    <row r="985" spans="2:6" x14ac:dyDescent="0.2">
      <c r="B985" t="s">
        <v>2017</v>
      </c>
      <c r="C985" t="s">
        <v>5095</v>
      </c>
      <c r="D985">
        <v>7</v>
      </c>
      <c r="E985" t="s">
        <v>2169</v>
      </c>
      <c r="F985">
        <v>8</v>
      </c>
    </row>
    <row r="986" spans="2:6" x14ac:dyDescent="0.2">
      <c r="B986" t="s">
        <v>566</v>
      </c>
      <c r="C986" t="s">
        <v>5096</v>
      </c>
      <c r="D986">
        <v>7</v>
      </c>
      <c r="E986" t="s">
        <v>2819</v>
      </c>
      <c r="F986">
        <v>2</v>
      </c>
    </row>
    <row r="987" spans="2:6" x14ac:dyDescent="0.2">
      <c r="B987" t="s">
        <v>5097</v>
      </c>
      <c r="C987" t="s">
        <v>5098</v>
      </c>
      <c r="D987">
        <v>7</v>
      </c>
      <c r="E987" t="s">
        <v>3059</v>
      </c>
      <c r="F987">
        <v>2</v>
      </c>
    </row>
    <row r="988" spans="2:6" x14ac:dyDescent="0.2">
      <c r="B988" t="s">
        <v>5099</v>
      </c>
      <c r="C988" t="s">
        <v>5100</v>
      </c>
      <c r="D988">
        <v>7</v>
      </c>
      <c r="E988" t="s">
        <v>2924</v>
      </c>
      <c r="F988">
        <v>1</v>
      </c>
    </row>
    <row r="989" spans="2:6" x14ac:dyDescent="0.2">
      <c r="B989" t="s">
        <v>5101</v>
      </c>
      <c r="C989" t="s">
        <v>5102</v>
      </c>
      <c r="D989">
        <v>7</v>
      </c>
      <c r="E989" t="s">
        <v>3688</v>
      </c>
      <c r="F989">
        <v>1</v>
      </c>
    </row>
    <row r="990" spans="2:6" x14ac:dyDescent="0.2">
      <c r="B990" t="s">
        <v>5103</v>
      </c>
      <c r="C990" t="s">
        <v>5104</v>
      </c>
      <c r="D990">
        <v>7</v>
      </c>
      <c r="E990" t="s">
        <v>5105</v>
      </c>
      <c r="F990">
        <v>2</v>
      </c>
    </row>
    <row r="991" spans="2:6" x14ac:dyDescent="0.2">
      <c r="B991" t="s">
        <v>5106</v>
      </c>
      <c r="C991" t="s">
        <v>4159</v>
      </c>
      <c r="D991">
        <v>7</v>
      </c>
      <c r="E991" t="s">
        <v>3686</v>
      </c>
      <c r="F991">
        <v>2</v>
      </c>
    </row>
    <row r="992" spans="2:6" x14ac:dyDescent="0.2">
      <c r="B992" t="s">
        <v>5107</v>
      </c>
      <c r="C992" t="s">
        <v>5108</v>
      </c>
      <c r="D992">
        <v>7</v>
      </c>
      <c r="E992" t="s">
        <v>3133</v>
      </c>
      <c r="F992">
        <v>8</v>
      </c>
    </row>
    <row r="993" spans="2:6" x14ac:dyDescent="0.2">
      <c r="B993" t="s">
        <v>5109</v>
      </c>
      <c r="C993" t="s">
        <v>3347</v>
      </c>
      <c r="D993">
        <v>7</v>
      </c>
      <c r="E993" t="s">
        <v>5110</v>
      </c>
      <c r="F993">
        <v>2</v>
      </c>
    </row>
    <row r="994" spans="2:6" x14ac:dyDescent="0.2">
      <c r="B994" t="s">
        <v>5111</v>
      </c>
      <c r="C994" t="s">
        <v>5112</v>
      </c>
      <c r="D994">
        <v>7</v>
      </c>
      <c r="E994" t="s">
        <v>5113</v>
      </c>
      <c r="F994">
        <v>1</v>
      </c>
    </row>
    <row r="995" spans="2:6" x14ac:dyDescent="0.2">
      <c r="B995" t="s">
        <v>5114</v>
      </c>
      <c r="C995" t="s">
        <v>5115</v>
      </c>
      <c r="D995">
        <v>7</v>
      </c>
      <c r="E995" t="s">
        <v>5116</v>
      </c>
      <c r="F995">
        <v>1</v>
      </c>
    </row>
    <row r="996" spans="2:6" x14ac:dyDescent="0.2">
      <c r="B996" t="s">
        <v>243</v>
      </c>
      <c r="C996" t="s">
        <v>5117</v>
      </c>
      <c r="D996">
        <v>7</v>
      </c>
      <c r="E996" t="s">
        <v>5118</v>
      </c>
      <c r="F996">
        <v>4</v>
      </c>
    </row>
    <row r="997" spans="2:6" x14ac:dyDescent="0.2">
      <c r="B997" t="s">
        <v>5119</v>
      </c>
      <c r="C997" t="s">
        <v>5120</v>
      </c>
      <c r="D997">
        <v>7</v>
      </c>
      <c r="E997" t="s">
        <v>5121</v>
      </c>
      <c r="F997">
        <v>5</v>
      </c>
    </row>
    <row r="998" spans="2:6" x14ac:dyDescent="0.2">
      <c r="B998" t="s">
        <v>5122</v>
      </c>
      <c r="C998" t="s">
        <v>5123</v>
      </c>
      <c r="D998">
        <v>7</v>
      </c>
      <c r="E998" t="s">
        <v>2863</v>
      </c>
      <c r="F998">
        <v>2</v>
      </c>
    </row>
    <row r="999" spans="2:6" x14ac:dyDescent="0.2">
      <c r="B999" t="s">
        <v>5124</v>
      </c>
      <c r="C999" t="s">
        <v>5125</v>
      </c>
      <c r="D999">
        <v>7</v>
      </c>
      <c r="E999" t="s">
        <v>2915</v>
      </c>
      <c r="F999">
        <v>7</v>
      </c>
    </row>
    <row r="1000" spans="2:6" x14ac:dyDescent="0.2">
      <c r="B1000" t="s">
        <v>5126</v>
      </c>
      <c r="C1000" t="s">
        <v>5127</v>
      </c>
      <c r="D1000">
        <v>7</v>
      </c>
      <c r="E1000" t="s">
        <v>5128</v>
      </c>
      <c r="F1000">
        <v>1</v>
      </c>
    </row>
    <row r="1001" spans="2:6" x14ac:dyDescent="0.2">
      <c r="B1001" t="s">
        <v>5129</v>
      </c>
      <c r="C1001" t="s">
        <v>5130</v>
      </c>
      <c r="D1001">
        <v>7</v>
      </c>
      <c r="E1001" t="s">
        <v>3455</v>
      </c>
      <c r="F1001">
        <v>1</v>
      </c>
    </row>
    <row r="1002" spans="2:6" x14ac:dyDescent="0.2">
      <c r="B1002" t="s">
        <v>5131</v>
      </c>
      <c r="C1002" t="s">
        <v>5132</v>
      </c>
      <c r="D1002">
        <v>7</v>
      </c>
      <c r="E1002" t="s">
        <v>5133</v>
      </c>
      <c r="F1002">
        <v>1</v>
      </c>
    </row>
    <row r="1003" spans="2:6" x14ac:dyDescent="0.2">
      <c r="B1003" t="s">
        <v>5134</v>
      </c>
      <c r="C1003" t="s">
        <v>5135</v>
      </c>
      <c r="D1003">
        <v>7</v>
      </c>
      <c r="E1003" t="s">
        <v>5136</v>
      </c>
      <c r="F1003">
        <v>6</v>
      </c>
    </row>
    <row r="1004" spans="2:6" x14ac:dyDescent="0.2">
      <c r="B1004" t="s">
        <v>1433</v>
      </c>
      <c r="C1004" t="s">
        <v>5137</v>
      </c>
      <c r="D1004">
        <v>7</v>
      </c>
      <c r="E1004" t="s">
        <v>2985</v>
      </c>
      <c r="F1004">
        <v>1</v>
      </c>
    </row>
    <row r="1005" spans="2:6" x14ac:dyDescent="0.2">
      <c r="B1005" t="s">
        <v>5138</v>
      </c>
      <c r="C1005" t="s">
        <v>5139</v>
      </c>
      <c r="D1005">
        <v>7</v>
      </c>
      <c r="E1005" t="s">
        <v>5140</v>
      </c>
      <c r="F1005">
        <v>7</v>
      </c>
    </row>
    <row r="1006" spans="2:6" x14ac:dyDescent="0.2">
      <c r="B1006" t="s">
        <v>5141</v>
      </c>
      <c r="C1006" t="s">
        <v>5142</v>
      </c>
      <c r="D1006">
        <v>7</v>
      </c>
      <c r="E1006" t="s">
        <v>3031</v>
      </c>
      <c r="F1006">
        <v>4</v>
      </c>
    </row>
    <row r="1007" spans="2:6" x14ac:dyDescent="0.2">
      <c r="B1007" t="s">
        <v>822</v>
      </c>
      <c r="C1007" t="s">
        <v>5143</v>
      </c>
      <c r="D1007">
        <v>7</v>
      </c>
      <c r="E1007" t="s">
        <v>2785</v>
      </c>
      <c r="F1007">
        <v>3</v>
      </c>
    </row>
    <row r="1008" spans="2:6" x14ac:dyDescent="0.2">
      <c r="B1008" t="s">
        <v>5144</v>
      </c>
      <c r="C1008" t="s">
        <v>5145</v>
      </c>
      <c r="D1008">
        <v>7</v>
      </c>
      <c r="E1008" t="s">
        <v>3841</v>
      </c>
      <c r="F1008">
        <v>4</v>
      </c>
    </row>
    <row r="1009" spans="2:6" x14ac:dyDescent="0.2">
      <c r="B1009" t="s">
        <v>644</v>
      </c>
      <c r="C1009" t="s">
        <v>5146</v>
      </c>
      <c r="D1009">
        <v>7</v>
      </c>
      <c r="E1009" t="s">
        <v>5147</v>
      </c>
      <c r="F1009">
        <v>21</v>
      </c>
    </row>
    <row r="1010" spans="2:6" x14ac:dyDescent="0.2">
      <c r="B1010" t="s">
        <v>1361</v>
      </c>
      <c r="C1010" t="s">
        <v>5148</v>
      </c>
      <c r="D1010">
        <v>7</v>
      </c>
      <c r="E1010" t="s">
        <v>5149</v>
      </c>
      <c r="F1010">
        <v>27</v>
      </c>
    </row>
    <row r="1011" spans="2:6" x14ac:dyDescent="0.2">
      <c r="B1011" t="s">
        <v>5150</v>
      </c>
      <c r="C1011" t="s">
        <v>5151</v>
      </c>
      <c r="D1011">
        <v>7</v>
      </c>
      <c r="E1011" t="s">
        <v>3113</v>
      </c>
      <c r="F1011">
        <v>2</v>
      </c>
    </row>
    <row r="1012" spans="2:6" x14ac:dyDescent="0.2">
      <c r="B1012" t="s">
        <v>5152</v>
      </c>
      <c r="C1012" t="s">
        <v>5153</v>
      </c>
      <c r="D1012">
        <v>7</v>
      </c>
      <c r="E1012" t="s">
        <v>5154</v>
      </c>
      <c r="F1012">
        <v>3</v>
      </c>
    </row>
    <row r="1013" spans="2:6" x14ac:dyDescent="0.2">
      <c r="B1013" t="s">
        <v>5155</v>
      </c>
      <c r="C1013" t="s">
        <v>5156</v>
      </c>
      <c r="D1013">
        <v>7</v>
      </c>
      <c r="E1013" t="s">
        <v>5157</v>
      </c>
      <c r="F1013">
        <v>4</v>
      </c>
    </row>
    <row r="1014" spans="2:6" x14ac:dyDescent="0.2">
      <c r="B1014" t="s">
        <v>5158</v>
      </c>
      <c r="C1014" t="s">
        <v>5159</v>
      </c>
      <c r="D1014">
        <v>7</v>
      </c>
      <c r="E1014" t="s">
        <v>5160</v>
      </c>
      <c r="F1014">
        <v>2</v>
      </c>
    </row>
    <row r="1015" spans="2:6" x14ac:dyDescent="0.2">
      <c r="B1015" t="s">
        <v>5161</v>
      </c>
      <c r="C1015" t="s">
        <v>5162</v>
      </c>
      <c r="D1015">
        <v>7</v>
      </c>
      <c r="E1015" t="s">
        <v>3455</v>
      </c>
      <c r="F1015">
        <v>22</v>
      </c>
    </row>
    <row r="1016" spans="2:6" x14ac:dyDescent="0.2">
      <c r="B1016" t="s">
        <v>5163</v>
      </c>
      <c r="C1016" t="s">
        <v>5164</v>
      </c>
      <c r="D1016">
        <v>7</v>
      </c>
      <c r="E1016" t="s">
        <v>5165</v>
      </c>
      <c r="F1016">
        <v>12</v>
      </c>
    </row>
    <row r="1017" spans="2:6" x14ac:dyDescent="0.2">
      <c r="B1017" t="s">
        <v>214</v>
      </c>
      <c r="C1017" t="s">
        <v>5166</v>
      </c>
      <c r="D1017">
        <v>7</v>
      </c>
      <c r="E1017" t="s">
        <v>3475</v>
      </c>
      <c r="F1017">
        <v>11</v>
      </c>
    </row>
    <row r="1018" spans="2:6" x14ac:dyDescent="0.2">
      <c r="B1018" t="s">
        <v>5167</v>
      </c>
      <c r="C1018" t="s">
        <v>5168</v>
      </c>
      <c r="D1018">
        <v>7</v>
      </c>
      <c r="E1018" t="s">
        <v>3455</v>
      </c>
      <c r="F1018">
        <v>1</v>
      </c>
    </row>
    <row r="1019" spans="2:6" x14ac:dyDescent="0.2">
      <c r="B1019" t="s">
        <v>1448</v>
      </c>
      <c r="C1019" t="s">
        <v>5169</v>
      </c>
      <c r="D1019">
        <v>7</v>
      </c>
      <c r="E1019" t="s">
        <v>5170</v>
      </c>
      <c r="F1019">
        <v>6</v>
      </c>
    </row>
    <row r="1020" spans="2:6" x14ac:dyDescent="0.2">
      <c r="B1020" t="s">
        <v>5171</v>
      </c>
      <c r="C1020" t="s">
        <v>5172</v>
      </c>
      <c r="D1020">
        <v>7</v>
      </c>
      <c r="E1020" t="s">
        <v>3933</v>
      </c>
      <c r="F1020">
        <v>7</v>
      </c>
    </row>
    <row r="1021" spans="2:6" x14ac:dyDescent="0.2">
      <c r="B1021" t="s">
        <v>1723</v>
      </c>
      <c r="C1021" t="s">
        <v>5173</v>
      </c>
      <c r="D1021">
        <v>7</v>
      </c>
      <c r="E1021" t="s">
        <v>5174</v>
      </c>
      <c r="F1021">
        <v>2</v>
      </c>
    </row>
    <row r="1022" spans="2:6" x14ac:dyDescent="0.2">
      <c r="B1022" t="s">
        <v>5175</v>
      </c>
      <c r="C1022" t="s">
        <v>5176</v>
      </c>
      <c r="D1022">
        <v>7</v>
      </c>
      <c r="E1022" t="s">
        <v>4888</v>
      </c>
      <c r="F1022">
        <v>1</v>
      </c>
    </row>
    <row r="1023" spans="2:6" x14ac:dyDescent="0.2">
      <c r="B1023" t="s">
        <v>5177</v>
      </c>
      <c r="C1023" t="s">
        <v>5178</v>
      </c>
      <c r="D1023">
        <v>7</v>
      </c>
      <c r="E1023" t="s">
        <v>5179</v>
      </c>
      <c r="F1023">
        <v>2</v>
      </c>
    </row>
    <row r="1024" spans="2:6" x14ac:dyDescent="0.2">
      <c r="B1024" t="s">
        <v>5180</v>
      </c>
      <c r="C1024" t="s">
        <v>5181</v>
      </c>
      <c r="D1024">
        <v>7</v>
      </c>
      <c r="E1024" t="s">
        <v>2924</v>
      </c>
      <c r="F1024">
        <v>3</v>
      </c>
    </row>
    <row r="1025" spans="2:6" x14ac:dyDescent="0.2">
      <c r="B1025" t="s">
        <v>285</v>
      </c>
      <c r="C1025" t="s">
        <v>5182</v>
      </c>
      <c r="D1025">
        <v>7</v>
      </c>
      <c r="E1025" t="s">
        <v>3036</v>
      </c>
      <c r="F1025">
        <v>2</v>
      </c>
    </row>
    <row r="1026" spans="2:6" x14ac:dyDescent="0.2">
      <c r="B1026" t="s">
        <v>5183</v>
      </c>
      <c r="C1026" t="s">
        <v>5184</v>
      </c>
      <c r="D1026">
        <v>7</v>
      </c>
      <c r="E1026" t="s">
        <v>5185</v>
      </c>
      <c r="F1026">
        <v>3</v>
      </c>
    </row>
    <row r="1027" spans="2:6" x14ac:dyDescent="0.2">
      <c r="B1027" t="s">
        <v>5186</v>
      </c>
      <c r="C1027" t="s">
        <v>5187</v>
      </c>
      <c r="D1027">
        <v>7</v>
      </c>
      <c r="E1027" t="s">
        <v>5188</v>
      </c>
      <c r="F1027">
        <v>3</v>
      </c>
    </row>
    <row r="1028" spans="2:6" x14ac:dyDescent="0.2">
      <c r="B1028" t="s">
        <v>5189</v>
      </c>
      <c r="C1028" t="s">
        <v>5190</v>
      </c>
      <c r="D1028">
        <v>7</v>
      </c>
      <c r="E1028" t="s">
        <v>5191</v>
      </c>
      <c r="F1028">
        <v>2</v>
      </c>
    </row>
    <row r="1029" spans="2:6" x14ac:dyDescent="0.2">
      <c r="B1029" t="s">
        <v>5192</v>
      </c>
      <c r="C1029" t="s">
        <v>5193</v>
      </c>
      <c r="D1029">
        <v>7</v>
      </c>
      <c r="E1029" t="s">
        <v>2850</v>
      </c>
      <c r="F1029">
        <v>9</v>
      </c>
    </row>
    <row r="1030" spans="2:6" x14ac:dyDescent="0.2">
      <c r="B1030" t="s">
        <v>5194</v>
      </c>
      <c r="C1030" t="s">
        <v>5195</v>
      </c>
      <c r="D1030">
        <v>7</v>
      </c>
      <c r="E1030" t="s">
        <v>2839</v>
      </c>
      <c r="F1030">
        <v>1</v>
      </c>
    </row>
    <row r="1031" spans="2:6" x14ac:dyDescent="0.2">
      <c r="B1031" t="s">
        <v>5196</v>
      </c>
      <c r="C1031" t="s">
        <v>5197</v>
      </c>
      <c r="D1031">
        <v>7</v>
      </c>
      <c r="E1031" t="s">
        <v>5198</v>
      </c>
      <c r="F1031">
        <v>25</v>
      </c>
    </row>
    <row r="1032" spans="2:6" x14ac:dyDescent="0.2">
      <c r="B1032" t="s">
        <v>5199</v>
      </c>
      <c r="C1032" t="s">
        <v>5200</v>
      </c>
      <c r="D1032">
        <v>7</v>
      </c>
      <c r="E1032" t="s">
        <v>5201</v>
      </c>
      <c r="F1032">
        <v>5</v>
      </c>
    </row>
    <row r="1033" spans="2:6" x14ac:dyDescent="0.2">
      <c r="B1033" t="s">
        <v>5202</v>
      </c>
      <c r="C1033" t="s">
        <v>5203</v>
      </c>
      <c r="D1033">
        <v>7</v>
      </c>
      <c r="E1033" t="s">
        <v>3455</v>
      </c>
      <c r="F1033">
        <v>1</v>
      </c>
    </row>
    <row r="1034" spans="2:6" x14ac:dyDescent="0.2">
      <c r="B1034" t="s">
        <v>5204</v>
      </c>
      <c r="C1034" t="s">
        <v>5205</v>
      </c>
      <c r="D1034">
        <v>7</v>
      </c>
      <c r="E1034" t="s">
        <v>3031</v>
      </c>
      <c r="F1034">
        <v>5</v>
      </c>
    </row>
    <row r="1035" spans="2:6" x14ac:dyDescent="0.2">
      <c r="B1035" t="s">
        <v>5206</v>
      </c>
      <c r="C1035" t="s">
        <v>5207</v>
      </c>
      <c r="D1035">
        <v>7</v>
      </c>
      <c r="E1035" t="s">
        <v>3586</v>
      </c>
      <c r="F1035">
        <v>2</v>
      </c>
    </row>
    <row r="1036" spans="2:6" x14ac:dyDescent="0.2">
      <c r="B1036" t="s">
        <v>5208</v>
      </c>
      <c r="C1036" t="s">
        <v>5209</v>
      </c>
      <c r="D1036">
        <v>7</v>
      </c>
      <c r="E1036" t="s">
        <v>3113</v>
      </c>
      <c r="F1036">
        <v>15</v>
      </c>
    </row>
    <row r="1037" spans="2:6" x14ac:dyDescent="0.2">
      <c r="B1037" t="s">
        <v>5210</v>
      </c>
      <c r="C1037" t="s">
        <v>5211</v>
      </c>
      <c r="D1037">
        <v>7</v>
      </c>
      <c r="E1037" t="s">
        <v>2836</v>
      </c>
      <c r="F1037">
        <v>2</v>
      </c>
    </row>
    <row r="1038" spans="2:6" x14ac:dyDescent="0.2">
      <c r="B1038" t="s">
        <v>5212</v>
      </c>
      <c r="C1038" t="s">
        <v>5213</v>
      </c>
      <c r="D1038">
        <v>7</v>
      </c>
      <c r="E1038" t="s">
        <v>2892</v>
      </c>
      <c r="F1038">
        <v>2</v>
      </c>
    </row>
    <row r="1039" spans="2:6" x14ac:dyDescent="0.2">
      <c r="B1039" t="s">
        <v>5214</v>
      </c>
      <c r="C1039" t="s">
        <v>5215</v>
      </c>
      <c r="D1039">
        <v>7</v>
      </c>
      <c r="E1039" t="s">
        <v>5216</v>
      </c>
      <c r="F1039">
        <v>8</v>
      </c>
    </row>
    <row r="1040" spans="2:6" x14ac:dyDescent="0.2">
      <c r="B1040" t="s">
        <v>5217</v>
      </c>
      <c r="C1040" t="s">
        <v>5218</v>
      </c>
      <c r="D1040">
        <v>7</v>
      </c>
      <c r="E1040" t="s">
        <v>3591</v>
      </c>
      <c r="F1040">
        <v>2</v>
      </c>
    </row>
    <row r="1041" spans="2:6" x14ac:dyDescent="0.2">
      <c r="B1041" t="s">
        <v>5219</v>
      </c>
      <c r="C1041" t="s">
        <v>5220</v>
      </c>
      <c r="D1041">
        <v>7</v>
      </c>
      <c r="E1041" t="s">
        <v>2830</v>
      </c>
      <c r="F1041">
        <v>2</v>
      </c>
    </row>
    <row r="1042" spans="2:6" x14ac:dyDescent="0.2">
      <c r="B1042" t="s">
        <v>5221</v>
      </c>
      <c r="C1042" t="s">
        <v>5222</v>
      </c>
      <c r="D1042">
        <v>7</v>
      </c>
      <c r="E1042" t="s">
        <v>4062</v>
      </c>
      <c r="F1042">
        <v>93</v>
      </c>
    </row>
    <row r="1043" spans="2:6" x14ac:dyDescent="0.2">
      <c r="B1043" t="s">
        <v>5223</v>
      </c>
      <c r="C1043" t="s">
        <v>5224</v>
      </c>
      <c r="D1043">
        <v>7</v>
      </c>
      <c r="E1043" t="s">
        <v>3001</v>
      </c>
      <c r="F1043">
        <v>5</v>
      </c>
    </row>
    <row r="1044" spans="2:6" x14ac:dyDescent="0.2">
      <c r="B1044" t="s">
        <v>5225</v>
      </c>
      <c r="C1044" t="s">
        <v>5226</v>
      </c>
      <c r="D1044">
        <v>7</v>
      </c>
      <c r="E1044" t="s">
        <v>5227</v>
      </c>
      <c r="F1044">
        <v>1</v>
      </c>
    </row>
    <row r="1045" spans="2:6" x14ac:dyDescent="0.2">
      <c r="B1045" t="s">
        <v>5228</v>
      </c>
      <c r="C1045" t="s">
        <v>5229</v>
      </c>
      <c r="D1045">
        <v>7</v>
      </c>
      <c r="E1045" t="s">
        <v>2869</v>
      </c>
      <c r="F1045">
        <v>1</v>
      </c>
    </row>
    <row r="1046" spans="2:6" x14ac:dyDescent="0.2">
      <c r="B1046" t="s">
        <v>783</v>
      </c>
      <c r="C1046" t="s">
        <v>5230</v>
      </c>
      <c r="D1046">
        <v>7</v>
      </c>
      <c r="E1046" t="s">
        <v>4280</v>
      </c>
      <c r="F1046">
        <v>74</v>
      </c>
    </row>
    <row r="1047" spans="2:6" x14ac:dyDescent="0.2">
      <c r="B1047" t="s">
        <v>5231</v>
      </c>
      <c r="C1047" t="s">
        <v>5232</v>
      </c>
      <c r="D1047">
        <v>7</v>
      </c>
      <c r="E1047" t="s">
        <v>5233</v>
      </c>
      <c r="F1047">
        <v>3</v>
      </c>
    </row>
    <row r="1048" spans="2:6" x14ac:dyDescent="0.2">
      <c r="B1048" t="s">
        <v>5234</v>
      </c>
      <c r="C1048" t="s">
        <v>5235</v>
      </c>
      <c r="D1048">
        <v>7</v>
      </c>
      <c r="E1048" t="s">
        <v>5236</v>
      </c>
      <c r="F1048">
        <v>53</v>
      </c>
    </row>
    <row r="1049" spans="2:6" x14ac:dyDescent="0.2">
      <c r="B1049" t="s">
        <v>5237</v>
      </c>
      <c r="C1049" t="s">
        <v>5238</v>
      </c>
      <c r="D1049">
        <v>7</v>
      </c>
      <c r="E1049" t="s">
        <v>4050</v>
      </c>
      <c r="F1049">
        <v>1</v>
      </c>
    </row>
    <row r="1050" spans="2:6" x14ac:dyDescent="0.2">
      <c r="B1050" t="s">
        <v>5239</v>
      </c>
      <c r="C1050" t="s">
        <v>5240</v>
      </c>
      <c r="D1050">
        <v>7</v>
      </c>
      <c r="E1050" t="s">
        <v>5241</v>
      </c>
      <c r="F1050">
        <v>3</v>
      </c>
    </row>
    <row r="1051" spans="2:6" x14ac:dyDescent="0.2">
      <c r="B1051" t="s">
        <v>5242</v>
      </c>
      <c r="C1051" t="s">
        <v>5243</v>
      </c>
      <c r="D1051">
        <v>7</v>
      </c>
      <c r="E1051" t="s">
        <v>5244</v>
      </c>
      <c r="F1051">
        <v>1</v>
      </c>
    </row>
    <row r="1052" spans="2:6" x14ac:dyDescent="0.2">
      <c r="B1052" t="s">
        <v>177</v>
      </c>
      <c r="C1052" t="s">
        <v>5245</v>
      </c>
      <c r="D1052">
        <v>7</v>
      </c>
      <c r="E1052" t="s">
        <v>3475</v>
      </c>
      <c r="F1052">
        <v>10</v>
      </c>
    </row>
    <row r="1053" spans="2:6" x14ac:dyDescent="0.2">
      <c r="B1053" t="s">
        <v>5246</v>
      </c>
      <c r="C1053" t="s">
        <v>5247</v>
      </c>
      <c r="D1053">
        <v>7</v>
      </c>
      <c r="E1053" t="s">
        <v>3386</v>
      </c>
      <c r="F1053">
        <v>1</v>
      </c>
    </row>
    <row r="1054" spans="2:6" x14ac:dyDescent="0.2">
      <c r="B1054" t="s">
        <v>832</v>
      </c>
      <c r="C1054" t="s">
        <v>5248</v>
      </c>
      <c r="D1054">
        <v>7</v>
      </c>
      <c r="E1054" t="s">
        <v>3586</v>
      </c>
      <c r="F1054">
        <v>1</v>
      </c>
    </row>
    <row r="1055" spans="2:6" x14ac:dyDescent="0.2">
      <c r="B1055" t="s">
        <v>5249</v>
      </c>
      <c r="C1055" t="s">
        <v>5250</v>
      </c>
      <c r="D1055">
        <v>7</v>
      </c>
      <c r="E1055" t="s">
        <v>3172</v>
      </c>
      <c r="F1055">
        <v>20</v>
      </c>
    </row>
    <row r="1056" spans="2:6" x14ac:dyDescent="0.2">
      <c r="B1056" t="s">
        <v>5251</v>
      </c>
      <c r="C1056" t="s">
        <v>5252</v>
      </c>
      <c r="D1056">
        <v>7</v>
      </c>
      <c r="E1056" t="s">
        <v>2881</v>
      </c>
      <c r="F1056">
        <v>15</v>
      </c>
    </row>
    <row r="1057" spans="2:6" x14ac:dyDescent="0.2">
      <c r="B1057" t="s">
        <v>766</v>
      </c>
      <c r="C1057" t="s">
        <v>5253</v>
      </c>
      <c r="D1057">
        <v>7</v>
      </c>
      <c r="E1057" t="s">
        <v>3532</v>
      </c>
      <c r="F1057">
        <v>1</v>
      </c>
    </row>
    <row r="1058" spans="2:6" x14ac:dyDescent="0.2">
      <c r="B1058" t="s">
        <v>5254</v>
      </c>
      <c r="C1058" t="s">
        <v>5255</v>
      </c>
      <c r="D1058">
        <v>7</v>
      </c>
      <c r="E1058" t="s">
        <v>3742</v>
      </c>
      <c r="F1058">
        <v>1</v>
      </c>
    </row>
    <row r="1059" spans="2:6" x14ac:dyDescent="0.2">
      <c r="B1059" t="s">
        <v>5256</v>
      </c>
      <c r="C1059" t="s">
        <v>5257</v>
      </c>
      <c r="D1059">
        <v>7</v>
      </c>
      <c r="E1059" t="s">
        <v>3187</v>
      </c>
      <c r="F1059">
        <v>4</v>
      </c>
    </row>
    <row r="1060" spans="2:6" x14ac:dyDescent="0.2">
      <c r="B1060" t="s">
        <v>5258</v>
      </c>
      <c r="C1060" t="s">
        <v>5259</v>
      </c>
      <c r="D1060">
        <v>7</v>
      </c>
      <c r="E1060" t="s">
        <v>2892</v>
      </c>
      <c r="F1060">
        <v>2</v>
      </c>
    </row>
    <row r="1061" spans="2:6" x14ac:dyDescent="0.2">
      <c r="B1061" t="s">
        <v>5260</v>
      </c>
      <c r="C1061" t="s">
        <v>5261</v>
      </c>
      <c r="D1061">
        <v>7</v>
      </c>
      <c r="E1061" t="s">
        <v>2802</v>
      </c>
      <c r="F1061">
        <v>1</v>
      </c>
    </row>
    <row r="1062" spans="2:6" x14ac:dyDescent="0.2">
      <c r="B1062" t="s">
        <v>5262</v>
      </c>
      <c r="C1062" t="s">
        <v>5263</v>
      </c>
      <c r="D1062">
        <v>7</v>
      </c>
      <c r="E1062" t="s">
        <v>2863</v>
      </c>
      <c r="F1062">
        <v>3</v>
      </c>
    </row>
    <row r="1063" spans="2:6" x14ac:dyDescent="0.2">
      <c r="B1063" t="s">
        <v>5264</v>
      </c>
      <c r="C1063" t="s">
        <v>5265</v>
      </c>
      <c r="D1063">
        <v>7</v>
      </c>
      <c r="E1063" t="s">
        <v>5266</v>
      </c>
      <c r="F1063">
        <v>4</v>
      </c>
    </row>
    <row r="1064" spans="2:6" x14ac:dyDescent="0.2">
      <c r="B1064" t="s">
        <v>5267</v>
      </c>
      <c r="C1064" t="s">
        <v>5268</v>
      </c>
      <c r="D1064">
        <v>7</v>
      </c>
      <c r="E1064" t="s">
        <v>3756</v>
      </c>
      <c r="F1064">
        <v>1</v>
      </c>
    </row>
    <row r="1065" spans="2:6" x14ac:dyDescent="0.2">
      <c r="B1065" t="s">
        <v>2138</v>
      </c>
      <c r="C1065" t="s">
        <v>5269</v>
      </c>
      <c r="D1065">
        <v>7</v>
      </c>
      <c r="E1065" t="s">
        <v>3153</v>
      </c>
      <c r="F1065">
        <v>1</v>
      </c>
    </row>
    <row r="1066" spans="2:6" x14ac:dyDescent="0.2">
      <c r="B1066" t="s">
        <v>5270</v>
      </c>
      <c r="C1066" t="s">
        <v>5271</v>
      </c>
      <c r="D1066">
        <v>7</v>
      </c>
      <c r="E1066" t="s">
        <v>3031</v>
      </c>
      <c r="F1066">
        <v>3</v>
      </c>
    </row>
    <row r="1067" spans="2:6" x14ac:dyDescent="0.2">
      <c r="B1067" t="s">
        <v>5272</v>
      </c>
      <c r="C1067" t="s">
        <v>5273</v>
      </c>
      <c r="D1067">
        <v>7</v>
      </c>
      <c r="E1067" t="s">
        <v>3643</v>
      </c>
      <c r="F1067">
        <v>1</v>
      </c>
    </row>
    <row r="1068" spans="2:6" x14ac:dyDescent="0.2">
      <c r="B1068" t="s">
        <v>5274</v>
      </c>
      <c r="C1068" t="s">
        <v>5275</v>
      </c>
      <c r="D1068">
        <v>7</v>
      </c>
      <c r="E1068" t="s">
        <v>2802</v>
      </c>
      <c r="F1068">
        <v>1</v>
      </c>
    </row>
    <row r="1069" spans="2:6" x14ac:dyDescent="0.2">
      <c r="B1069" t="s">
        <v>5276</v>
      </c>
      <c r="C1069" t="s">
        <v>5277</v>
      </c>
      <c r="D1069">
        <v>7</v>
      </c>
      <c r="E1069" t="s">
        <v>3232</v>
      </c>
      <c r="F1069">
        <v>2</v>
      </c>
    </row>
    <row r="1070" spans="2:6" x14ac:dyDescent="0.2">
      <c r="B1070" t="s">
        <v>396</v>
      </c>
      <c r="C1070" t="s">
        <v>5278</v>
      </c>
      <c r="D1070">
        <v>7</v>
      </c>
      <c r="E1070" t="s">
        <v>3056</v>
      </c>
      <c r="F1070">
        <v>1</v>
      </c>
    </row>
    <row r="1071" spans="2:6" x14ac:dyDescent="0.2">
      <c r="B1071" t="s">
        <v>5279</v>
      </c>
      <c r="C1071" t="s">
        <v>5280</v>
      </c>
      <c r="D1071">
        <v>7</v>
      </c>
      <c r="E1071" t="s">
        <v>3153</v>
      </c>
      <c r="F1071">
        <v>4</v>
      </c>
    </row>
    <row r="1072" spans="2:6" x14ac:dyDescent="0.2">
      <c r="B1072" t="s">
        <v>5281</v>
      </c>
      <c r="C1072" t="s">
        <v>5282</v>
      </c>
      <c r="D1072">
        <v>7</v>
      </c>
      <c r="E1072" t="s">
        <v>3081</v>
      </c>
      <c r="F1072">
        <v>4</v>
      </c>
    </row>
    <row r="1073" spans="2:6" x14ac:dyDescent="0.2">
      <c r="B1073" t="s">
        <v>5283</v>
      </c>
      <c r="C1073" t="s">
        <v>5284</v>
      </c>
      <c r="D1073">
        <v>7</v>
      </c>
      <c r="E1073" t="s">
        <v>3081</v>
      </c>
      <c r="F1073">
        <v>3</v>
      </c>
    </row>
    <row r="1074" spans="2:6" x14ac:dyDescent="0.2">
      <c r="B1074" t="s">
        <v>5285</v>
      </c>
      <c r="C1074" t="s">
        <v>5286</v>
      </c>
      <c r="D1074">
        <v>7</v>
      </c>
      <c r="E1074" t="s">
        <v>3042</v>
      </c>
      <c r="F1074">
        <v>4</v>
      </c>
    </row>
    <row r="1075" spans="2:6" x14ac:dyDescent="0.2">
      <c r="B1075" t="s">
        <v>5287</v>
      </c>
      <c r="C1075" t="s">
        <v>5288</v>
      </c>
      <c r="D1075">
        <v>7</v>
      </c>
      <c r="E1075" t="s">
        <v>2850</v>
      </c>
      <c r="F1075">
        <v>1</v>
      </c>
    </row>
    <row r="1076" spans="2:6" x14ac:dyDescent="0.2">
      <c r="B1076" t="s">
        <v>5289</v>
      </c>
      <c r="C1076" t="s">
        <v>5290</v>
      </c>
      <c r="D1076">
        <v>7</v>
      </c>
      <c r="E1076" t="s">
        <v>2988</v>
      </c>
      <c r="F1076">
        <v>3</v>
      </c>
    </row>
    <row r="1077" spans="2:6" x14ac:dyDescent="0.2">
      <c r="B1077" t="s">
        <v>5291</v>
      </c>
      <c r="C1077" t="s">
        <v>5292</v>
      </c>
      <c r="D1077">
        <v>7</v>
      </c>
      <c r="E1077" t="s">
        <v>2974</v>
      </c>
      <c r="F1077">
        <v>1</v>
      </c>
    </row>
    <row r="1078" spans="2:6" x14ac:dyDescent="0.2">
      <c r="B1078" t="s">
        <v>475</v>
      </c>
      <c r="C1078" t="s">
        <v>5293</v>
      </c>
      <c r="D1078">
        <v>7</v>
      </c>
      <c r="E1078" t="s">
        <v>3136</v>
      </c>
      <c r="F1078">
        <v>5</v>
      </c>
    </row>
    <row r="1079" spans="2:6" x14ac:dyDescent="0.2">
      <c r="B1079" t="s">
        <v>5294</v>
      </c>
      <c r="C1079" t="s">
        <v>4662</v>
      </c>
      <c r="D1079">
        <v>7</v>
      </c>
      <c r="E1079" t="s">
        <v>4052</v>
      </c>
      <c r="F1079">
        <v>4</v>
      </c>
    </row>
    <row r="1080" spans="2:6" x14ac:dyDescent="0.2">
      <c r="B1080" t="s">
        <v>5295</v>
      </c>
      <c r="C1080" t="s">
        <v>4291</v>
      </c>
      <c r="D1080">
        <v>7</v>
      </c>
      <c r="E1080" t="s">
        <v>3338</v>
      </c>
      <c r="F1080">
        <v>5</v>
      </c>
    </row>
    <row r="1081" spans="2:6" x14ac:dyDescent="0.2">
      <c r="B1081" t="s">
        <v>5296</v>
      </c>
      <c r="C1081" t="s">
        <v>5297</v>
      </c>
      <c r="D1081">
        <v>7</v>
      </c>
      <c r="E1081" t="s">
        <v>2811</v>
      </c>
      <c r="F1081">
        <v>1</v>
      </c>
    </row>
    <row r="1082" spans="2:6" x14ac:dyDescent="0.2">
      <c r="B1082" t="s">
        <v>5298</v>
      </c>
      <c r="C1082" t="s">
        <v>5299</v>
      </c>
      <c r="D1082">
        <v>7</v>
      </c>
      <c r="E1082" t="s">
        <v>5300</v>
      </c>
      <c r="F1082">
        <v>1</v>
      </c>
    </row>
    <row r="1083" spans="2:6" x14ac:dyDescent="0.2">
      <c r="B1083" t="s">
        <v>5301</v>
      </c>
      <c r="C1083" t="s">
        <v>5302</v>
      </c>
      <c r="D1083">
        <v>7</v>
      </c>
      <c r="E1083" t="s">
        <v>5303</v>
      </c>
      <c r="F1083">
        <v>6</v>
      </c>
    </row>
    <row r="1084" spans="2:6" x14ac:dyDescent="0.2">
      <c r="B1084" t="s">
        <v>5304</v>
      </c>
      <c r="C1084" t="s">
        <v>5305</v>
      </c>
      <c r="D1084">
        <v>7</v>
      </c>
      <c r="E1084" t="s">
        <v>5306</v>
      </c>
      <c r="F1084">
        <v>2</v>
      </c>
    </row>
    <row r="1085" spans="2:6" x14ac:dyDescent="0.2">
      <c r="B1085" t="s">
        <v>5307</v>
      </c>
      <c r="C1085" t="s">
        <v>5308</v>
      </c>
      <c r="D1085">
        <v>7</v>
      </c>
      <c r="E1085" t="s">
        <v>3316</v>
      </c>
      <c r="F1085">
        <v>2</v>
      </c>
    </row>
    <row r="1086" spans="2:6" x14ac:dyDescent="0.2">
      <c r="B1086" t="s">
        <v>5309</v>
      </c>
      <c r="C1086" t="s">
        <v>5310</v>
      </c>
      <c r="D1086">
        <v>7</v>
      </c>
      <c r="E1086" t="s">
        <v>3106</v>
      </c>
      <c r="F1086">
        <v>1</v>
      </c>
    </row>
    <row r="1087" spans="2:6" x14ac:dyDescent="0.2">
      <c r="B1087" t="s">
        <v>5311</v>
      </c>
      <c r="C1087" t="s">
        <v>5312</v>
      </c>
      <c r="D1087">
        <v>7</v>
      </c>
      <c r="E1087" t="s">
        <v>4888</v>
      </c>
      <c r="F1087">
        <v>1</v>
      </c>
    </row>
    <row r="1088" spans="2:6" x14ac:dyDescent="0.2">
      <c r="B1088" t="s">
        <v>5313</v>
      </c>
      <c r="C1088" t="s">
        <v>5314</v>
      </c>
      <c r="D1088">
        <v>7</v>
      </c>
      <c r="E1088" t="s">
        <v>3235</v>
      </c>
      <c r="F1088">
        <v>4</v>
      </c>
    </row>
    <row r="1089" spans="2:6" x14ac:dyDescent="0.2">
      <c r="B1089" t="s">
        <v>5315</v>
      </c>
      <c r="C1089" t="s">
        <v>5316</v>
      </c>
      <c r="D1089">
        <v>7</v>
      </c>
      <c r="E1089" t="s">
        <v>5317</v>
      </c>
      <c r="F1089">
        <v>5</v>
      </c>
    </row>
    <row r="1090" spans="2:6" x14ac:dyDescent="0.2">
      <c r="B1090" t="s">
        <v>5318</v>
      </c>
      <c r="C1090" t="s">
        <v>5319</v>
      </c>
      <c r="D1090">
        <v>7</v>
      </c>
      <c r="E1090" t="s">
        <v>3575</v>
      </c>
      <c r="F1090">
        <v>1</v>
      </c>
    </row>
    <row r="1091" spans="2:6" x14ac:dyDescent="0.2">
      <c r="B1091" t="s">
        <v>5320</v>
      </c>
      <c r="C1091" t="s">
        <v>5321</v>
      </c>
      <c r="D1091">
        <v>7</v>
      </c>
      <c r="E1091" t="s">
        <v>3092</v>
      </c>
      <c r="F1091">
        <v>1</v>
      </c>
    </row>
    <row r="1092" spans="2:6" x14ac:dyDescent="0.2">
      <c r="B1092" t="s">
        <v>5322</v>
      </c>
      <c r="C1092" t="s">
        <v>5323</v>
      </c>
      <c r="D1092">
        <v>7</v>
      </c>
      <c r="E1092" t="s">
        <v>5324</v>
      </c>
      <c r="F1092">
        <v>11</v>
      </c>
    </row>
    <row r="1093" spans="2:6" x14ac:dyDescent="0.2">
      <c r="B1093" t="s">
        <v>5325</v>
      </c>
      <c r="C1093" t="s">
        <v>5326</v>
      </c>
      <c r="D1093">
        <v>7</v>
      </c>
      <c r="E1093" t="s">
        <v>3133</v>
      </c>
      <c r="F1093">
        <v>1</v>
      </c>
    </row>
    <row r="1094" spans="2:6" x14ac:dyDescent="0.2">
      <c r="B1094" t="s">
        <v>5327</v>
      </c>
      <c r="C1094" t="s">
        <v>5328</v>
      </c>
      <c r="D1094">
        <v>7</v>
      </c>
      <c r="E1094" t="s">
        <v>3316</v>
      </c>
      <c r="F1094">
        <v>1</v>
      </c>
    </row>
    <row r="1095" spans="2:6" x14ac:dyDescent="0.2">
      <c r="B1095" t="s">
        <v>830</v>
      </c>
      <c r="C1095" t="s">
        <v>5329</v>
      </c>
      <c r="D1095">
        <v>7</v>
      </c>
      <c r="E1095" t="s">
        <v>5330</v>
      </c>
      <c r="F1095">
        <v>6</v>
      </c>
    </row>
    <row r="1096" spans="2:6" x14ac:dyDescent="0.2">
      <c r="B1096" t="s">
        <v>5331</v>
      </c>
      <c r="C1096" t="s">
        <v>5332</v>
      </c>
      <c r="D1096">
        <v>7</v>
      </c>
      <c r="E1096" t="s">
        <v>3994</v>
      </c>
      <c r="F1096">
        <v>11</v>
      </c>
    </row>
    <row r="1097" spans="2:6" x14ac:dyDescent="0.2">
      <c r="B1097" t="s">
        <v>1444</v>
      </c>
      <c r="C1097" t="s">
        <v>5333</v>
      </c>
      <c r="D1097">
        <v>7</v>
      </c>
      <c r="E1097" t="s">
        <v>3056</v>
      </c>
      <c r="F1097">
        <v>2</v>
      </c>
    </row>
    <row r="1098" spans="2:6" x14ac:dyDescent="0.2">
      <c r="B1098" t="s">
        <v>5334</v>
      </c>
      <c r="C1098" t="s">
        <v>5335</v>
      </c>
      <c r="D1098">
        <v>7</v>
      </c>
      <c r="E1098" t="s">
        <v>5336</v>
      </c>
      <c r="F1098">
        <v>1</v>
      </c>
    </row>
    <row r="1099" spans="2:6" x14ac:dyDescent="0.2">
      <c r="B1099" t="s">
        <v>5337</v>
      </c>
      <c r="C1099" t="s">
        <v>5338</v>
      </c>
      <c r="D1099">
        <v>7</v>
      </c>
      <c r="E1099" t="s">
        <v>5339</v>
      </c>
      <c r="F1099">
        <v>1</v>
      </c>
    </row>
    <row r="1100" spans="2:6" x14ac:dyDescent="0.2">
      <c r="B1100" t="s">
        <v>5340</v>
      </c>
      <c r="C1100" t="s">
        <v>5341</v>
      </c>
      <c r="D1100">
        <v>7</v>
      </c>
      <c r="E1100" t="s">
        <v>2892</v>
      </c>
      <c r="F1100">
        <v>1</v>
      </c>
    </row>
    <row r="1101" spans="2:6" x14ac:dyDescent="0.2">
      <c r="B1101" t="s">
        <v>5342</v>
      </c>
      <c r="C1101" t="s">
        <v>5343</v>
      </c>
      <c r="D1101">
        <v>7</v>
      </c>
      <c r="E1101" t="s">
        <v>2833</v>
      </c>
      <c r="F1101">
        <v>1</v>
      </c>
    </row>
    <row r="1102" spans="2:6" x14ac:dyDescent="0.2">
      <c r="B1102" t="s">
        <v>5344</v>
      </c>
      <c r="C1102" t="s">
        <v>5345</v>
      </c>
      <c r="D1102">
        <v>7</v>
      </c>
      <c r="E1102" t="s">
        <v>5346</v>
      </c>
      <c r="F1102">
        <v>2</v>
      </c>
    </row>
    <row r="1103" spans="2:6" x14ac:dyDescent="0.2">
      <c r="B1103" t="s">
        <v>5347</v>
      </c>
      <c r="C1103" t="s">
        <v>5348</v>
      </c>
      <c r="D1103">
        <v>7</v>
      </c>
      <c r="E1103" t="s">
        <v>5349</v>
      </c>
      <c r="F1103">
        <v>3</v>
      </c>
    </row>
    <row r="1104" spans="2:6" x14ac:dyDescent="0.2">
      <c r="B1104" t="s">
        <v>5350</v>
      </c>
      <c r="C1104" t="s">
        <v>5351</v>
      </c>
      <c r="D1104">
        <v>7</v>
      </c>
      <c r="E1104" t="s">
        <v>5352</v>
      </c>
      <c r="F1104">
        <v>8</v>
      </c>
    </row>
    <row r="1105" spans="2:6" x14ac:dyDescent="0.2">
      <c r="B1105" t="s">
        <v>5353</v>
      </c>
      <c r="C1105" t="s">
        <v>5354</v>
      </c>
      <c r="D1105">
        <v>7</v>
      </c>
      <c r="E1105" t="s">
        <v>5355</v>
      </c>
      <c r="F1105">
        <v>1</v>
      </c>
    </row>
    <row r="1106" spans="2:6" x14ac:dyDescent="0.2">
      <c r="B1106" t="s">
        <v>5356</v>
      </c>
      <c r="C1106" t="s">
        <v>5357</v>
      </c>
      <c r="D1106">
        <v>7</v>
      </c>
      <c r="E1106" t="s">
        <v>5358</v>
      </c>
      <c r="F1106">
        <v>1</v>
      </c>
    </row>
    <row r="1107" spans="2:6" x14ac:dyDescent="0.2">
      <c r="B1107" t="s">
        <v>5359</v>
      </c>
      <c r="C1107" t="s">
        <v>5360</v>
      </c>
      <c r="D1107">
        <v>7</v>
      </c>
      <c r="E1107" t="s">
        <v>5361</v>
      </c>
      <c r="F1107">
        <v>1</v>
      </c>
    </row>
    <row r="1108" spans="2:6" x14ac:dyDescent="0.2">
      <c r="B1108" t="s">
        <v>284</v>
      </c>
      <c r="C1108" t="s">
        <v>5362</v>
      </c>
      <c r="D1108">
        <v>7</v>
      </c>
      <c r="E1108" t="s">
        <v>3386</v>
      </c>
      <c r="F1108">
        <v>1</v>
      </c>
    </row>
    <row r="1109" spans="2:6" x14ac:dyDescent="0.2">
      <c r="B1109" t="s">
        <v>727</v>
      </c>
      <c r="C1109" t="s">
        <v>5363</v>
      </c>
      <c r="D1109">
        <v>7</v>
      </c>
      <c r="E1109" t="s">
        <v>5364</v>
      </c>
      <c r="F1109">
        <v>4</v>
      </c>
    </row>
    <row r="1110" spans="2:6" x14ac:dyDescent="0.2">
      <c r="B1110" t="s">
        <v>5365</v>
      </c>
      <c r="C1110" t="s">
        <v>5366</v>
      </c>
      <c r="D1110">
        <v>7</v>
      </c>
      <c r="E1110" t="s">
        <v>5367</v>
      </c>
      <c r="F1110">
        <v>6</v>
      </c>
    </row>
    <row r="1111" spans="2:6" x14ac:dyDescent="0.2">
      <c r="B1111" t="s">
        <v>5368</v>
      </c>
      <c r="C1111" t="s">
        <v>5369</v>
      </c>
      <c r="D1111">
        <v>7</v>
      </c>
      <c r="E1111" t="s">
        <v>3172</v>
      </c>
      <c r="F1111">
        <v>6</v>
      </c>
    </row>
    <row r="1112" spans="2:6" x14ac:dyDescent="0.2">
      <c r="B1112" t="s">
        <v>5370</v>
      </c>
      <c r="C1112" t="s">
        <v>5371</v>
      </c>
      <c r="D1112">
        <v>7</v>
      </c>
      <c r="E1112" t="s">
        <v>2839</v>
      </c>
      <c r="F1112">
        <v>1</v>
      </c>
    </row>
    <row r="1113" spans="2:6" x14ac:dyDescent="0.2">
      <c r="B1113" t="s">
        <v>5372</v>
      </c>
      <c r="C1113" t="s">
        <v>5373</v>
      </c>
      <c r="D1113">
        <v>7</v>
      </c>
      <c r="E1113" t="s">
        <v>5374</v>
      </c>
      <c r="F1113">
        <v>1</v>
      </c>
    </row>
    <row r="1114" spans="2:6" x14ac:dyDescent="0.2">
      <c r="B1114" t="s">
        <v>5375</v>
      </c>
      <c r="C1114" t="s">
        <v>5376</v>
      </c>
      <c r="D1114">
        <v>7</v>
      </c>
      <c r="E1114" t="s">
        <v>5377</v>
      </c>
      <c r="F1114">
        <v>1</v>
      </c>
    </row>
    <row r="1115" spans="2:6" x14ac:dyDescent="0.2">
      <c r="B1115" t="s">
        <v>1117</v>
      </c>
      <c r="C1115" t="s">
        <v>5378</v>
      </c>
      <c r="D1115">
        <v>7</v>
      </c>
      <c r="E1115" t="s">
        <v>3036</v>
      </c>
      <c r="F1115">
        <v>2</v>
      </c>
    </row>
    <row r="1116" spans="2:6" x14ac:dyDescent="0.2">
      <c r="B1116" t="s">
        <v>5379</v>
      </c>
      <c r="C1116" t="s">
        <v>5380</v>
      </c>
      <c r="D1116">
        <v>7</v>
      </c>
      <c r="E1116" t="s">
        <v>4462</v>
      </c>
      <c r="F1116">
        <v>6</v>
      </c>
    </row>
    <row r="1117" spans="2:6" x14ac:dyDescent="0.2">
      <c r="B1117" t="s">
        <v>5381</v>
      </c>
      <c r="C1117" t="s">
        <v>5382</v>
      </c>
      <c r="D1117">
        <v>7</v>
      </c>
      <c r="E1117" t="s">
        <v>5383</v>
      </c>
      <c r="F1117">
        <v>2</v>
      </c>
    </row>
    <row r="1118" spans="2:6" x14ac:dyDescent="0.2">
      <c r="B1118" t="s">
        <v>5384</v>
      </c>
      <c r="C1118" t="s">
        <v>5385</v>
      </c>
      <c r="D1118">
        <v>7</v>
      </c>
      <c r="E1118" t="s">
        <v>5386</v>
      </c>
      <c r="F1118">
        <v>1</v>
      </c>
    </row>
    <row r="1119" spans="2:6" x14ac:dyDescent="0.2">
      <c r="B1119" t="s">
        <v>5387</v>
      </c>
      <c r="C1119" t="s">
        <v>5388</v>
      </c>
      <c r="D1119">
        <v>7</v>
      </c>
      <c r="E1119" t="s">
        <v>5389</v>
      </c>
      <c r="F1119">
        <v>3</v>
      </c>
    </row>
    <row r="1120" spans="2:6" x14ac:dyDescent="0.2">
      <c r="B1120" t="s">
        <v>1404</v>
      </c>
      <c r="C1120" t="s">
        <v>5390</v>
      </c>
      <c r="D1120">
        <v>7</v>
      </c>
      <c r="E1120" t="s">
        <v>3529</v>
      </c>
      <c r="F1120">
        <v>2</v>
      </c>
    </row>
    <row r="1121" spans="2:6" x14ac:dyDescent="0.2">
      <c r="B1121" t="s">
        <v>5391</v>
      </c>
      <c r="C1121" t="s">
        <v>5392</v>
      </c>
      <c r="D1121">
        <v>7</v>
      </c>
      <c r="E1121" t="s">
        <v>4068</v>
      </c>
      <c r="F1121">
        <v>4</v>
      </c>
    </row>
    <row r="1122" spans="2:6" x14ac:dyDescent="0.2">
      <c r="B1122" t="s">
        <v>5393</v>
      </c>
      <c r="C1122" t="s">
        <v>5394</v>
      </c>
      <c r="D1122">
        <v>7</v>
      </c>
      <c r="E1122" t="s">
        <v>3901</v>
      </c>
      <c r="F1122">
        <v>3</v>
      </c>
    </row>
    <row r="1123" spans="2:6" x14ac:dyDescent="0.2">
      <c r="B1123" t="s">
        <v>5395</v>
      </c>
      <c r="C1123" t="s">
        <v>5396</v>
      </c>
      <c r="D1123">
        <v>7</v>
      </c>
      <c r="E1123" t="s">
        <v>2857</v>
      </c>
      <c r="F1123">
        <v>7</v>
      </c>
    </row>
    <row r="1124" spans="2:6" x14ac:dyDescent="0.2">
      <c r="B1124" t="s">
        <v>5397</v>
      </c>
      <c r="C1124" t="s">
        <v>5398</v>
      </c>
      <c r="D1124">
        <v>7</v>
      </c>
      <c r="E1124" t="s">
        <v>5399</v>
      </c>
      <c r="F1124">
        <v>3</v>
      </c>
    </row>
    <row r="1125" spans="2:6" x14ac:dyDescent="0.2">
      <c r="B1125" t="s">
        <v>5400</v>
      </c>
      <c r="C1125" t="s">
        <v>5401</v>
      </c>
      <c r="D1125">
        <v>7</v>
      </c>
      <c r="E1125" t="s">
        <v>3933</v>
      </c>
      <c r="F1125">
        <v>3</v>
      </c>
    </row>
    <row r="1126" spans="2:6" x14ac:dyDescent="0.2">
      <c r="B1126" t="s">
        <v>5402</v>
      </c>
      <c r="C1126" t="s">
        <v>5403</v>
      </c>
      <c r="D1126">
        <v>7</v>
      </c>
      <c r="E1126" t="s">
        <v>5404</v>
      </c>
      <c r="F1126">
        <v>1</v>
      </c>
    </row>
    <row r="1127" spans="2:6" x14ac:dyDescent="0.2">
      <c r="B1127" t="s">
        <v>5405</v>
      </c>
      <c r="C1127" t="s">
        <v>5406</v>
      </c>
      <c r="D1127">
        <v>7</v>
      </c>
      <c r="E1127" t="s">
        <v>3235</v>
      </c>
      <c r="F1127">
        <v>2</v>
      </c>
    </row>
    <row r="1128" spans="2:6" x14ac:dyDescent="0.2">
      <c r="B1128" t="s">
        <v>1691</v>
      </c>
      <c r="C1128" t="s">
        <v>5407</v>
      </c>
      <c r="D1128">
        <v>7</v>
      </c>
      <c r="E1128" t="s">
        <v>3901</v>
      </c>
      <c r="F1128">
        <v>2</v>
      </c>
    </row>
    <row r="1129" spans="2:6" x14ac:dyDescent="0.2">
      <c r="B1129" t="s">
        <v>5408</v>
      </c>
      <c r="C1129" t="s">
        <v>5409</v>
      </c>
      <c r="D1129">
        <v>7</v>
      </c>
      <c r="E1129" t="s">
        <v>3084</v>
      </c>
      <c r="F1129">
        <v>2</v>
      </c>
    </row>
    <row r="1130" spans="2:6" x14ac:dyDescent="0.2">
      <c r="B1130" t="s">
        <v>5410</v>
      </c>
      <c r="C1130" t="s">
        <v>5411</v>
      </c>
      <c r="D1130">
        <v>7</v>
      </c>
      <c r="E1130" t="s">
        <v>5412</v>
      </c>
      <c r="F1130">
        <v>4</v>
      </c>
    </row>
    <row r="1131" spans="2:6" x14ac:dyDescent="0.2">
      <c r="B1131" t="s">
        <v>5413</v>
      </c>
      <c r="C1131" t="s">
        <v>5414</v>
      </c>
      <c r="D1131">
        <v>7</v>
      </c>
      <c r="E1131" t="s">
        <v>5415</v>
      </c>
      <c r="F1131">
        <v>13</v>
      </c>
    </row>
    <row r="1132" spans="2:6" x14ac:dyDescent="0.2">
      <c r="B1132" t="s">
        <v>5416</v>
      </c>
      <c r="C1132" t="s">
        <v>5417</v>
      </c>
      <c r="D1132">
        <v>7</v>
      </c>
      <c r="E1132" t="s">
        <v>5418</v>
      </c>
      <c r="F1132">
        <v>2</v>
      </c>
    </row>
    <row r="1133" spans="2:6" x14ac:dyDescent="0.2">
      <c r="B1133" t="s">
        <v>5419</v>
      </c>
      <c r="C1133" t="s">
        <v>3977</v>
      </c>
      <c r="D1133">
        <v>7</v>
      </c>
      <c r="E1133" t="s">
        <v>3933</v>
      </c>
      <c r="F1133">
        <v>1</v>
      </c>
    </row>
    <row r="1134" spans="2:6" x14ac:dyDescent="0.2">
      <c r="B1134" t="s">
        <v>5420</v>
      </c>
      <c r="C1134" t="s">
        <v>5421</v>
      </c>
      <c r="D1134">
        <v>7</v>
      </c>
      <c r="E1134" t="s">
        <v>3109</v>
      </c>
      <c r="F1134">
        <v>2</v>
      </c>
    </row>
    <row r="1135" spans="2:6" x14ac:dyDescent="0.2">
      <c r="B1135" t="s">
        <v>5422</v>
      </c>
      <c r="C1135" t="s">
        <v>5423</v>
      </c>
      <c r="D1135">
        <v>7</v>
      </c>
      <c r="E1135" t="s">
        <v>5424</v>
      </c>
      <c r="F1135">
        <v>2</v>
      </c>
    </row>
    <row r="1136" spans="2:6" x14ac:dyDescent="0.2">
      <c r="B1136" t="s">
        <v>5425</v>
      </c>
      <c r="C1136" t="s">
        <v>5426</v>
      </c>
      <c r="D1136">
        <v>7</v>
      </c>
      <c r="E1136" t="s">
        <v>3036</v>
      </c>
      <c r="F1136">
        <v>1</v>
      </c>
    </row>
    <row r="1137" spans="2:6" x14ac:dyDescent="0.2">
      <c r="B1137" t="s">
        <v>362</v>
      </c>
      <c r="C1137" t="s">
        <v>5427</v>
      </c>
      <c r="D1137">
        <v>7</v>
      </c>
      <c r="E1137" t="s">
        <v>3423</v>
      </c>
      <c r="F1137">
        <v>3</v>
      </c>
    </row>
    <row r="1138" spans="2:6" x14ac:dyDescent="0.2">
      <c r="B1138" t="s">
        <v>658</v>
      </c>
      <c r="C1138" t="s">
        <v>5428</v>
      </c>
      <c r="D1138">
        <v>7</v>
      </c>
      <c r="E1138" t="s">
        <v>4006</v>
      </c>
      <c r="F1138">
        <v>1</v>
      </c>
    </row>
    <row r="1139" spans="2:6" x14ac:dyDescent="0.2">
      <c r="B1139" t="s">
        <v>453</v>
      </c>
      <c r="C1139" t="s">
        <v>5429</v>
      </c>
      <c r="D1139">
        <v>7</v>
      </c>
      <c r="E1139" t="s">
        <v>5430</v>
      </c>
      <c r="F1139">
        <v>9</v>
      </c>
    </row>
    <row r="1140" spans="2:6" x14ac:dyDescent="0.2">
      <c r="B1140" t="s">
        <v>5431</v>
      </c>
      <c r="C1140" t="s">
        <v>5432</v>
      </c>
      <c r="D1140">
        <v>7</v>
      </c>
      <c r="E1140" t="s">
        <v>5433</v>
      </c>
      <c r="F1140">
        <v>7</v>
      </c>
    </row>
    <row r="1141" spans="2:6" x14ac:dyDescent="0.2">
      <c r="B1141" t="s">
        <v>5434</v>
      </c>
      <c r="C1141" t="s">
        <v>5435</v>
      </c>
      <c r="D1141">
        <v>7</v>
      </c>
      <c r="E1141" t="s">
        <v>3423</v>
      </c>
      <c r="F1141">
        <v>2</v>
      </c>
    </row>
    <row r="1142" spans="2:6" x14ac:dyDescent="0.2">
      <c r="B1142" t="s">
        <v>1038</v>
      </c>
      <c r="C1142" t="s">
        <v>5436</v>
      </c>
      <c r="D1142">
        <v>7</v>
      </c>
      <c r="E1142" t="s">
        <v>5364</v>
      </c>
      <c r="F1142">
        <v>9</v>
      </c>
    </row>
    <row r="1143" spans="2:6" x14ac:dyDescent="0.2">
      <c r="B1143" t="s">
        <v>5437</v>
      </c>
      <c r="C1143" t="s">
        <v>5438</v>
      </c>
      <c r="D1143">
        <v>7</v>
      </c>
      <c r="E1143" t="s">
        <v>4050</v>
      </c>
      <c r="F1143">
        <v>2</v>
      </c>
    </row>
    <row r="1144" spans="2:6" x14ac:dyDescent="0.2">
      <c r="B1144" t="s">
        <v>5439</v>
      </c>
      <c r="C1144" t="s">
        <v>5440</v>
      </c>
      <c r="D1144">
        <v>7</v>
      </c>
      <c r="E1144" t="s">
        <v>5441</v>
      </c>
      <c r="F1144">
        <v>6</v>
      </c>
    </row>
    <row r="1145" spans="2:6" x14ac:dyDescent="0.2">
      <c r="B1145" t="s">
        <v>1451</v>
      </c>
      <c r="C1145" t="s">
        <v>5442</v>
      </c>
      <c r="D1145">
        <v>7</v>
      </c>
      <c r="E1145" t="s">
        <v>5443</v>
      </c>
      <c r="F1145">
        <v>6</v>
      </c>
    </row>
    <row r="1146" spans="2:6" x14ac:dyDescent="0.2">
      <c r="B1146" t="s">
        <v>5444</v>
      </c>
      <c r="C1146" t="s">
        <v>5445</v>
      </c>
      <c r="D1146">
        <v>7</v>
      </c>
      <c r="E1146" t="s">
        <v>4823</v>
      </c>
      <c r="F1146">
        <v>3</v>
      </c>
    </row>
    <row r="1147" spans="2:6" x14ac:dyDescent="0.2">
      <c r="B1147" t="s">
        <v>5446</v>
      </c>
      <c r="C1147" t="s">
        <v>5447</v>
      </c>
      <c r="D1147">
        <v>7</v>
      </c>
      <c r="E1147" t="s">
        <v>5448</v>
      </c>
      <c r="F1147">
        <v>3</v>
      </c>
    </row>
    <row r="1148" spans="2:6" x14ac:dyDescent="0.2">
      <c r="B1148" t="s">
        <v>5449</v>
      </c>
      <c r="C1148" t="s">
        <v>5450</v>
      </c>
      <c r="D1148">
        <v>7</v>
      </c>
      <c r="E1148" t="s">
        <v>3839</v>
      </c>
      <c r="F1148">
        <v>1</v>
      </c>
    </row>
    <row r="1149" spans="2:6" x14ac:dyDescent="0.2">
      <c r="B1149" t="s">
        <v>5451</v>
      </c>
      <c r="C1149" t="s">
        <v>5452</v>
      </c>
      <c r="D1149">
        <v>7</v>
      </c>
      <c r="E1149" t="s">
        <v>3426</v>
      </c>
      <c r="F1149">
        <v>3</v>
      </c>
    </row>
    <row r="1150" spans="2:6" x14ac:dyDescent="0.2">
      <c r="B1150" t="s">
        <v>5453</v>
      </c>
      <c r="C1150" t="s">
        <v>5454</v>
      </c>
      <c r="D1150">
        <v>7</v>
      </c>
      <c r="E1150" t="s">
        <v>3067</v>
      </c>
      <c r="F1150">
        <v>1</v>
      </c>
    </row>
    <row r="1151" spans="2:6" x14ac:dyDescent="0.2">
      <c r="B1151" t="s">
        <v>5455</v>
      </c>
      <c r="C1151" t="s">
        <v>5456</v>
      </c>
      <c r="D1151">
        <v>7</v>
      </c>
      <c r="E1151" t="s">
        <v>3153</v>
      </c>
      <c r="F1151">
        <v>1</v>
      </c>
    </row>
    <row r="1152" spans="2:6" x14ac:dyDescent="0.2">
      <c r="B1152" t="s">
        <v>5457</v>
      </c>
      <c r="C1152" t="s">
        <v>5458</v>
      </c>
      <c r="D1152">
        <v>7</v>
      </c>
      <c r="E1152" t="s">
        <v>2839</v>
      </c>
      <c r="F1152">
        <v>1</v>
      </c>
    </row>
    <row r="1153" spans="2:6" x14ac:dyDescent="0.2">
      <c r="B1153" t="s">
        <v>5459</v>
      </c>
      <c r="C1153" t="s">
        <v>5460</v>
      </c>
      <c r="D1153">
        <v>7</v>
      </c>
      <c r="E1153" t="s">
        <v>2788</v>
      </c>
      <c r="F1153">
        <v>1</v>
      </c>
    </row>
    <row r="1154" spans="2:6" x14ac:dyDescent="0.2">
      <c r="B1154" t="s">
        <v>5461</v>
      </c>
      <c r="C1154" t="s">
        <v>5462</v>
      </c>
      <c r="D1154">
        <v>7</v>
      </c>
      <c r="E1154" t="s">
        <v>3109</v>
      </c>
      <c r="F1154">
        <v>1</v>
      </c>
    </row>
    <row r="1155" spans="2:6" x14ac:dyDescent="0.2">
      <c r="B1155" t="s">
        <v>5463</v>
      </c>
      <c r="C1155" t="s">
        <v>5464</v>
      </c>
      <c r="D1155">
        <v>7</v>
      </c>
      <c r="E1155" t="s">
        <v>2974</v>
      </c>
      <c r="F1155">
        <v>1</v>
      </c>
    </row>
    <row r="1156" spans="2:6" x14ac:dyDescent="0.2">
      <c r="B1156" t="s">
        <v>5465</v>
      </c>
      <c r="C1156" t="s">
        <v>5466</v>
      </c>
      <c r="D1156">
        <v>7</v>
      </c>
      <c r="E1156" t="s">
        <v>3690</v>
      </c>
      <c r="F1156">
        <v>12</v>
      </c>
    </row>
    <row r="1157" spans="2:6" x14ac:dyDescent="0.2">
      <c r="B1157" t="s">
        <v>1082</v>
      </c>
      <c r="C1157" t="s">
        <v>5467</v>
      </c>
      <c r="D1157">
        <v>7</v>
      </c>
      <c r="E1157" t="s">
        <v>3004</v>
      </c>
      <c r="F1157">
        <v>3</v>
      </c>
    </row>
    <row r="1158" spans="2:6" x14ac:dyDescent="0.2">
      <c r="B1158" t="s">
        <v>5468</v>
      </c>
      <c r="C1158" t="s">
        <v>5469</v>
      </c>
      <c r="D1158">
        <v>7</v>
      </c>
      <c r="E1158" t="s">
        <v>3004</v>
      </c>
      <c r="F1158">
        <v>3</v>
      </c>
    </row>
    <row r="1159" spans="2:6" x14ac:dyDescent="0.2">
      <c r="B1159" t="s">
        <v>5470</v>
      </c>
      <c r="C1159" t="s">
        <v>5471</v>
      </c>
      <c r="D1159">
        <v>7</v>
      </c>
      <c r="E1159" t="s">
        <v>2918</v>
      </c>
      <c r="F1159">
        <v>10</v>
      </c>
    </row>
    <row r="1160" spans="2:6" x14ac:dyDescent="0.2">
      <c r="B1160" t="s">
        <v>5472</v>
      </c>
      <c r="C1160" t="s">
        <v>5473</v>
      </c>
      <c r="D1160">
        <v>7</v>
      </c>
      <c r="E1160" t="s">
        <v>5474</v>
      </c>
      <c r="F1160">
        <v>4</v>
      </c>
    </row>
    <row r="1161" spans="2:6" x14ac:dyDescent="0.2">
      <c r="B1161" t="s">
        <v>5475</v>
      </c>
      <c r="C1161" t="s">
        <v>5476</v>
      </c>
      <c r="D1161">
        <v>7</v>
      </c>
      <c r="E1161" t="s">
        <v>2974</v>
      </c>
      <c r="F1161">
        <v>3</v>
      </c>
    </row>
    <row r="1162" spans="2:6" x14ac:dyDescent="0.2">
      <c r="B1162" t="s">
        <v>5477</v>
      </c>
      <c r="C1162" t="s">
        <v>5478</v>
      </c>
      <c r="D1162">
        <v>7</v>
      </c>
      <c r="E1162" t="s">
        <v>2921</v>
      </c>
      <c r="F1162">
        <v>8</v>
      </c>
    </row>
    <row r="1163" spans="2:6" x14ac:dyDescent="0.2">
      <c r="B1163" t="s">
        <v>164</v>
      </c>
      <c r="C1163" t="s">
        <v>5479</v>
      </c>
      <c r="D1163">
        <v>7</v>
      </c>
      <c r="E1163" t="s">
        <v>5480</v>
      </c>
      <c r="F1163">
        <v>2</v>
      </c>
    </row>
    <row r="1164" spans="2:6" x14ac:dyDescent="0.2">
      <c r="B1164" t="s">
        <v>5481</v>
      </c>
      <c r="C1164" t="s">
        <v>5482</v>
      </c>
      <c r="D1164">
        <v>7</v>
      </c>
      <c r="E1164" t="s">
        <v>5483</v>
      </c>
      <c r="F1164">
        <v>5</v>
      </c>
    </row>
    <row r="1165" spans="2:6" x14ac:dyDescent="0.2">
      <c r="B1165" t="s">
        <v>5484</v>
      </c>
      <c r="C1165" t="s">
        <v>5485</v>
      </c>
      <c r="D1165">
        <v>7</v>
      </c>
      <c r="E1165" t="s">
        <v>5486</v>
      </c>
      <c r="F1165">
        <v>2</v>
      </c>
    </row>
    <row r="1166" spans="2:6" x14ac:dyDescent="0.2">
      <c r="B1166" t="s">
        <v>5487</v>
      </c>
      <c r="C1166" t="s">
        <v>5488</v>
      </c>
      <c r="D1166">
        <v>7</v>
      </c>
      <c r="E1166" t="s">
        <v>4403</v>
      </c>
      <c r="F1166">
        <v>1</v>
      </c>
    </row>
    <row r="1167" spans="2:6" x14ac:dyDescent="0.2">
      <c r="B1167" t="s">
        <v>5489</v>
      </c>
      <c r="C1167" t="s">
        <v>5490</v>
      </c>
      <c r="D1167">
        <v>7</v>
      </c>
      <c r="E1167" t="s">
        <v>4358</v>
      </c>
      <c r="F1167">
        <v>4</v>
      </c>
    </row>
    <row r="1168" spans="2:6" x14ac:dyDescent="0.2">
      <c r="B1168" t="s">
        <v>5491</v>
      </c>
      <c r="C1168" t="s">
        <v>5082</v>
      </c>
      <c r="D1168">
        <v>7</v>
      </c>
      <c r="E1168" t="s">
        <v>2830</v>
      </c>
      <c r="F1168">
        <v>2</v>
      </c>
    </row>
    <row r="1169" spans="2:6" x14ac:dyDescent="0.2">
      <c r="B1169" t="s">
        <v>5492</v>
      </c>
      <c r="C1169" t="s">
        <v>5493</v>
      </c>
      <c r="D1169">
        <v>7</v>
      </c>
      <c r="E1169" t="s">
        <v>5494</v>
      </c>
      <c r="F1169">
        <v>5</v>
      </c>
    </row>
    <row r="1170" spans="2:6" x14ac:dyDescent="0.2">
      <c r="B1170" t="s">
        <v>1012</v>
      </c>
      <c r="C1170" t="s">
        <v>5495</v>
      </c>
      <c r="D1170">
        <v>7</v>
      </c>
      <c r="E1170" t="s">
        <v>5496</v>
      </c>
      <c r="F1170">
        <v>23</v>
      </c>
    </row>
    <row r="1171" spans="2:6" x14ac:dyDescent="0.2">
      <c r="B1171" t="s">
        <v>712</v>
      </c>
      <c r="C1171" t="s">
        <v>5497</v>
      </c>
      <c r="D1171">
        <v>7</v>
      </c>
      <c r="E1171" t="s">
        <v>2954</v>
      </c>
      <c r="F1171">
        <v>12</v>
      </c>
    </row>
    <row r="1172" spans="2:6" x14ac:dyDescent="0.2">
      <c r="B1172" t="s">
        <v>5498</v>
      </c>
      <c r="C1172" t="s">
        <v>5499</v>
      </c>
      <c r="D1172">
        <v>7</v>
      </c>
      <c r="E1172" t="s">
        <v>2819</v>
      </c>
      <c r="F1172">
        <v>1</v>
      </c>
    </row>
    <row r="1173" spans="2:6" x14ac:dyDescent="0.2">
      <c r="B1173" t="s">
        <v>5500</v>
      </c>
      <c r="C1173" t="s">
        <v>5501</v>
      </c>
      <c r="D1173">
        <v>7</v>
      </c>
      <c r="E1173" t="s">
        <v>5502</v>
      </c>
      <c r="F1173">
        <v>1</v>
      </c>
    </row>
    <row r="1174" spans="2:6" x14ac:dyDescent="0.2">
      <c r="B1174" t="s">
        <v>5503</v>
      </c>
      <c r="C1174" t="s">
        <v>5504</v>
      </c>
      <c r="D1174">
        <v>7</v>
      </c>
      <c r="E1174" t="s">
        <v>5505</v>
      </c>
      <c r="F1174">
        <v>5</v>
      </c>
    </row>
    <row r="1175" spans="2:6" x14ac:dyDescent="0.2">
      <c r="B1175" t="s">
        <v>5506</v>
      </c>
      <c r="C1175" t="s">
        <v>5507</v>
      </c>
      <c r="D1175">
        <v>7</v>
      </c>
      <c r="E1175" t="s">
        <v>3075</v>
      </c>
      <c r="F1175">
        <v>2</v>
      </c>
    </row>
    <row r="1176" spans="2:6" x14ac:dyDescent="0.2">
      <c r="B1176" t="s">
        <v>5508</v>
      </c>
      <c r="C1176" t="s">
        <v>5509</v>
      </c>
      <c r="D1176">
        <v>7</v>
      </c>
      <c r="E1176" t="s">
        <v>5510</v>
      </c>
      <c r="F1176">
        <v>8</v>
      </c>
    </row>
    <row r="1177" spans="2:6" x14ac:dyDescent="0.2">
      <c r="B1177" t="s">
        <v>5511</v>
      </c>
      <c r="C1177" t="s">
        <v>5512</v>
      </c>
      <c r="D1177">
        <v>7</v>
      </c>
      <c r="E1177" t="s">
        <v>5513</v>
      </c>
      <c r="F1177">
        <v>2</v>
      </c>
    </row>
    <row r="1178" spans="2:6" x14ac:dyDescent="0.2">
      <c r="B1178" t="s">
        <v>5514</v>
      </c>
      <c r="C1178" t="s">
        <v>5515</v>
      </c>
      <c r="D1178">
        <v>7</v>
      </c>
      <c r="E1178" t="s">
        <v>4358</v>
      </c>
      <c r="F1178">
        <v>8</v>
      </c>
    </row>
    <row r="1179" spans="2:6" x14ac:dyDescent="0.2">
      <c r="B1179" t="s">
        <v>5516</v>
      </c>
      <c r="C1179" t="s">
        <v>5517</v>
      </c>
      <c r="D1179">
        <v>7</v>
      </c>
      <c r="E1179" t="s">
        <v>5518</v>
      </c>
      <c r="F1179">
        <v>3</v>
      </c>
    </row>
    <row r="1180" spans="2:6" x14ac:dyDescent="0.2">
      <c r="B1180" t="s">
        <v>2065</v>
      </c>
      <c r="C1180" t="s">
        <v>5519</v>
      </c>
      <c r="D1180">
        <v>7</v>
      </c>
      <c r="E1180" t="s">
        <v>2863</v>
      </c>
      <c r="F1180">
        <v>6</v>
      </c>
    </row>
    <row r="1181" spans="2:6" x14ac:dyDescent="0.2">
      <c r="B1181" t="s">
        <v>5520</v>
      </c>
      <c r="C1181" t="s">
        <v>5521</v>
      </c>
      <c r="D1181">
        <v>7</v>
      </c>
      <c r="E1181" t="s">
        <v>5522</v>
      </c>
      <c r="F1181">
        <v>7</v>
      </c>
    </row>
    <row r="1182" spans="2:6" x14ac:dyDescent="0.2">
      <c r="B1182" t="s">
        <v>5523</v>
      </c>
      <c r="C1182" t="s">
        <v>5524</v>
      </c>
      <c r="D1182">
        <v>7</v>
      </c>
      <c r="E1182" t="s">
        <v>5525</v>
      </c>
      <c r="F1182">
        <v>3</v>
      </c>
    </row>
    <row r="1183" spans="2:6" x14ac:dyDescent="0.2">
      <c r="B1183" t="s">
        <v>5526</v>
      </c>
      <c r="C1183" t="s">
        <v>5527</v>
      </c>
      <c r="D1183">
        <v>7</v>
      </c>
      <c r="E1183" t="s">
        <v>3307</v>
      </c>
      <c r="F1183">
        <v>1</v>
      </c>
    </row>
    <row r="1184" spans="2:6" x14ac:dyDescent="0.2">
      <c r="B1184" t="s">
        <v>5528</v>
      </c>
      <c r="C1184" t="s">
        <v>5529</v>
      </c>
      <c r="D1184">
        <v>7</v>
      </c>
      <c r="E1184" t="s">
        <v>5530</v>
      </c>
      <c r="F1184">
        <v>1</v>
      </c>
    </row>
    <row r="1185" spans="2:6" x14ac:dyDescent="0.2">
      <c r="B1185" t="s">
        <v>5531</v>
      </c>
      <c r="C1185" t="s">
        <v>5532</v>
      </c>
      <c r="D1185">
        <v>7</v>
      </c>
      <c r="E1185" t="s">
        <v>4778</v>
      </c>
      <c r="F1185">
        <v>2</v>
      </c>
    </row>
    <row r="1186" spans="2:6" x14ac:dyDescent="0.2">
      <c r="B1186" t="s">
        <v>5533</v>
      </c>
      <c r="C1186" t="s">
        <v>5534</v>
      </c>
      <c r="D1186">
        <v>7</v>
      </c>
      <c r="E1186" t="s">
        <v>5358</v>
      </c>
      <c r="F1186">
        <v>6</v>
      </c>
    </row>
    <row r="1187" spans="2:6" x14ac:dyDescent="0.2">
      <c r="B1187" t="s">
        <v>5535</v>
      </c>
      <c r="C1187" t="s">
        <v>5536</v>
      </c>
      <c r="D1187">
        <v>7</v>
      </c>
      <c r="E1187" t="s">
        <v>2915</v>
      </c>
      <c r="F1187">
        <v>4</v>
      </c>
    </row>
    <row r="1188" spans="2:6" x14ac:dyDescent="0.2">
      <c r="B1188" t="s">
        <v>5537</v>
      </c>
      <c r="C1188" t="s">
        <v>5538</v>
      </c>
      <c r="D1188">
        <v>7</v>
      </c>
      <c r="E1188" t="s">
        <v>5539</v>
      </c>
      <c r="F1188">
        <v>3</v>
      </c>
    </row>
    <row r="1189" spans="2:6" x14ac:dyDescent="0.2">
      <c r="B1189" t="s">
        <v>5540</v>
      </c>
      <c r="C1189" t="s">
        <v>5541</v>
      </c>
      <c r="D1189">
        <v>7</v>
      </c>
      <c r="E1189" t="s">
        <v>3839</v>
      </c>
      <c r="F1189">
        <v>2</v>
      </c>
    </row>
    <row r="1190" spans="2:6" x14ac:dyDescent="0.2">
      <c r="B1190" t="s">
        <v>5542</v>
      </c>
      <c r="C1190" t="s">
        <v>5543</v>
      </c>
      <c r="D1190">
        <v>7</v>
      </c>
      <c r="E1190" t="s">
        <v>3078</v>
      </c>
      <c r="F1190">
        <v>2</v>
      </c>
    </row>
    <row r="1191" spans="2:6" x14ac:dyDescent="0.2">
      <c r="B1191" t="s">
        <v>5544</v>
      </c>
      <c r="C1191" t="s">
        <v>5545</v>
      </c>
      <c r="D1191">
        <v>7</v>
      </c>
      <c r="E1191" t="s">
        <v>5546</v>
      </c>
      <c r="F1191">
        <v>2</v>
      </c>
    </row>
    <row r="1192" spans="2:6" x14ac:dyDescent="0.2">
      <c r="B1192" t="s">
        <v>5547</v>
      </c>
      <c r="C1192" t="s">
        <v>5548</v>
      </c>
      <c r="D1192">
        <v>7</v>
      </c>
      <c r="E1192" t="s">
        <v>4788</v>
      </c>
      <c r="F1192">
        <v>4</v>
      </c>
    </row>
    <row r="1193" spans="2:6" x14ac:dyDescent="0.2">
      <c r="B1193" t="s">
        <v>5549</v>
      </c>
      <c r="C1193" t="s">
        <v>5550</v>
      </c>
      <c r="D1193">
        <v>7</v>
      </c>
      <c r="E1193" t="s">
        <v>5551</v>
      </c>
      <c r="F1193">
        <v>3</v>
      </c>
    </row>
    <row r="1194" spans="2:6" x14ac:dyDescent="0.2">
      <c r="B1194" t="s">
        <v>5552</v>
      </c>
      <c r="C1194" t="s">
        <v>5553</v>
      </c>
      <c r="D1194">
        <v>7</v>
      </c>
      <c r="E1194" t="s">
        <v>4531</v>
      </c>
      <c r="F1194">
        <v>3</v>
      </c>
    </row>
    <row r="1195" spans="2:6" x14ac:dyDescent="0.2">
      <c r="B1195" t="s">
        <v>5554</v>
      </c>
      <c r="C1195" t="s">
        <v>5555</v>
      </c>
      <c r="D1195">
        <v>7</v>
      </c>
      <c r="E1195" t="s">
        <v>5556</v>
      </c>
      <c r="F1195">
        <v>10</v>
      </c>
    </row>
    <row r="1196" spans="2:6" x14ac:dyDescent="0.2">
      <c r="B1196" t="s">
        <v>5557</v>
      </c>
      <c r="C1196" t="s">
        <v>5558</v>
      </c>
      <c r="D1196">
        <v>7</v>
      </c>
      <c r="E1196" t="s">
        <v>3095</v>
      </c>
      <c r="F1196">
        <v>1</v>
      </c>
    </row>
    <row r="1197" spans="2:6" x14ac:dyDescent="0.2">
      <c r="B1197" t="s">
        <v>5559</v>
      </c>
      <c r="C1197" t="s">
        <v>5560</v>
      </c>
      <c r="D1197">
        <v>7</v>
      </c>
      <c r="E1197" t="s">
        <v>3375</v>
      </c>
      <c r="F1197">
        <v>22</v>
      </c>
    </row>
    <row r="1198" spans="2:6" x14ac:dyDescent="0.2">
      <c r="B1198" t="s">
        <v>5561</v>
      </c>
      <c r="C1198" t="s">
        <v>5562</v>
      </c>
      <c r="D1198">
        <v>7</v>
      </c>
      <c r="E1198" t="s">
        <v>3529</v>
      </c>
      <c r="F1198">
        <v>2</v>
      </c>
    </row>
    <row r="1199" spans="2:6" x14ac:dyDescent="0.2">
      <c r="B1199" t="s">
        <v>5563</v>
      </c>
      <c r="C1199" t="s">
        <v>5564</v>
      </c>
      <c r="D1199">
        <v>7</v>
      </c>
      <c r="E1199" t="s">
        <v>5565</v>
      </c>
      <c r="F1199">
        <v>1</v>
      </c>
    </row>
    <row r="1200" spans="2:6" x14ac:dyDescent="0.2">
      <c r="B1200" t="s">
        <v>5566</v>
      </c>
      <c r="C1200" t="s">
        <v>5567</v>
      </c>
      <c r="D1200">
        <v>7</v>
      </c>
      <c r="E1200" t="s">
        <v>3133</v>
      </c>
      <c r="F1200">
        <v>1</v>
      </c>
    </row>
    <row r="1201" spans="2:6" x14ac:dyDescent="0.2">
      <c r="B1201" t="s">
        <v>5568</v>
      </c>
      <c r="C1201" t="s">
        <v>5569</v>
      </c>
      <c r="D1201">
        <v>7</v>
      </c>
      <c r="E1201" t="s">
        <v>5570</v>
      </c>
      <c r="F1201">
        <v>3</v>
      </c>
    </row>
    <row r="1202" spans="2:6" x14ac:dyDescent="0.2">
      <c r="B1202" t="s">
        <v>296</v>
      </c>
      <c r="C1202" t="s">
        <v>5571</v>
      </c>
      <c r="D1202">
        <v>7</v>
      </c>
      <c r="E1202" t="s">
        <v>5572</v>
      </c>
      <c r="F1202">
        <v>5</v>
      </c>
    </row>
    <row r="1203" spans="2:6" x14ac:dyDescent="0.2">
      <c r="B1203" t="s">
        <v>5573</v>
      </c>
      <c r="C1203" t="s">
        <v>5574</v>
      </c>
      <c r="D1203">
        <v>7</v>
      </c>
      <c r="E1203" t="s">
        <v>3688</v>
      </c>
      <c r="F1203">
        <v>2</v>
      </c>
    </row>
    <row r="1204" spans="2:6" x14ac:dyDescent="0.2">
      <c r="B1204" t="s">
        <v>5575</v>
      </c>
      <c r="C1204" t="s">
        <v>5576</v>
      </c>
      <c r="D1204">
        <v>7</v>
      </c>
      <c r="E1204" t="s">
        <v>4879</v>
      </c>
      <c r="F1204">
        <v>2</v>
      </c>
    </row>
    <row r="1205" spans="2:6" x14ac:dyDescent="0.2">
      <c r="B1205" t="s">
        <v>5577</v>
      </c>
      <c r="C1205" t="s">
        <v>5578</v>
      </c>
      <c r="D1205">
        <v>7</v>
      </c>
      <c r="E1205" t="s">
        <v>3594</v>
      </c>
      <c r="F1205">
        <v>6</v>
      </c>
    </row>
    <row r="1206" spans="2:6" x14ac:dyDescent="0.2">
      <c r="B1206" t="s">
        <v>5579</v>
      </c>
      <c r="C1206" t="s">
        <v>5580</v>
      </c>
      <c r="D1206">
        <v>7</v>
      </c>
      <c r="E1206" t="s">
        <v>5581</v>
      </c>
      <c r="F1206">
        <v>2</v>
      </c>
    </row>
    <row r="1207" spans="2:6" x14ac:dyDescent="0.2">
      <c r="B1207" t="s">
        <v>5582</v>
      </c>
      <c r="C1207" t="s">
        <v>5583</v>
      </c>
      <c r="D1207">
        <v>7</v>
      </c>
      <c r="E1207" t="s">
        <v>4104</v>
      </c>
      <c r="F1207">
        <v>2</v>
      </c>
    </row>
    <row r="1208" spans="2:6" x14ac:dyDescent="0.2">
      <c r="B1208" t="s">
        <v>5584</v>
      </c>
      <c r="C1208" t="s">
        <v>4179</v>
      </c>
      <c r="D1208">
        <v>7</v>
      </c>
      <c r="E1208" t="s">
        <v>5585</v>
      </c>
      <c r="F1208">
        <v>2</v>
      </c>
    </row>
    <row r="1209" spans="2:6" x14ac:dyDescent="0.2">
      <c r="B1209" t="s">
        <v>1561</v>
      </c>
      <c r="C1209" t="s">
        <v>5586</v>
      </c>
      <c r="D1209">
        <v>7</v>
      </c>
      <c r="E1209" t="s">
        <v>3960</v>
      </c>
      <c r="F1209">
        <v>2</v>
      </c>
    </row>
    <row r="1210" spans="2:6" x14ac:dyDescent="0.2">
      <c r="B1210" t="s">
        <v>5587</v>
      </c>
      <c r="C1210" t="s">
        <v>5588</v>
      </c>
      <c r="D1210">
        <v>7</v>
      </c>
      <c r="E1210" t="s">
        <v>3109</v>
      </c>
      <c r="F1210">
        <v>1</v>
      </c>
    </row>
    <row r="1211" spans="2:6" x14ac:dyDescent="0.2">
      <c r="B1211" t="s">
        <v>5589</v>
      </c>
      <c r="C1211" t="s">
        <v>5590</v>
      </c>
      <c r="D1211">
        <v>7</v>
      </c>
      <c r="E1211" t="s">
        <v>2964</v>
      </c>
      <c r="F1211">
        <v>1</v>
      </c>
    </row>
    <row r="1212" spans="2:6" x14ac:dyDescent="0.2">
      <c r="B1212" t="s">
        <v>5591</v>
      </c>
      <c r="C1212" t="s">
        <v>5592</v>
      </c>
      <c r="D1212">
        <v>7</v>
      </c>
      <c r="E1212" t="s">
        <v>4050</v>
      </c>
      <c r="F1212">
        <v>1</v>
      </c>
    </row>
    <row r="1213" spans="2:6" x14ac:dyDescent="0.2">
      <c r="B1213" t="s">
        <v>5593</v>
      </c>
      <c r="C1213" t="s">
        <v>5594</v>
      </c>
      <c r="D1213">
        <v>7</v>
      </c>
      <c r="E1213" t="s">
        <v>3071</v>
      </c>
      <c r="F1213">
        <v>6</v>
      </c>
    </row>
    <row r="1214" spans="2:6" x14ac:dyDescent="0.2">
      <c r="B1214" t="s">
        <v>5595</v>
      </c>
      <c r="C1214" t="s">
        <v>5596</v>
      </c>
      <c r="D1214">
        <v>7</v>
      </c>
      <c r="E1214" t="s">
        <v>3338</v>
      </c>
      <c r="F1214">
        <v>3</v>
      </c>
    </row>
    <row r="1215" spans="2:6" x14ac:dyDescent="0.2">
      <c r="B1215" t="s">
        <v>5597</v>
      </c>
      <c r="C1215" t="s">
        <v>5598</v>
      </c>
      <c r="D1215">
        <v>7</v>
      </c>
      <c r="E1215" t="s">
        <v>2788</v>
      </c>
      <c r="F1215">
        <v>2</v>
      </c>
    </row>
    <row r="1216" spans="2:6" x14ac:dyDescent="0.2">
      <c r="B1216" t="s">
        <v>5599</v>
      </c>
      <c r="C1216" t="s">
        <v>5600</v>
      </c>
      <c r="D1216">
        <v>7</v>
      </c>
      <c r="E1216" t="s">
        <v>3106</v>
      </c>
      <c r="F1216">
        <v>1</v>
      </c>
    </row>
    <row r="1217" spans="2:6" x14ac:dyDescent="0.2">
      <c r="B1217" t="s">
        <v>5601</v>
      </c>
      <c r="C1217" t="s">
        <v>5602</v>
      </c>
      <c r="D1217">
        <v>7</v>
      </c>
      <c r="E1217" t="s">
        <v>5603</v>
      </c>
      <c r="F1217">
        <v>3</v>
      </c>
    </row>
    <row r="1218" spans="2:6" x14ac:dyDescent="0.2">
      <c r="B1218" t="s">
        <v>752</v>
      </c>
      <c r="C1218" t="s">
        <v>5604</v>
      </c>
      <c r="D1218">
        <v>7</v>
      </c>
      <c r="E1218" t="s">
        <v>5605</v>
      </c>
      <c r="F1218">
        <v>3</v>
      </c>
    </row>
    <row r="1219" spans="2:6" x14ac:dyDescent="0.2">
      <c r="B1219" t="s">
        <v>5606</v>
      </c>
      <c r="C1219" t="s">
        <v>5607</v>
      </c>
      <c r="D1219">
        <v>7</v>
      </c>
      <c r="E1219" t="s">
        <v>5608</v>
      </c>
      <c r="F1219">
        <v>1</v>
      </c>
    </row>
    <row r="1220" spans="2:6" x14ac:dyDescent="0.2">
      <c r="B1220" t="s">
        <v>5609</v>
      </c>
      <c r="C1220" t="s">
        <v>2990</v>
      </c>
      <c r="D1220">
        <v>7</v>
      </c>
      <c r="E1220" t="s">
        <v>5610</v>
      </c>
      <c r="F1220">
        <v>9</v>
      </c>
    </row>
    <row r="1221" spans="2:6" x14ac:dyDescent="0.2">
      <c r="B1221" t="s">
        <v>5611</v>
      </c>
      <c r="C1221" t="s">
        <v>5612</v>
      </c>
      <c r="D1221">
        <v>7</v>
      </c>
      <c r="E1221" t="s">
        <v>5613</v>
      </c>
      <c r="F1221">
        <v>6</v>
      </c>
    </row>
    <row r="1222" spans="2:6" x14ac:dyDescent="0.2">
      <c r="B1222" t="s">
        <v>5614</v>
      </c>
      <c r="C1222" t="s">
        <v>5615</v>
      </c>
      <c r="D1222">
        <v>7</v>
      </c>
      <c r="E1222" t="s">
        <v>3643</v>
      </c>
      <c r="F1222">
        <v>2</v>
      </c>
    </row>
    <row r="1223" spans="2:6" x14ac:dyDescent="0.2">
      <c r="B1223" t="s">
        <v>5616</v>
      </c>
      <c r="C1223" t="s">
        <v>5617</v>
      </c>
      <c r="D1223">
        <v>7</v>
      </c>
      <c r="E1223" t="s">
        <v>5618</v>
      </c>
      <c r="F1223">
        <v>1</v>
      </c>
    </row>
    <row r="1224" spans="2:6" x14ac:dyDescent="0.2">
      <c r="B1224" t="s">
        <v>5619</v>
      </c>
      <c r="C1224" t="s">
        <v>5620</v>
      </c>
      <c r="D1224">
        <v>7</v>
      </c>
      <c r="E1224" t="s">
        <v>5621</v>
      </c>
      <c r="F1224">
        <v>10</v>
      </c>
    </row>
    <row r="1225" spans="2:6" x14ac:dyDescent="0.2">
      <c r="B1225" t="s">
        <v>5622</v>
      </c>
      <c r="C1225" t="s">
        <v>5623</v>
      </c>
      <c r="D1225">
        <v>7</v>
      </c>
      <c r="E1225" t="s">
        <v>3122</v>
      </c>
      <c r="F1225">
        <v>10</v>
      </c>
    </row>
    <row r="1226" spans="2:6" x14ac:dyDescent="0.2">
      <c r="B1226" t="s">
        <v>5624</v>
      </c>
      <c r="C1226" t="s">
        <v>5625</v>
      </c>
      <c r="D1226">
        <v>7</v>
      </c>
      <c r="E1226" t="s">
        <v>3702</v>
      </c>
      <c r="F1226">
        <v>2</v>
      </c>
    </row>
    <row r="1227" spans="2:6" x14ac:dyDescent="0.2">
      <c r="B1227" t="s">
        <v>5626</v>
      </c>
      <c r="C1227" t="s">
        <v>5627</v>
      </c>
      <c r="D1227">
        <v>7</v>
      </c>
      <c r="E1227" t="s">
        <v>5628</v>
      </c>
      <c r="F1227">
        <v>1</v>
      </c>
    </row>
    <row r="1228" spans="2:6" x14ac:dyDescent="0.2">
      <c r="B1228" t="s">
        <v>5629</v>
      </c>
      <c r="C1228" t="s">
        <v>5630</v>
      </c>
      <c r="D1228">
        <v>7</v>
      </c>
      <c r="E1228" t="s">
        <v>5631</v>
      </c>
      <c r="F1228">
        <v>1</v>
      </c>
    </row>
    <row r="1229" spans="2:6" x14ac:dyDescent="0.2">
      <c r="B1229" t="s">
        <v>250</v>
      </c>
      <c r="C1229" t="s">
        <v>5632</v>
      </c>
      <c r="D1229">
        <v>7</v>
      </c>
      <c r="E1229" t="s">
        <v>4273</v>
      </c>
      <c r="F1229">
        <v>1</v>
      </c>
    </row>
    <row r="1230" spans="2:6" x14ac:dyDescent="0.2">
      <c r="B1230" t="s">
        <v>5633</v>
      </c>
      <c r="C1230" t="s">
        <v>5634</v>
      </c>
      <c r="D1230">
        <v>7</v>
      </c>
      <c r="E1230" t="s">
        <v>5635</v>
      </c>
      <c r="F1230">
        <v>1</v>
      </c>
    </row>
    <row r="1231" spans="2:6" x14ac:dyDescent="0.2">
      <c r="B1231" t="s">
        <v>5636</v>
      </c>
      <c r="C1231" t="s">
        <v>5637</v>
      </c>
      <c r="D1231">
        <v>7</v>
      </c>
      <c r="E1231" t="s">
        <v>5638</v>
      </c>
      <c r="F1231">
        <v>2</v>
      </c>
    </row>
    <row r="1232" spans="2:6" x14ac:dyDescent="0.2">
      <c r="B1232" t="s">
        <v>5639</v>
      </c>
      <c r="C1232" t="s">
        <v>5640</v>
      </c>
      <c r="D1232">
        <v>7</v>
      </c>
      <c r="E1232" t="s">
        <v>5641</v>
      </c>
      <c r="F1232">
        <v>4</v>
      </c>
    </row>
    <row r="1233" spans="2:6" x14ac:dyDescent="0.2">
      <c r="B1233" t="s">
        <v>5642</v>
      </c>
      <c r="C1233" t="s">
        <v>5643</v>
      </c>
      <c r="D1233">
        <v>7</v>
      </c>
      <c r="E1233" t="s">
        <v>5644</v>
      </c>
      <c r="F1233">
        <v>3</v>
      </c>
    </row>
    <row r="1234" spans="2:6" x14ac:dyDescent="0.2">
      <c r="B1234" t="s">
        <v>5645</v>
      </c>
      <c r="C1234" t="s">
        <v>5646</v>
      </c>
      <c r="D1234">
        <v>7</v>
      </c>
      <c r="E1234" t="s">
        <v>5647</v>
      </c>
      <c r="F1234">
        <v>2</v>
      </c>
    </row>
    <row r="1235" spans="2:6" x14ac:dyDescent="0.2">
      <c r="B1235" t="s">
        <v>5648</v>
      </c>
      <c r="C1235" t="s">
        <v>5649</v>
      </c>
      <c r="D1235">
        <v>7</v>
      </c>
      <c r="E1235" t="s">
        <v>2952</v>
      </c>
      <c r="F1235">
        <v>1</v>
      </c>
    </row>
    <row r="1236" spans="2:6" x14ac:dyDescent="0.2">
      <c r="B1236" t="s">
        <v>5650</v>
      </c>
      <c r="C1236" t="s">
        <v>5651</v>
      </c>
      <c r="D1236">
        <v>7</v>
      </c>
      <c r="E1236" t="s">
        <v>5652</v>
      </c>
      <c r="F1236">
        <v>10</v>
      </c>
    </row>
    <row r="1237" spans="2:6" x14ac:dyDescent="0.2">
      <c r="B1237" t="s">
        <v>5653</v>
      </c>
      <c r="C1237" t="s">
        <v>5654</v>
      </c>
      <c r="D1237">
        <v>7</v>
      </c>
      <c r="E1237" t="s">
        <v>4260</v>
      </c>
      <c r="F1237">
        <v>1</v>
      </c>
    </row>
    <row r="1238" spans="2:6" x14ac:dyDescent="0.2">
      <c r="B1238" t="s">
        <v>5655</v>
      </c>
      <c r="C1238" t="s">
        <v>5656</v>
      </c>
      <c r="D1238">
        <v>7</v>
      </c>
      <c r="E1238" t="s">
        <v>4299</v>
      </c>
      <c r="F1238">
        <v>7</v>
      </c>
    </row>
    <row r="1239" spans="2:6" x14ac:dyDescent="0.2">
      <c r="B1239" t="s">
        <v>5657</v>
      </c>
      <c r="C1239" t="s">
        <v>5658</v>
      </c>
      <c r="D1239">
        <v>7</v>
      </c>
      <c r="E1239" t="s">
        <v>2906</v>
      </c>
      <c r="F1239">
        <v>3</v>
      </c>
    </row>
    <row r="1240" spans="2:6" x14ac:dyDescent="0.2">
      <c r="B1240" t="s">
        <v>5659</v>
      </c>
      <c r="C1240" t="s">
        <v>5660</v>
      </c>
      <c r="D1240">
        <v>7</v>
      </c>
      <c r="E1240" t="s">
        <v>5661</v>
      </c>
      <c r="F1240">
        <v>1</v>
      </c>
    </row>
    <row r="1241" spans="2:6" x14ac:dyDescent="0.2">
      <c r="B1241" t="s">
        <v>5662</v>
      </c>
      <c r="C1241" t="s">
        <v>5663</v>
      </c>
      <c r="D1241">
        <v>7</v>
      </c>
      <c r="E1241" t="s">
        <v>5664</v>
      </c>
      <c r="F1241">
        <v>1</v>
      </c>
    </row>
    <row r="1242" spans="2:6" x14ac:dyDescent="0.2">
      <c r="B1242" t="s">
        <v>5665</v>
      </c>
      <c r="C1242" t="s">
        <v>5666</v>
      </c>
      <c r="D1242">
        <v>7</v>
      </c>
      <c r="E1242" t="s">
        <v>5667</v>
      </c>
      <c r="F1242">
        <v>5</v>
      </c>
    </row>
    <row r="1243" spans="2:6" x14ac:dyDescent="0.2">
      <c r="B1243" t="s">
        <v>5668</v>
      </c>
      <c r="C1243" t="s">
        <v>5669</v>
      </c>
      <c r="D1243">
        <v>7</v>
      </c>
      <c r="E1243" t="s">
        <v>2988</v>
      </c>
      <c r="F1243">
        <v>3</v>
      </c>
    </row>
    <row r="1244" spans="2:6" x14ac:dyDescent="0.2">
      <c r="B1244" t="s">
        <v>5670</v>
      </c>
      <c r="C1244" t="s">
        <v>5671</v>
      </c>
      <c r="D1244">
        <v>7</v>
      </c>
      <c r="E1244" t="s">
        <v>5672</v>
      </c>
      <c r="F1244">
        <v>3</v>
      </c>
    </row>
    <row r="1245" spans="2:6" x14ac:dyDescent="0.2">
      <c r="B1245" t="s">
        <v>5673</v>
      </c>
      <c r="C1245" t="s">
        <v>5674</v>
      </c>
      <c r="D1245">
        <v>7</v>
      </c>
      <c r="E1245" t="s">
        <v>5675</v>
      </c>
      <c r="F1245">
        <v>18</v>
      </c>
    </row>
    <row r="1246" spans="2:6" x14ac:dyDescent="0.2">
      <c r="B1246" t="s">
        <v>5676</v>
      </c>
      <c r="C1246" t="s">
        <v>5677</v>
      </c>
      <c r="D1246">
        <v>7</v>
      </c>
      <c r="E1246" t="s">
        <v>3078</v>
      </c>
      <c r="F1246">
        <v>3</v>
      </c>
    </row>
    <row r="1247" spans="2:6" x14ac:dyDescent="0.2">
      <c r="B1247" t="s">
        <v>5678</v>
      </c>
      <c r="C1247" t="s">
        <v>5679</v>
      </c>
      <c r="D1247">
        <v>7</v>
      </c>
      <c r="E1247" t="s">
        <v>2785</v>
      </c>
      <c r="F1247">
        <v>2</v>
      </c>
    </row>
    <row r="1248" spans="2:6" x14ac:dyDescent="0.2">
      <c r="B1248" t="s">
        <v>5680</v>
      </c>
      <c r="C1248" t="s">
        <v>5681</v>
      </c>
      <c r="D1248">
        <v>7</v>
      </c>
      <c r="E1248" t="s">
        <v>3081</v>
      </c>
      <c r="F1248">
        <v>1</v>
      </c>
    </row>
    <row r="1249" spans="2:6" x14ac:dyDescent="0.2">
      <c r="B1249" t="s">
        <v>5682</v>
      </c>
      <c r="C1249" t="s">
        <v>5683</v>
      </c>
      <c r="D1249">
        <v>7</v>
      </c>
      <c r="E1249" t="s">
        <v>2915</v>
      </c>
      <c r="F1249">
        <v>2</v>
      </c>
    </row>
    <row r="1250" spans="2:6" x14ac:dyDescent="0.2">
      <c r="B1250" t="s">
        <v>5684</v>
      </c>
      <c r="C1250" t="s">
        <v>5685</v>
      </c>
      <c r="D1250">
        <v>7</v>
      </c>
      <c r="E1250" t="s">
        <v>2811</v>
      </c>
      <c r="F1250">
        <v>1</v>
      </c>
    </row>
    <row r="1251" spans="2:6" x14ac:dyDescent="0.2">
      <c r="B1251" t="s">
        <v>5686</v>
      </c>
      <c r="C1251" t="s">
        <v>5687</v>
      </c>
      <c r="D1251">
        <v>7</v>
      </c>
      <c r="E1251" t="s">
        <v>5688</v>
      </c>
      <c r="F1251">
        <v>4</v>
      </c>
    </row>
    <row r="1252" spans="2:6" x14ac:dyDescent="0.2">
      <c r="B1252" t="s">
        <v>239</v>
      </c>
      <c r="C1252" t="s">
        <v>5689</v>
      </c>
      <c r="D1252">
        <v>7</v>
      </c>
      <c r="E1252" t="s">
        <v>3841</v>
      </c>
      <c r="F1252">
        <v>7</v>
      </c>
    </row>
    <row r="1253" spans="2:6" x14ac:dyDescent="0.2">
      <c r="B1253" t="s">
        <v>2158</v>
      </c>
      <c r="C1253" t="s">
        <v>5690</v>
      </c>
      <c r="D1253">
        <v>7</v>
      </c>
      <c r="E1253" t="s">
        <v>5691</v>
      </c>
      <c r="F1253">
        <v>3</v>
      </c>
    </row>
    <row r="1254" spans="2:6" x14ac:dyDescent="0.2">
      <c r="B1254" t="s">
        <v>5692</v>
      </c>
      <c r="C1254" t="s">
        <v>5693</v>
      </c>
      <c r="D1254">
        <v>7</v>
      </c>
      <c r="E1254" t="s">
        <v>3742</v>
      </c>
      <c r="F1254">
        <v>2</v>
      </c>
    </row>
    <row r="1255" spans="2:6" x14ac:dyDescent="0.2">
      <c r="B1255" t="s">
        <v>5694</v>
      </c>
      <c r="C1255" t="s">
        <v>5521</v>
      </c>
      <c r="D1255">
        <v>7</v>
      </c>
      <c r="E1255" t="s">
        <v>5695</v>
      </c>
      <c r="F1255">
        <v>2</v>
      </c>
    </row>
    <row r="1256" spans="2:6" x14ac:dyDescent="0.2">
      <c r="B1256" t="s">
        <v>5696</v>
      </c>
      <c r="C1256" t="s">
        <v>5697</v>
      </c>
      <c r="D1256">
        <v>7</v>
      </c>
      <c r="E1256" t="s">
        <v>5698</v>
      </c>
      <c r="F1256">
        <v>1</v>
      </c>
    </row>
    <row r="1257" spans="2:6" x14ac:dyDescent="0.2">
      <c r="B1257" t="s">
        <v>5699</v>
      </c>
      <c r="C1257" t="s">
        <v>5700</v>
      </c>
      <c r="D1257">
        <v>7</v>
      </c>
      <c r="E1257" t="s">
        <v>4018</v>
      </c>
      <c r="F1257">
        <v>13</v>
      </c>
    </row>
    <row r="1258" spans="2:6" x14ac:dyDescent="0.2">
      <c r="B1258" t="s">
        <v>5701</v>
      </c>
      <c r="C1258" t="s">
        <v>5702</v>
      </c>
      <c r="D1258">
        <v>7</v>
      </c>
      <c r="E1258" t="s">
        <v>5703</v>
      </c>
      <c r="F1258">
        <v>2</v>
      </c>
    </row>
    <row r="1259" spans="2:6" x14ac:dyDescent="0.2">
      <c r="B1259" t="s">
        <v>782</v>
      </c>
      <c r="C1259" t="s">
        <v>5704</v>
      </c>
      <c r="D1259">
        <v>7</v>
      </c>
      <c r="E1259" t="s">
        <v>5330</v>
      </c>
      <c r="F1259">
        <v>100</v>
      </c>
    </row>
    <row r="1260" spans="2:6" x14ac:dyDescent="0.2">
      <c r="B1260" t="s">
        <v>5705</v>
      </c>
      <c r="C1260" t="s">
        <v>5706</v>
      </c>
      <c r="D1260">
        <v>7</v>
      </c>
      <c r="E1260" t="s">
        <v>5707</v>
      </c>
      <c r="F1260">
        <v>3</v>
      </c>
    </row>
    <row r="1261" spans="2:6" x14ac:dyDescent="0.2">
      <c r="B1261" t="s">
        <v>2086</v>
      </c>
      <c r="C1261" t="s">
        <v>5708</v>
      </c>
      <c r="D1261">
        <v>7</v>
      </c>
      <c r="E1261" t="s">
        <v>2930</v>
      </c>
      <c r="F1261">
        <v>1</v>
      </c>
    </row>
    <row r="1262" spans="2:6" x14ac:dyDescent="0.2">
      <c r="B1262" t="s">
        <v>5709</v>
      </c>
      <c r="C1262" t="s">
        <v>5710</v>
      </c>
      <c r="D1262">
        <v>7</v>
      </c>
      <c r="E1262" t="s">
        <v>3957</v>
      </c>
      <c r="F1262">
        <v>4</v>
      </c>
    </row>
    <row r="1263" spans="2:6" x14ac:dyDescent="0.2">
      <c r="B1263" t="s">
        <v>5711</v>
      </c>
      <c r="C1263" t="s">
        <v>5712</v>
      </c>
      <c r="D1263">
        <v>7</v>
      </c>
      <c r="E1263" t="s">
        <v>5713</v>
      </c>
      <c r="F1263">
        <v>2</v>
      </c>
    </row>
    <row r="1264" spans="2:6" x14ac:dyDescent="0.2">
      <c r="B1264" t="s">
        <v>5714</v>
      </c>
      <c r="C1264" t="s">
        <v>5715</v>
      </c>
      <c r="D1264">
        <v>7</v>
      </c>
      <c r="E1264" t="s">
        <v>5716</v>
      </c>
      <c r="F1264">
        <v>10</v>
      </c>
    </row>
    <row r="1265" spans="2:6" x14ac:dyDescent="0.2">
      <c r="B1265" t="s">
        <v>5717</v>
      </c>
      <c r="C1265" t="s">
        <v>5718</v>
      </c>
      <c r="D1265">
        <v>7</v>
      </c>
      <c r="E1265" t="s">
        <v>3814</v>
      </c>
      <c r="F1265">
        <v>1</v>
      </c>
    </row>
    <row r="1266" spans="2:6" x14ac:dyDescent="0.2">
      <c r="B1266" t="s">
        <v>5719</v>
      </c>
      <c r="C1266" t="s">
        <v>5720</v>
      </c>
      <c r="D1266">
        <v>7</v>
      </c>
      <c r="E1266" t="s">
        <v>3162</v>
      </c>
      <c r="F1266">
        <v>1</v>
      </c>
    </row>
    <row r="1267" spans="2:6" x14ac:dyDescent="0.2">
      <c r="B1267" t="s">
        <v>5721</v>
      </c>
      <c r="C1267" t="s">
        <v>5722</v>
      </c>
      <c r="D1267">
        <v>7</v>
      </c>
      <c r="E1267" t="s">
        <v>5723</v>
      </c>
      <c r="F1267">
        <v>6</v>
      </c>
    </row>
    <row r="1268" spans="2:6" x14ac:dyDescent="0.2">
      <c r="B1268" t="s">
        <v>5724</v>
      </c>
      <c r="C1268" t="s">
        <v>5725</v>
      </c>
      <c r="D1268">
        <v>7</v>
      </c>
      <c r="E1268" t="s">
        <v>3059</v>
      </c>
      <c r="F1268">
        <v>1</v>
      </c>
    </row>
    <row r="1269" spans="2:6" x14ac:dyDescent="0.2">
      <c r="B1269" t="s">
        <v>5726</v>
      </c>
      <c r="C1269" t="s">
        <v>5727</v>
      </c>
      <c r="D1269">
        <v>7</v>
      </c>
      <c r="E1269" t="s">
        <v>5728</v>
      </c>
      <c r="F1269">
        <v>9</v>
      </c>
    </row>
    <row r="1270" spans="2:6" x14ac:dyDescent="0.2">
      <c r="B1270" t="s">
        <v>5729</v>
      </c>
      <c r="C1270" t="s">
        <v>5730</v>
      </c>
      <c r="D1270">
        <v>7</v>
      </c>
      <c r="E1270" t="s">
        <v>3688</v>
      </c>
      <c r="F1270">
        <v>1</v>
      </c>
    </row>
    <row r="1271" spans="2:6" x14ac:dyDescent="0.2">
      <c r="B1271" t="s">
        <v>5731</v>
      </c>
      <c r="C1271" t="s">
        <v>5732</v>
      </c>
      <c r="D1271">
        <v>7</v>
      </c>
      <c r="E1271" t="s">
        <v>3674</v>
      </c>
      <c r="F1271">
        <v>4</v>
      </c>
    </row>
    <row r="1272" spans="2:6" x14ac:dyDescent="0.2">
      <c r="B1272" t="s">
        <v>5733</v>
      </c>
      <c r="C1272" t="s">
        <v>5734</v>
      </c>
      <c r="D1272">
        <v>7</v>
      </c>
      <c r="E1272" t="s">
        <v>2952</v>
      </c>
      <c r="F1272">
        <v>1</v>
      </c>
    </row>
    <row r="1273" spans="2:6" x14ac:dyDescent="0.2">
      <c r="B1273" t="s">
        <v>5735</v>
      </c>
      <c r="C1273" t="s">
        <v>5736</v>
      </c>
      <c r="D1273">
        <v>7</v>
      </c>
      <c r="E1273" t="s">
        <v>4788</v>
      </c>
      <c r="F1273">
        <v>2</v>
      </c>
    </row>
    <row r="1274" spans="2:6" x14ac:dyDescent="0.2">
      <c r="B1274" t="s">
        <v>2104</v>
      </c>
      <c r="C1274" t="s">
        <v>5737</v>
      </c>
      <c r="D1274">
        <v>7</v>
      </c>
      <c r="E1274" t="s">
        <v>4125</v>
      </c>
      <c r="F1274">
        <v>5</v>
      </c>
    </row>
    <row r="1275" spans="2:6" x14ac:dyDescent="0.2">
      <c r="B1275" t="s">
        <v>5738</v>
      </c>
      <c r="C1275" t="s">
        <v>5739</v>
      </c>
      <c r="D1275">
        <v>7</v>
      </c>
      <c r="E1275" t="s">
        <v>2845</v>
      </c>
      <c r="F1275">
        <v>15</v>
      </c>
    </row>
    <row r="1276" spans="2:6" x14ac:dyDescent="0.2">
      <c r="B1276" t="s">
        <v>5740</v>
      </c>
      <c r="C1276" t="s">
        <v>5741</v>
      </c>
      <c r="D1276">
        <v>7</v>
      </c>
      <c r="E1276" t="s">
        <v>5742</v>
      </c>
      <c r="F1276">
        <v>27</v>
      </c>
    </row>
    <row r="1277" spans="2:6" x14ac:dyDescent="0.2">
      <c r="B1277" t="s">
        <v>5743</v>
      </c>
      <c r="C1277" t="s">
        <v>5744</v>
      </c>
      <c r="D1277">
        <v>7</v>
      </c>
      <c r="E1277" t="s">
        <v>5745</v>
      </c>
      <c r="F1277">
        <v>2</v>
      </c>
    </row>
    <row r="1278" spans="2:6" x14ac:dyDescent="0.2">
      <c r="B1278" t="s">
        <v>1380</v>
      </c>
      <c r="C1278" t="s">
        <v>5746</v>
      </c>
      <c r="D1278">
        <v>7</v>
      </c>
      <c r="E1278" t="s">
        <v>2895</v>
      </c>
      <c r="F1278">
        <v>2</v>
      </c>
    </row>
    <row r="1279" spans="2:6" x14ac:dyDescent="0.2">
      <c r="B1279" t="s">
        <v>5747</v>
      </c>
      <c r="C1279" t="s">
        <v>5748</v>
      </c>
      <c r="D1279">
        <v>7</v>
      </c>
      <c r="E1279" t="s">
        <v>3250</v>
      </c>
      <c r="F1279">
        <v>1</v>
      </c>
    </row>
    <row r="1280" spans="2:6" x14ac:dyDescent="0.2">
      <c r="B1280" t="s">
        <v>1531</v>
      </c>
      <c r="C1280" t="s">
        <v>5749</v>
      </c>
      <c r="D1280">
        <v>7</v>
      </c>
      <c r="E1280" t="s">
        <v>3475</v>
      </c>
      <c r="F1280">
        <v>3</v>
      </c>
    </row>
    <row r="1281" spans="2:6" x14ac:dyDescent="0.2">
      <c r="B1281" t="s">
        <v>5750</v>
      </c>
      <c r="C1281" t="s">
        <v>5751</v>
      </c>
      <c r="D1281">
        <v>7</v>
      </c>
      <c r="E1281" t="s">
        <v>3153</v>
      </c>
      <c r="F1281">
        <v>1</v>
      </c>
    </row>
    <row r="1282" spans="2:6" x14ac:dyDescent="0.2">
      <c r="B1282" t="s">
        <v>5752</v>
      </c>
      <c r="C1282" t="s">
        <v>5753</v>
      </c>
      <c r="D1282">
        <v>7</v>
      </c>
      <c r="E1282" t="s">
        <v>3901</v>
      </c>
      <c r="F1282">
        <v>1</v>
      </c>
    </row>
    <row r="1283" spans="2:6" x14ac:dyDescent="0.2">
      <c r="B1283" t="s">
        <v>5754</v>
      </c>
      <c r="C1283" t="s">
        <v>5755</v>
      </c>
      <c r="D1283">
        <v>7</v>
      </c>
      <c r="E1283" t="s">
        <v>3084</v>
      </c>
      <c r="F1283">
        <v>2</v>
      </c>
    </row>
    <row r="1284" spans="2:6" x14ac:dyDescent="0.2">
      <c r="B1284" t="s">
        <v>398</v>
      </c>
      <c r="C1284" t="s">
        <v>5756</v>
      </c>
      <c r="D1284">
        <v>7</v>
      </c>
      <c r="E1284" t="s">
        <v>5757</v>
      </c>
      <c r="F1284">
        <v>1</v>
      </c>
    </row>
    <row r="1285" spans="2:6" x14ac:dyDescent="0.2">
      <c r="B1285" t="s">
        <v>5758</v>
      </c>
      <c r="C1285" t="s">
        <v>5759</v>
      </c>
      <c r="D1285">
        <v>7</v>
      </c>
      <c r="E1285" t="s">
        <v>3106</v>
      </c>
      <c r="F1285">
        <v>2</v>
      </c>
    </row>
    <row r="1286" spans="2:6" x14ac:dyDescent="0.2">
      <c r="B1286" t="s">
        <v>5760</v>
      </c>
      <c r="C1286" t="s">
        <v>5761</v>
      </c>
      <c r="D1286">
        <v>7</v>
      </c>
      <c r="E1286" t="s">
        <v>2788</v>
      </c>
      <c r="F1286">
        <v>1</v>
      </c>
    </row>
    <row r="1287" spans="2:6" x14ac:dyDescent="0.2">
      <c r="B1287" t="s">
        <v>5762</v>
      </c>
      <c r="C1287" t="s">
        <v>5763</v>
      </c>
      <c r="D1287">
        <v>7</v>
      </c>
      <c r="E1287" t="s">
        <v>3084</v>
      </c>
      <c r="F1287">
        <v>1</v>
      </c>
    </row>
    <row r="1288" spans="2:6" x14ac:dyDescent="0.2">
      <c r="B1288" t="s">
        <v>5764</v>
      </c>
      <c r="C1288" t="s">
        <v>5765</v>
      </c>
      <c r="D1288">
        <v>7</v>
      </c>
      <c r="E1288" t="s">
        <v>5766</v>
      </c>
      <c r="F1288">
        <v>2</v>
      </c>
    </row>
    <row r="1289" spans="2:6" x14ac:dyDescent="0.2">
      <c r="B1289" t="s">
        <v>5767</v>
      </c>
      <c r="C1289" t="s">
        <v>5768</v>
      </c>
      <c r="D1289">
        <v>7</v>
      </c>
      <c r="E1289" t="s">
        <v>5769</v>
      </c>
      <c r="F1289">
        <v>4</v>
      </c>
    </row>
    <row r="1290" spans="2:6" x14ac:dyDescent="0.2">
      <c r="B1290" t="s">
        <v>5770</v>
      </c>
      <c r="C1290" t="s">
        <v>5771</v>
      </c>
      <c r="D1290">
        <v>7</v>
      </c>
      <c r="E1290" t="s">
        <v>3232</v>
      </c>
      <c r="F1290">
        <v>2</v>
      </c>
    </row>
    <row r="1291" spans="2:6" x14ac:dyDescent="0.2">
      <c r="B1291" t="s">
        <v>5772</v>
      </c>
      <c r="C1291" t="s">
        <v>5773</v>
      </c>
      <c r="D1291">
        <v>7</v>
      </c>
      <c r="E1291" t="s">
        <v>4575</v>
      </c>
      <c r="F1291">
        <v>32</v>
      </c>
    </row>
    <row r="1292" spans="2:6" x14ac:dyDescent="0.2">
      <c r="B1292" t="s">
        <v>5774</v>
      </c>
      <c r="C1292" t="s">
        <v>5775</v>
      </c>
      <c r="D1292">
        <v>7</v>
      </c>
      <c r="E1292" t="s">
        <v>5776</v>
      </c>
      <c r="F1292">
        <v>3</v>
      </c>
    </row>
    <row r="1293" spans="2:6" x14ac:dyDescent="0.2">
      <c r="B1293" t="s">
        <v>5777</v>
      </c>
      <c r="C1293" t="s">
        <v>5778</v>
      </c>
      <c r="D1293">
        <v>7</v>
      </c>
      <c r="E1293" t="s">
        <v>3213</v>
      </c>
      <c r="F1293">
        <v>1</v>
      </c>
    </row>
    <row r="1294" spans="2:6" x14ac:dyDescent="0.2">
      <c r="B1294" t="s">
        <v>5779</v>
      </c>
      <c r="C1294" t="s">
        <v>5780</v>
      </c>
      <c r="D1294">
        <v>7</v>
      </c>
      <c r="E1294" t="s">
        <v>5781</v>
      </c>
      <c r="F1294">
        <v>3</v>
      </c>
    </row>
    <row r="1295" spans="2:6" x14ac:dyDescent="0.2">
      <c r="B1295" t="s">
        <v>5782</v>
      </c>
      <c r="C1295" t="s">
        <v>5783</v>
      </c>
      <c r="D1295">
        <v>7</v>
      </c>
      <c r="E1295" t="s">
        <v>3133</v>
      </c>
      <c r="F1295">
        <v>5</v>
      </c>
    </row>
    <row r="1296" spans="2:6" x14ac:dyDescent="0.2">
      <c r="B1296" t="s">
        <v>5784</v>
      </c>
      <c r="C1296" t="s">
        <v>5785</v>
      </c>
      <c r="D1296">
        <v>7</v>
      </c>
      <c r="E1296" t="s">
        <v>3335</v>
      </c>
      <c r="F1296">
        <v>1</v>
      </c>
    </row>
    <row r="1297" spans="2:6" x14ac:dyDescent="0.2">
      <c r="B1297" t="s">
        <v>5786</v>
      </c>
      <c r="C1297" t="s">
        <v>5787</v>
      </c>
      <c r="D1297">
        <v>7</v>
      </c>
      <c r="E1297" t="s">
        <v>3402</v>
      </c>
      <c r="F1297">
        <v>3</v>
      </c>
    </row>
    <row r="1298" spans="2:6" x14ac:dyDescent="0.2">
      <c r="B1298" t="s">
        <v>5788</v>
      </c>
      <c r="C1298" t="s">
        <v>5789</v>
      </c>
      <c r="D1298">
        <v>7</v>
      </c>
      <c r="E1298" t="s">
        <v>3106</v>
      </c>
      <c r="F1298">
        <v>2</v>
      </c>
    </row>
    <row r="1299" spans="2:6" x14ac:dyDescent="0.2">
      <c r="B1299" t="s">
        <v>5790</v>
      </c>
      <c r="C1299" t="s">
        <v>5791</v>
      </c>
      <c r="D1299">
        <v>7</v>
      </c>
      <c r="E1299" t="s">
        <v>3316</v>
      </c>
      <c r="F1299">
        <v>1</v>
      </c>
    </row>
    <row r="1300" spans="2:6" x14ac:dyDescent="0.2">
      <c r="B1300" t="s">
        <v>5792</v>
      </c>
      <c r="C1300" t="s">
        <v>5793</v>
      </c>
      <c r="D1300">
        <v>7</v>
      </c>
      <c r="E1300" t="s">
        <v>5794</v>
      </c>
      <c r="F1300">
        <v>16</v>
      </c>
    </row>
    <row r="1301" spans="2:6" x14ac:dyDescent="0.2">
      <c r="B1301" t="s">
        <v>5795</v>
      </c>
      <c r="C1301" t="s">
        <v>5796</v>
      </c>
      <c r="D1301">
        <v>7</v>
      </c>
      <c r="E1301" t="s">
        <v>2811</v>
      </c>
      <c r="F1301">
        <v>1</v>
      </c>
    </row>
    <row r="1302" spans="2:6" x14ac:dyDescent="0.2">
      <c r="B1302" t="s">
        <v>1810</v>
      </c>
      <c r="C1302" t="s">
        <v>5797</v>
      </c>
      <c r="D1302">
        <v>7</v>
      </c>
      <c r="E1302" t="s">
        <v>5191</v>
      </c>
      <c r="F1302">
        <v>1</v>
      </c>
    </row>
    <row r="1303" spans="2:6" x14ac:dyDescent="0.2">
      <c r="B1303" t="s">
        <v>5798</v>
      </c>
      <c r="C1303" t="s">
        <v>5799</v>
      </c>
      <c r="D1303">
        <v>7</v>
      </c>
      <c r="E1303" t="s">
        <v>5128</v>
      </c>
      <c r="F1303">
        <v>1</v>
      </c>
    </row>
    <row r="1304" spans="2:6" x14ac:dyDescent="0.2">
      <c r="B1304" t="s">
        <v>5800</v>
      </c>
      <c r="C1304" t="s">
        <v>5801</v>
      </c>
      <c r="D1304">
        <v>7</v>
      </c>
      <c r="E1304" t="s">
        <v>2994</v>
      </c>
      <c r="F1304">
        <v>1</v>
      </c>
    </row>
    <row r="1305" spans="2:6" x14ac:dyDescent="0.2">
      <c r="B1305" t="s">
        <v>5802</v>
      </c>
      <c r="C1305" t="s">
        <v>5803</v>
      </c>
      <c r="D1305">
        <v>7</v>
      </c>
      <c r="E1305" t="s">
        <v>3106</v>
      </c>
      <c r="F1305">
        <v>20</v>
      </c>
    </row>
    <row r="1306" spans="2:6" x14ac:dyDescent="0.2">
      <c r="B1306" t="s">
        <v>469</v>
      </c>
      <c r="C1306" t="s">
        <v>5804</v>
      </c>
      <c r="D1306">
        <v>7</v>
      </c>
      <c r="E1306" t="s">
        <v>5805</v>
      </c>
      <c r="F1306">
        <v>9</v>
      </c>
    </row>
    <row r="1307" spans="2:6" x14ac:dyDescent="0.2">
      <c r="B1307" t="s">
        <v>5806</v>
      </c>
      <c r="C1307" t="s">
        <v>5807</v>
      </c>
      <c r="D1307">
        <v>7</v>
      </c>
      <c r="E1307" t="s">
        <v>3335</v>
      </c>
      <c r="F1307">
        <v>1</v>
      </c>
    </row>
    <row r="1308" spans="2:6" x14ac:dyDescent="0.2">
      <c r="B1308" t="s">
        <v>5808</v>
      </c>
      <c r="C1308" t="s">
        <v>5809</v>
      </c>
      <c r="D1308">
        <v>7</v>
      </c>
      <c r="E1308" t="s">
        <v>4709</v>
      </c>
      <c r="F1308">
        <v>6</v>
      </c>
    </row>
    <row r="1309" spans="2:6" x14ac:dyDescent="0.2">
      <c r="B1309" t="s">
        <v>5810</v>
      </c>
      <c r="C1309" t="s">
        <v>5811</v>
      </c>
      <c r="D1309">
        <v>7</v>
      </c>
      <c r="E1309" t="s">
        <v>4232</v>
      </c>
      <c r="F1309">
        <v>1</v>
      </c>
    </row>
    <row r="1310" spans="2:6" x14ac:dyDescent="0.2">
      <c r="B1310" t="s">
        <v>1872</v>
      </c>
      <c r="C1310" t="s">
        <v>3066</v>
      </c>
      <c r="D1310">
        <v>7</v>
      </c>
      <c r="E1310" t="s">
        <v>5812</v>
      </c>
      <c r="F1310">
        <v>1</v>
      </c>
    </row>
    <row r="1311" spans="2:6" x14ac:dyDescent="0.2">
      <c r="B1311" t="s">
        <v>5813</v>
      </c>
      <c r="C1311" t="s">
        <v>5814</v>
      </c>
      <c r="D1311">
        <v>7</v>
      </c>
      <c r="E1311" t="s">
        <v>5815</v>
      </c>
      <c r="F1311">
        <v>10</v>
      </c>
    </row>
    <row r="1312" spans="2:6" x14ac:dyDescent="0.2">
      <c r="B1312" t="s">
        <v>5816</v>
      </c>
      <c r="C1312" t="s">
        <v>5817</v>
      </c>
      <c r="D1312">
        <v>7</v>
      </c>
      <c r="E1312" t="s">
        <v>2915</v>
      </c>
      <c r="F1312">
        <v>3</v>
      </c>
    </row>
    <row r="1313" spans="2:6" x14ac:dyDescent="0.2">
      <c r="B1313" t="s">
        <v>5818</v>
      </c>
      <c r="C1313" t="s">
        <v>5819</v>
      </c>
      <c r="D1313">
        <v>7</v>
      </c>
      <c r="E1313" t="s">
        <v>4280</v>
      </c>
      <c r="F1313">
        <v>4</v>
      </c>
    </row>
    <row r="1314" spans="2:6" x14ac:dyDescent="0.2">
      <c r="B1314" t="s">
        <v>5820</v>
      </c>
      <c r="C1314" t="s">
        <v>5821</v>
      </c>
      <c r="D1314">
        <v>7</v>
      </c>
      <c r="E1314" t="s">
        <v>3213</v>
      </c>
      <c r="F1314">
        <v>3</v>
      </c>
    </row>
    <row r="1315" spans="2:6" x14ac:dyDescent="0.2">
      <c r="B1315" t="s">
        <v>5822</v>
      </c>
      <c r="C1315" t="s">
        <v>5823</v>
      </c>
      <c r="D1315">
        <v>7</v>
      </c>
      <c r="E1315" t="s">
        <v>3597</v>
      </c>
      <c r="F1315">
        <v>2</v>
      </c>
    </row>
    <row r="1316" spans="2:6" x14ac:dyDescent="0.2">
      <c r="B1316" t="s">
        <v>5824</v>
      </c>
      <c r="C1316" t="s">
        <v>5825</v>
      </c>
      <c r="D1316">
        <v>7</v>
      </c>
      <c r="E1316" t="s">
        <v>5826</v>
      </c>
      <c r="F1316">
        <v>3</v>
      </c>
    </row>
    <row r="1317" spans="2:6" x14ac:dyDescent="0.2">
      <c r="B1317" t="s">
        <v>5827</v>
      </c>
      <c r="C1317" t="s">
        <v>5828</v>
      </c>
      <c r="D1317">
        <v>7</v>
      </c>
      <c r="E1317" t="s">
        <v>5829</v>
      </c>
      <c r="F1317">
        <v>6</v>
      </c>
    </row>
    <row r="1318" spans="2:6" x14ac:dyDescent="0.2">
      <c r="B1318" t="s">
        <v>5830</v>
      </c>
      <c r="C1318" t="s">
        <v>5831</v>
      </c>
      <c r="D1318">
        <v>7</v>
      </c>
      <c r="E1318" t="s">
        <v>3702</v>
      </c>
      <c r="F1318">
        <v>1</v>
      </c>
    </row>
    <row r="1319" spans="2:6" x14ac:dyDescent="0.2">
      <c r="B1319" t="s">
        <v>5832</v>
      </c>
      <c r="C1319" t="s">
        <v>5833</v>
      </c>
      <c r="D1319">
        <v>7</v>
      </c>
      <c r="E1319" t="s">
        <v>3109</v>
      </c>
      <c r="F1319">
        <v>5</v>
      </c>
    </row>
    <row r="1320" spans="2:6" x14ac:dyDescent="0.2">
      <c r="B1320" t="s">
        <v>5834</v>
      </c>
      <c r="C1320" t="s">
        <v>5835</v>
      </c>
      <c r="D1320">
        <v>7</v>
      </c>
      <c r="E1320" t="s">
        <v>2895</v>
      </c>
      <c r="F1320">
        <v>3</v>
      </c>
    </row>
    <row r="1321" spans="2:6" x14ac:dyDescent="0.2">
      <c r="B1321" t="s">
        <v>5836</v>
      </c>
      <c r="C1321" t="s">
        <v>5837</v>
      </c>
      <c r="D1321">
        <v>7</v>
      </c>
      <c r="E1321" t="s">
        <v>2915</v>
      </c>
      <c r="F1321">
        <v>1</v>
      </c>
    </row>
    <row r="1322" spans="2:6" x14ac:dyDescent="0.2">
      <c r="B1322" t="s">
        <v>5838</v>
      </c>
      <c r="C1322" t="s">
        <v>5839</v>
      </c>
      <c r="D1322">
        <v>7</v>
      </c>
      <c r="E1322" t="s">
        <v>3586</v>
      </c>
      <c r="F1322">
        <v>1</v>
      </c>
    </row>
    <row r="1323" spans="2:6" x14ac:dyDescent="0.2">
      <c r="B1323" t="s">
        <v>5840</v>
      </c>
      <c r="C1323" t="s">
        <v>5841</v>
      </c>
      <c r="D1323">
        <v>7</v>
      </c>
      <c r="E1323" t="s">
        <v>2857</v>
      </c>
      <c r="F1323">
        <v>1</v>
      </c>
    </row>
    <row r="1324" spans="2:6" x14ac:dyDescent="0.2">
      <c r="B1324" t="s">
        <v>5842</v>
      </c>
      <c r="C1324" t="s">
        <v>5843</v>
      </c>
      <c r="D1324">
        <v>7</v>
      </c>
      <c r="E1324" t="s">
        <v>3688</v>
      </c>
      <c r="F1324">
        <v>1</v>
      </c>
    </row>
    <row r="1325" spans="2:6" x14ac:dyDescent="0.2">
      <c r="B1325" t="s">
        <v>5844</v>
      </c>
      <c r="C1325" t="s">
        <v>5845</v>
      </c>
      <c r="D1325">
        <v>7</v>
      </c>
      <c r="E1325" t="s">
        <v>5846</v>
      </c>
      <c r="F1325">
        <v>3</v>
      </c>
    </row>
    <row r="1326" spans="2:6" x14ac:dyDescent="0.2">
      <c r="B1326" t="s">
        <v>5847</v>
      </c>
      <c r="C1326" t="s">
        <v>5848</v>
      </c>
      <c r="D1326">
        <v>7</v>
      </c>
      <c r="E1326" t="s">
        <v>3386</v>
      </c>
      <c r="F1326">
        <v>1</v>
      </c>
    </row>
    <row r="1327" spans="2:6" x14ac:dyDescent="0.2">
      <c r="B1327" t="s">
        <v>5849</v>
      </c>
      <c r="C1327" t="s">
        <v>5850</v>
      </c>
      <c r="D1327">
        <v>7</v>
      </c>
      <c r="E1327" t="s">
        <v>5851</v>
      </c>
      <c r="F1327">
        <v>11</v>
      </c>
    </row>
    <row r="1328" spans="2:6" x14ac:dyDescent="0.2">
      <c r="B1328" t="s">
        <v>5852</v>
      </c>
      <c r="C1328" t="s">
        <v>5853</v>
      </c>
      <c r="D1328">
        <v>7</v>
      </c>
      <c r="E1328" t="s">
        <v>3067</v>
      </c>
      <c r="F1328">
        <v>2</v>
      </c>
    </row>
    <row r="1329" spans="2:6" x14ac:dyDescent="0.2">
      <c r="B1329" t="s">
        <v>5854</v>
      </c>
      <c r="C1329" t="s">
        <v>5855</v>
      </c>
      <c r="D1329">
        <v>7</v>
      </c>
      <c r="E1329" t="s">
        <v>5856</v>
      </c>
      <c r="F1329">
        <v>4</v>
      </c>
    </row>
    <row r="1330" spans="2:6" x14ac:dyDescent="0.2">
      <c r="B1330" t="s">
        <v>5857</v>
      </c>
      <c r="C1330" t="s">
        <v>5858</v>
      </c>
      <c r="D1330">
        <v>7</v>
      </c>
      <c r="E1330" t="s">
        <v>2988</v>
      </c>
      <c r="F1330">
        <v>14</v>
      </c>
    </row>
    <row r="1331" spans="2:6" x14ac:dyDescent="0.2">
      <c r="B1331" t="s">
        <v>5859</v>
      </c>
      <c r="C1331" t="s">
        <v>5860</v>
      </c>
      <c r="D1331">
        <v>7</v>
      </c>
      <c r="E1331" t="s">
        <v>3245</v>
      </c>
      <c r="F1331">
        <v>2</v>
      </c>
    </row>
    <row r="1332" spans="2:6" x14ac:dyDescent="0.2">
      <c r="B1332" t="s">
        <v>5861</v>
      </c>
      <c r="C1332" t="s">
        <v>5862</v>
      </c>
      <c r="D1332">
        <v>7</v>
      </c>
      <c r="E1332" t="s">
        <v>5863</v>
      </c>
      <c r="F1332">
        <v>3</v>
      </c>
    </row>
    <row r="1333" spans="2:6" x14ac:dyDescent="0.2">
      <c r="B1333" t="s">
        <v>5864</v>
      </c>
      <c r="C1333" t="s">
        <v>5865</v>
      </c>
      <c r="D1333">
        <v>7</v>
      </c>
      <c r="E1333" t="s">
        <v>3004</v>
      </c>
      <c r="F1333">
        <v>1</v>
      </c>
    </row>
    <row r="1334" spans="2:6" x14ac:dyDescent="0.2">
      <c r="B1334" t="s">
        <v>5866</v>
      </c>
      <c r="C1334" t="s">
        <v>5867</v>
      </c>
      <c r="D1334">
        <v>7</v>
      </c>
      <c r="E1334" t="s">
        <v>5868</v>
      </c>
      <c r="F1334">
        <v>1</v>
      </c>
    </row>
    <row r="1335" spans="2:6" x14ac:dyDescent="0.2">
      <c r="B1335" t="s">
        <v>5869</v>
      </c>
      <c r="C1335" t="s">
        <v>5870</v>
      </c>
      <c r="D1335">
        <v>7</v>
      </c>
      <c r="E1335" t="s">
        <v>3106</v>
      </c>
      <c r="F1335">
        <v>1</v>
      </c>
    </row>
    <row r="1336" spans="2:6" x14ac:dyDescent="0.2">
      <c r="B1336" t="s">
        <v>802</v>
      </c>
      <c r="C1336" t="s">
        <v>5871</v>
      </c>
      <c r="D1336">
        <v>7</v>
      </c>
      <c r="E1336" t="s">
        <v>4130</v>
      </c>
      <c r="F1336">
        <v>2</v>
      </c>
    </row>
    <row r="1337" spans="2:6" x14ac:dyDescent="0.2">
      <c r="B1337" t="s">
        <v>5872</v>
      </c>
      <c r="C1337" t="s">
        <v>5873</v>
      </c>
      <c r="D1337">
        <v>7</v>
      </c>
      <c r="E1337" t="s">
        <v>5874</v>
      </c>
      <c r="F1337">
        <v>5</v>
      </c>
    </row>
    <row r="1338" spans="2:6" x14ac:dyDescent="0.2">
      <c r="B1338" t="s">
        <v>5875</v>
      </c>
      <c r="C1338" t="s">
        <v>5876</v>
      </c>
      <c r="D1338">
        <v>7</v>
      </c>
      <c r="E1338" t="s">
        <v>2788</v>
      </c>
      <c r="F1338">
        <v>1</v>
      </c>
    </row>
    <row r="1339" spans="2:6" x14ac:dyDescent="0.2">
      <c r="B1339" t="s">
        <v>5877</v>
      </c>
      <c r="C1339" t="s">
        <v>5878</v>
      </c>
      <c r="D1339">
        <v>7</v>
      </c>
      <c r="E1339" t="s">
        <v>5829</v>
      </c>
      <c r="F1339">
        <v>2</v>
      </c>
    </row>
    <row r="1340" spans="2:6" x14ac:dyDescent="0.2">
      <c r="B1340" t="s">
        <v>5879</v>
      </c>
      <c r="C1340" t="s">
        <v>5880</v>
      </c>
      <c r="D1340">
        <v>7</v>
      </c>
      <c r="E1340" t="s">
        <v>4260</v>
      </c>
      <c r="F1340">
        <v>1</v>
      </c>
    </row>
    <row r="1341" spans="2:6" x14ac:dyDescent="0.2">
      <c r="B1341" t="s">
        <v>312</v>
      </c>
      <c r="C1341" t="s">
        <v>5881</v>
      </c>
      <c r="D1341">
        <v>7</v>
      </c>
      <c r="E1341" t="s">
        <v>4823</v>
      </c>
      <c r="F1341">
        <v>4</v>
      </c>
    </row>
    <row r="1342" spans="2:6" x14ac:dyDescent="0.2">
      <c r="B1342" t="s">
        <v>5882</v>
      </c>
      <c r="C1342" t="s">
        <v>5883</v>
      </c>
      <c r="D1342">
        <v>7</v>
      </c>
      <c r="E1342" t="s">
        <v>3230</v>
      </c>
      <c r="F1342">
        <v>6</v>
      </c>
    </row>
    <row r="1343" spans="2:6" x14ac:dyDescent="0.2">
      <c r="B1343" t="s">
        <v>638</v>
      </c>
      <c r="C1343" t="s">
        <v>4454</v>
      </c>
      <c r="D1343">
        <v>7</v>
      </c>
      <c r="E1343" t="s">
        <v>2949</v>
      </c>
      <c r="F1343">
        <v>1</v>
      </c>
    </row>
    <row r="1344" spans="2:6" x14ac:dyDescent="0.2">
      <c r="B1344" t="s">
        <v>5884</v>
      </c>
      <c r="C1344" t="s">
        <v>5885</v>
      </c>
      <c r="D1344">
        <v>7</v>
      </c>
      <c r="E1344" t="s">
        <v>5886</v>
      </c>
      <c r="F1344">
        <v>3</v>
      </c>
    </row>
    <row r="1345" spans="2:6" x14ac:dyDescent="0.2">
      <c r="B1345" t="s">
        <v>5887</v>
      </c>
      <c r="C1345" t="s">
        <v>1132</v>
      </c>
      <c r="D1345">
        <v>7</v>
      </c>
      <c r="E1345" t="s">
        <v>3106</v>
      </c>
      <c r="F1345">
        <v>1</v>
      </c>
    </row>
    <row r="1346" spans="2:6" x14ac:dyDescent="0.2">
      <c r="B1346" t="s">
        <v>5888</v>
      </c>
      <c r="C1346" t="s">
        <v>5889</v>
      </c>
      <c r="D1346">
        <v>7</v>
      </c>
      <c r="E1346" t="s">
        <v>5890</v>
      </c>
      <c r="F1346">
        <v>2</v>
      </c>
    </row>
    <row r="1347" spans="2:6" x14ac:dyDescent="0.2">
      <c r="B1347" t="s">
        <v>5891</v>
      </c>
      <c r="C1347" t="s">
        <v>5892</v>
      </c>
      <c r="D1347">
        <v>7</v>
      </c>
      <c r="E1347" t="s">
        <v>5893</v>
      </c>
      <c r="F1347">
        <v>12</v>
      </c>
    </row>
    <row r="1348" spans="2:6" x14ac:dyDescent="0.2">
      <c r="B1348" t="s">
        <v>5894</v>
      </c>
      <c r="C1348" t="s">
        <v>5895</v>
      </c>
      <c r="D1348">
        <v>7</v>
      </c>
      <c r="E1348" t="s">
        <v>5896</v>
      </c>
      <c r="F1348">
        <v>4</v>
      </c>
    </row>
    <row r="1349" spans="2:6" x14ac:dyDescent="0.2">
      <c r="B1349" t="s">
        <v>5897</v>
      </c>
      <c r="C1349" t="s">
        <v>5898</v>
      </c>
      <c r="D1349">
        <v>7</v>
      </c>
      <c r="E1349" t="s">
        <v>2906</v>
      </c>
      <c r="F1349">
        <v>3</v>
      </c>
    </row>
    <row r="1350" spans="2:6" x14ac:dyDescent="0.2">
      <c r="B1350" t="s">
        <v>5899</v>
      </c>
      <c r="C1350" t="s">
        <v>5900</v>
      </c>
      <c r="D1350">
        <v>7</v>
      </c>
      <c r="E1350" t="s">
        <v>5901</v>
      </c>
      <c r="F1350">
        <v>2</v>
      </c>
    </row>
    <row r="1351" spans="2:6" x14ac:dyDescent="0.2">
      <c r="B1351" t="s">
        <v>5902</v>
      </c>
      <c r="C1351" t="s">
        <v>5903</v>
      </c>
      <c r="D1351">
        <v>7</v>
      </c>
      <c r="E1351" t="s">
        <v>3136</v>
      </c>
      <c r="F1351">
        <v>1</v>
      </c>
    </row>
    <row r="1352" spans="2:6" x14ac:dyDescent="0.2">
      <c r="B1352" t="s">
        <v>5904</v>
      </c>
      <c r="C1352" t="s">
        <v>5905</v>
      </c>
      <c r="D1352">
        <v>7</v>
      </c>
      <c r="E1352" t="s">
        <v>3674</v>
      </c>
      <c r="F1352">
        <v>2</v>
      </c>
    </row>
    <row r="1353" spans="2:6" x14ac:dyDescent="0.2">
      <c r="B1353" t="s">
        <v>459</v>
      </c>
      <c r="C1353" t="s">
        <v>5906</v>
      </c>
      <c r="D1353">
        <v>7</v>
      </c>
      <c r="E1353" t="s">
        <v>5907</v>
      </c>
      <c r="F1353">
        <v>6</v>
      </c>
    </row>
    <row r="1354" spans="2:6" x14ac:dyDescent="0.2">
      <c r="B1354" t="s">
        <v>5908</v>
      </c>
      <c r="C1354" t="s">
        <v>5909</v>
      </c>
      <c r="D1354">
        <v>7</v>
      </c>
      <c r="E1354" t="s">
        <v>2918</v>
      </c>
      <c r="F1354">
        <v>2</v>
      </c>
    </row>
    <row r="1355" spans="2:6" x14ac:dyDescent="0.2">
      <c r="B1355" t="s">
        <v>5910</v>
      </c>
      <c r="C1355" t="s">
        <v>5911</v>
      </c>
      <c r="D1355">
        <v>7</v>
      </c>
      <c r="E1355" t="s">
        <v>5912</v>
      </c>
      <c r="F1355">
        <v>1</v>
      </c>
    </row>
    <row r="1356" spans="2:6" x14ac:dyDescent="0.2">
      <c r="B1356" t="s">
        <v>5913</v>
      </c>
      <c r="C1356" t="s">
        <v>5914</v>
      </c>
      <c r="D1356">
        <v>7</v>
      </c>
      <c r="E1356" t="s">
        <v>3716</v>
      </c>
      <c r="F1356">
        <v>2</v>
      </c>
    </row>
    <row r="1357" spans="2:6" x14ac:dyDescent="0.2">
      <c r="B1357" t="s">
        <v>5915</v>
      </c>
      <c r="C1357" t="s">
        <v>5916</v>
      </c>
      <c r="D1357">
        <v>7</v>
      </c>
      <c r="E1357" t="s">
        <v>2839</v>
      </c>
      <c r="F1357">
        <v>6</v>
      </c>
    </row>
    <row r="1358" spans="2:6" x14ac:dyDescent="0.2">
      <c r="B1358" t="s">
        <v>5917</v>
      </c>
      <c r="C1358" t="s">
        <v>5918</v>
      </c>
      <c r="D1358">
        <v>7</v>
      </c>
      <c r="E1358" t="s">
        <v>2836</v>
      </c>
      <c r="F1358">
        <v>1</v>
      </c>
    </row>
    <row r="1359" spans="2:6" x14ac:dyDescent="0.2">
      <c r="B1359" t="s">
        <v>5919</v>
      </c>
      <c r="C1359" t="s">
        <v>5920</v>
      </c>
      <c r="D1359">
        <v>7</v>
      </c>
      <c r="E1359" t="s">
        <v>3505</v>
      </c>
      <c r="F1359">
        <v>1</v>
      </c>
    </row>
    <row r="1360" spans="2:6" x14ac:dyDescent="0.2">
      <c r="B1360" t="s">
        <v>5921</v>
      </c>
      <c r="C1360" t="s">
        <v>5922</v>
      </c>
      <c r="D1360">
        <v>7</v>
      </c>
      <c r="E1360" t="s">
        <v>5923</v>
      </c>
      <c r="F1360">
        <v>1</v>
      </c>
    </row>
    <row r="1361" spans="2:6" x14ac:dyDescent="0.2">
      <c r="B1361" t="s">
        <v>5924</v>
      </c>
      <c r="C1361" t="s">
        <v>5925</v>
      </c>
      <c r="D1361">
        <v>7</v>
      </c>
      <c r="E1361" t="s">
        <v>2788</v>
      </c>
      <c r="F1361">
        <v>1</v>
      </c>
    </row>
    <row r="1362" spans="2:6" x14ac:dyDescent="0.2">
      <c r="B1362" t="s">
        <v>5926</v>
      </c>
      <c r="C1362" t="s">
        <v>5927</v>
      </c>
      <c r="D1362">
        <v>7</v>
      </c>
      <c r="E1362" t="s">
        <v>3880</v>
      </c>
      <c r="F1362">
        <v>3</v>
      </c>
    </row>
    <row r="1363" spans="2:6" x14ac:dyDescent="0.2">
      <c r="B1363" t="s">
        <v>5928</v>
      </c>
      <c r="C1363" t="s">
        <v>5929</v>
      </c>
      <c r="D1363">
        <v>7</v>
      </c>
      <c r="E1363" t="s">
        <v>3586</v>
      </c>
      <c r="F1363">
        <v>1</v>
      </c>
    </row>
    <row r="1364" spans="2:6" x14ac:dyDescent="0.2">
      <c r="B1364" t="s">
        <v>5930</v>
      </c>
      <c r="C1364" t="s">
        <v>5931</v>
      </c>
      <c r="D1364">
        <v>7</v>
      </c>
      <c r="E1364" t="s">
        <v>5932</v>
      </c>
      <c r="F1364">
        <v>1</v>
      </c>
    </row>
    <row r="1365" spans="2:6" x14ac:dyDescent="0.2">
      <c r="B1365" t="s">
        <v>5933</v>
      </c>
      <c r="C1365" t="s">
        <v>5934</v>
      </c>
      <c r="D1365">
        <v>7</v>
      </c>
      <c r="E1365" t="s">
        <v>5935</v>
      </c>
      <c r="F1365">
        <v>1</v>
      </c>
    </row>
    <row r="1366" spans="2:6" x14ac:dyDescent="0.2">
      <c r="B1366" t="s">
        <v>5936</v>
      </c>
      <c r="C1366" t="s">
        <v>5937</v>
      </c>
      <c r="D1366">
        <v>7</v>
      </c>
      <c r="E1366" t="s">
        <v>3909</v>
      </c>
      <c r="F1366">
        <v>3</v>
      </c>
    </row>
    <row r="1367" spans="2:6" x14ac:dyDescent="0.2">
      <c r="B1367" t="s">
        <v>5938</v>
      </c>
      <c r="C1367" t="s">
        <v>5939</v>
      </c>
      <c r="D1367">
        <v>7</v>
      </c>
      <c r="E1367" t="s">
        <v>2918</v>
      </c>
      <c r="F1367">
        <v>2</v>
      </c>
    </row>
    <row r="1368" spans="2:6" x14ac:dyDescent="0.2">
      <c r="B1368" t="s">
        <v>5940</v>
      </c>
      <c r="C1368" t="s">
        <v>5941</v>
      </c>
      <c r="D1368">
        <v>7</v>
      </c>
      <c r="E1368" t="s">
        <v>3817</v>
      </c>
      <c r="F1368">
        <v>1</v>
      </c>
    </row>
    <row r="1369" spans="2:6" x14ac:dyDescent="0.2">
      <c r="B1369" t="s">
        <v>5942</v>
      </c>
      <c r="C1369" t="s">
        <v>5943</v>
      </c>
      <c r="D1369">
        <v>7</v>
      </c>
      <c r="E1369" t="s">
        <v>5944</v>
      </c>
      <c r="F1369">
        <v>16</v>
      </c>
    </row>
    <row r="1370" spans="2:6" x14ac:dyDescent="0.2">
      <c r="B1370" t="s">
        <v>5945</v>
      </c>
      <c r="C1370" t="s">
        <v>5946</v>
      </c>
      <c r="D1370">
        <v>7</v>
      </c>
      <c r="E1370" t="s">
        <v>2842</v>
      </c>
      <c r="F1370">
        <v>3</v>
      </c>
    </row>
    <row r="1371" spans="2:6" x14ac:dyDescent="0.2">
      <c r="B1371" t="s">
        <v>5947</v>
      </c>
      <c r="C1371" t="s">
        <v>5948</v>
      </c>
      <c r="D1371">
        <v>7</v>
      </c>
      <c r="E1371" t="s">
        <v>3084</v>
      </c>
      <c r="F1371">
        <v>12</v>
      </c>
    </row>
    <row r="1372" spans="2:6" x14ac:dyDescent="0.2">
      <c r="B1372" t="s">
        <v>5949</v>
      </c>
      <c r="C1372" t="s">
        <v>5950</v>
      </c>
      <c r="D1372">
        <v>7</v>
      </c>
      <c r="E1372" t="s">
        <v>3109</v>
      </c>
      <c r="F1372">
        <v>1</v>
      </c>
    </row>
    <row r="1373" spans="2:6" x14ac:dyDescent="0.2">
      <c r="B1373" t="s">
        <v>5951</v>
      </c>
      <c r="C1373" t="s">
        <v>5952</v>
      </c>
      <c r="D1373">
        <v>7</v>
      </c>
      <c r="E1373" t="s">
        <v>3839</v>
      </c>
      <c r="F1373">
        <v>1</v>
      </c>
    </row>
    <row r="1374" spans="2:6" x14ac:dyDescent="0.2">
      <c r="B1374" t="s">
        <v>225</v>
      </c>
      <c r="C1374" t="s">
        <v>5953</v>
      </c>
      <c r="D1374">
        <v>7</v>
      </c>
      <c r="E1374" t="s">
        <v>2788</v>
      </c>
      <c r="F1374">
        <v>1</v>
      </c>
    </row>
    <row r="1375" spans="2:6" x14ac:dyDescent="0.2">
      <c r="B1375" t="s">
        <v>662</v>
      </c>
      <c r="C1375" t="s">
        <v>5954</v>
      </c>
      <c r="D1375">
        <v>7</v>
      </c>
      <c r="E1375" t="s">
        <v>5955</v>
      </c>
      <c r="F1375">
        <v>80</v>
      </c>
    </row>
    <row r="1376" spans="2:6" x14ac:dyDescent="0.2">
      <c r="B1376" t="s">
        <v>5956</v>
      </c>
      <c r="C1376" t="s">
        <v>5957</v>
      </c>
      <c r="D1376">
        <v>7</v>
      </c>
      <c r="E1376" t="s">
        <v>3133</v>
      </c>
      <c r="F1376">
        <v>1</v>
      </c>
    </row>
    <row r="1377" spans="2:6" x14ac:dyDescent="0.2">
      <c r="B1377" t="s">
        <v>5958</v>
      </c>
      <c r="C1377" t="s">
        <v>5959</v>
      </c>
      <c r="D1377">
        <v>7</v>
      </c>
      <c r="E1377" t="s">
        <v>3294</v>
      </c>
      <c r="F1377">
        <v>1</v>
      </c>
    </row>
    <row r="1378" spans="2:6" x14ac:dyDescent="0.2">
      <c r="B1378" t="s">
        <v>5960</v>
      </c>
      <c r="C1378" t="s">
        <v>5961</v>
      </c>
      <c r="D1378">
        <v>7</v>
      </c>
      <c r="E1378" t="s">
        <v>3702</v>
      </c>
      <c r="F1378">
        <v>3</v>
      </c>
    </row>
    <row r="1379" spans="2:6" x14ac:dyDescent="0.2">
      <c r="B1379" t="s">
        <v>5962</v>
      </c>
      <c r="C1379" t="s">
        <v>5963</v>
      </c>
      <c r="D1379">
        <v>7</v>
      </c>
      <c r="E1379" t="s">
        <v>2985</v>
      </c>
      <c r="F1379">
        <v>2</v>
      </c>
    </row>
    <row r="1380" spans="2:6" x14ac:dyDescent="0.2">
      <c r="B1380" t="s">
        <v>5964</v>
      </c>
      <c r="C1380" t="s">
        <v>5965</v>
      </c>
      <c r="D1380">
        <v>7</v>
      </c>
      <c r="E1380" t="s">
        <v>5812</v>
      </c>
      <c r="F1380">
        <v>1</v>
      </c>
    </row>
    <row r="1381" spans="2:6" x14ac:dyDescent="0.2">
      <c r="B1381" t="s">
        <v>1884</v>
      </c>
      <c r="C1381" t="s">
        <v>5966</v>
      </c>
      <c r="D1381">
        <v>7</v>
      </c>
      <c r="E1381" t="s">
        <v>3227</v>
      </c>
      <c r="F1381">
        <v>2</v>
      </c>
    </row>
    <row r="1382" spans="2:6" x14ac:dyDescent="0.2">
      <c r="B1382" t="s">
        <v>5967</v>
      </c>
      <c r="C1382" t="s">
        <v>5968</v>
      </c>
      <c r="D1382">
        <v>7</v>
      </c>
      <c r="E1382" t="s">
        <v>2839</v>
      </c>
      <c r="F1382">
        <v>5</v>
      </c>
    </row>
    <row r="1383" spans="2:6" x14ac:dyDescent="0.2">
      <c r="B1383" t="s">
        <v>5969</v>
      </c>
      <c r="C1383" t="s">
        <v>5970</v>
      </c>
      <c r="D1383">
        <v>7</v>
      </c>
      <c r="E1383" t="s">
        <v>2842</v>
      </c>
      <c r="F1383">
        <v>1</v>
      </c>
    </row>
    <row r="1384" spans="2:6" x14ac:dyDescent="0.2">
      <c r="B1384" t="s">
        <v>5971</v>
      </c>
      <c r="C1384" t="s">
        <v>3063</v>
      </c>
      <c r="D1384">
        <v>7</v>
      </c>
      <c r="E1384" t="s">
        <v>5972</v>
      </c>
      <c r="F1384">
        <v>2</v>
      </c>
    </row>
    <row r="1385" spans="2:6" x14ac:dyDescent="0.2">
      <c r="B1385" t="s">
        <v>5973</v>
      </c>
      <c r="C1385" t="s">
        <v>5974</v>
      </c>
      <c r="D1385">
        <v>7</v>
      </c>
      <c r="E1385" t="s">
        <v>4068</v>
      </c>
      <c r="F1385">
        <v>1</v>
      </c>
    </row>
    <row r="1386" spans="2:6" x14ac:dyDescent="0.2">
      <c r="B1386" t="s">
        <v>5975</v>
      </c>
      <c r="C1386" t="s">
        <v>5976</v>
      </c>
      <c r="D1386">
        <v>7</v>
      </c>
      <c r="E1386" t="s">
        <v>3316</v>
      </c>
      <c r="F1386">
        <v>1</v>
      </c>
    </row>
    <row r="1387" spans="2:6" x14ac:dyDescent="0.2">
      <c r="B1387" t="s">
        <v>5977</v>
      </c>
      <c r="C1387" t="s">
        <v>5978</v>
      </c>
      <c r="D1387">
        <v>7</v>
      </c>
      <c r="E1387" t="s">
        <v>3575</v>
      </c>
      <c r="F1387">
        <v>1</v>
      </c>
    </row>
    <row r="1388" spans="2:6" x14ac:dyDescent="0.2">
      <c r="B1388" t="s">
        <v>5979</v>
      </c>
      <c r="C1388" t="s">
        <v>5980</v>
      </c>
      <c r="D1388">
        <v>7</v>
      </c>
      <c r="E1388" t="s">
        <v>5981</v>
      </c>
      <c r="F1388">
        <v>10</v>
      </c>
    </row>
    <row r="1389" spans="2:6" x14ac:dyDescent="0.2">
      <c r="B1389" t="s">
        <v>5982</v>
      </c>
      <c r="C1389" t="s">
        <v>5983</v>
      </c>
      <c r="D1389">
        <v>7</v>
      </c>
      <c r="E1389" t="s">
        <v>3466</v>
      </c>
      <c r="F1389">
        <v>1</v>
      </c>
    </row>
    <row r="1390" spans="2:6" x14ac:dyDescent="0.2">
      <c r="B1390" t="s">
        <v>5984</v>
      </c>
      <c r="C1390" t="s">
        <v>5985</v>
      </c>
      <c r="D1390">
        <v>7</v>
      </c>
      <c r="E1390" t="s">
        <v>3059</v>
      </c>
      <c r="F1390">
        <v>1</v>
      </c>
    </row>
    <row r="1391" spans="2:6" x14ac:dyDescent="0.2">
      <c r="B1391" t="s">
        <v>5986</v>
      </c>
      <c r="C1391" t="s">
        <v>5987</v>
      </c>
      <c r="D1391">
        <v>7</v>
      </c>
      <c r="E1391" t="s">
        <v>5988</v>
      </c>
      <c r="F1391">
        <v>1</v>
      </c>
    </row>
    <row r="1392" spans="2:6" x14ac:dyDescent="0.2">
      <c r="B1392" t="s">
        <v>680</v>
      </c>
      <c r="C1392" t="s">
        <v>5989</v>
      </c>
      <c r="D1392">
        <v>7</v>
      </c>
      <c r="E1392" t="s">
        <v>5990</v>
      </c>
      <c r="F1392">
        <v>8</v>
      </c>
    </row>
    <row r="1393" spans="2:6" x14ac:dyDescent="0.2">
      <c r="B1393" t="s">
        <v>726</v>
      </c>
      <c r="C1393" t="s">
        <v>5991</v>
      </c>
      <c r="D1393">
        <v>7</v>
      </c>
      <c r="E1393" t="s">
        <v>5992</v>
      </c>
      <c r="F1393">
        <v>8</v>
      </c>
    </row>
    <row r="1394" spans="2:6" x14ac:dyDescent="0.2">
      <c r="B1394" t="s">
        <v>5993</v>
      </c>
      <c r="C1394" t="s">
        <v>5371</v>
      </c>
      <c r="D1394">
        <v>7</v>
      </c>
      <c r="E1394" t="s">
        <v>2839</v>
      </c>
      <c r="F1394">
        <v>1</v>
      </c>
    </row>
    <row r="1395" spans="2:6" x14ac:dyDescent="0.2">
      <c r="B1395" t="s">
        <v>5994</v>
      </c>
      <c r="C1395" t="s">
        <v>5995</v>
      </c>
      <c r="D1395">
        <v>7</v>
      </c>
      <c r="E1395" t="s">
        <v>2863</v>
      </c>
      <c r="F1395">
        <v>2</v>
      </c>
    </row>
    <row r="1396" spans="2:6" x14ac:dyDescent="0.2">
      <c r="B1396" t="s">
        <v>5996</v>
      </c>
      <c r="C1396" t="s">
        <v>5997</v>
      </c>
      <c r="D1396">
        <v>7</v>
      </c>
      <c r="E1396" t="s">
        <v>3153</v>
      </c>
      <c r="F1396">
        <v>6</v>
      </c>
    </row>
    <row r="1397" spans="2:6" x14ac:dyDescent="0.2">
      <c r="B1397" t="s">
        <v>5998</v>
      </c>
      <c r="C1397" t="s">
        <v>5999</v>
      </c>
      <c r="D1397">
        <v>7</v>
      </c>
      <c r="E1397" t="s">
        <v>3759</v>
      </c>
      <c r="F1397">
        <v>1</v>
      </c>
    </row>
    <row r="1398" spans="2:6" x14ac:dyDescent="0.2">
      <c r="B1398" t="s">
        <v>6000</v>
      </c>
      <c r="C1398" t="s">
        <v>6001</v>
      </c>
      <c r="D1398">
        <v>7</v>
      </c>
      <c r="E1398" t="s">
        <v>3213</v>
      </c>
      <c r="F1398">
        <v>2</v>
      </c>
    </row>
    <row r="1399" spans="2:6" x14ac:dyDescent="0.2">
      <c r="B1399" t="s">
        <v>6002</v>
      </c>
      <c r="C1399" t="s">
        <v>6003</v>
      </c>
      <c r="D1399">
        <v>7</v>
      </c>
      <c r="E1399" t="s">
        <v>2850</v>
      </c>
      <c r="F1399">
        <v>1</v>
      </c>
    </row>
    <row r="1400" spans="2:6" x14ac:dyDescent="0.2">
      <c r="B1400" t="s">
        <v>6004</v>
      </c>
      <c r="C1400" t="s">
        <v>6005</v>
      </c>
      <c r="D1400">
        <v>7</v>
      </c>
      <c r="E1400" t="s">
        <v>2915</v>
      </c>
      <c r="F1400">
        <v>1</v>
      </c>
    </row>
    <row r="1401" spans="2:6" x14ac:dyDescent="0.2">
      <c r="B1401" t="s">
        <v>6006</v>
      </c>
      <c r="C1401" t="s">
        <v>6007</v>
      </c>
      <c r="D1401">
        <v>7</v>
      </c>
      <c r="E1401" t="s">
        <v>4962</v>
      </c>
      <c r="F1401">
        <v>1</v>
      </c>
    </row>
    <row r="1402" spans="2:6" x14ac:dyDescent="0.2">
      <c r="B1402" t="s">
        <v>6008</v>
      </c>
      <c r="C1402" t="s">
        <v>6009</v>
      </c>
      <c r="D1402">
        <v>7</v>
      </c>
      <c r="E1402" t="s">
        <v>3190</v>
      </c>
      <c r="F1402">
        <v>8</v>
      </c>
    </row>
    <row r="1403" spans="2:6" x14ac:dyDescent="0.2">
      <c r="B1403" t="s">
        <v>6010</v>
      </c>
      <c r="C1403" t="s">
        <v>6011</v>
      </c>
      <c r="D1403">
        <v>7</v>
      </c>
      <c r="E1403" t="s">
        <v>4062</v>
      </c>
      <c r="F1403">
        <v>72</v>
      </c>
    </row>
    <row r="1404" spans="2:6" x14ac:dyDescent="0.2">
      <c r="B1404" t="s">
        <v>6012</v>
      </c>
      <c r="C1404" t="s">
        <v>6013</v>
      </c>
      <c r="D1404">
        <v>7</v>
      </c>
      <c r="E1404" t="s">
        <v>2921</v>
      </c>
      <c r="F1404">
        <v>2</v>
      </c>
    </row>
    <row r="1405" spans="2:6" x14ac:dyDescent="0.2">
      <c r="B1405" t="s">
        <v>383</v>
      </c>
      <c r="C1405" t="s">
        <v>6014</v>
      </c>
      <c r="D1405">
        <v>7</v>
      </c>
      <c r="E1405" t="s">
        <v>3307</v>
      </c>
      <c r="F1405">
        <v>1</v>
      </c>
    </row>
    <row r="1406" spans="2:6" x14ac:dyDescent="0.2">
      <c r="B1406" t="s">
        <v>668</v>
      </c>
      <c r="C1406" t="s">
        <v>6015</v>
      </c>
      <c r="D1406">
        <v>7</v>
      </c>
      <c r="E1406" t="s">
        <v>6016</v>
      </c>
      <c r="F1406">
        <v>14</v>
      </c>
    </row>
    <row r="1407" spans="2:6" x14ac:dyDescent="0.2">
      <c r="B1407" t="s">
        <v>6017</v>
      </c>
      <c r="C1407" t="s">
        <v>6018</v>
      </c>
      <c r="D1407">
        <v>7</v>
      </c>
      <c r="E1407" t="s">
        <v>6019</v>
      </c>
      <c r="F1407">
        <v>10</v>
      </c>
    </row>
    <row r="1408" spans="2:6" x14ac:dyDescent="0.2">
      <c r="B1408" t="s">
        <v>6020</v>
      </c>
      <c r="C1408" t="s">
        <v>6021</v>
      </c>
      <c r="D1408">
        <v>7</v>
      </c>
      <c r="E1408" t="s">
        <v>2811</v>
      </c>
      <c r="F1408">
        <v>2</v>
      </c>
    </row>
    <row r="1409" spans="2:6" x14ac:dyDescent="0.2">
      <c r="B1409" t="s">
        <v>6022</v>
      </c>
      <c r="C1409" t="s">
        <v>6023</v>
      </c>
      <c r="D1409">
        <v>7</v>
      </c>
      <c r="E1409" t="s">
        <v>2842</v>
      </c>
      <c r="F1409">
        <v>2</v>
      </c>
    </row>
    <row r="1410" spans="2:6" x14ac:dyDescent="0.2">
      <c r="B1410" t="s">
        <v>6024</v>
      </c>
      <c r="C1410" t="s">
        <v>6025</v>
      </c>
      <c r="D1410">
        <v>7</v>
      </c>
      <c r="E1410" t="s">
        <v>3031</v>
      </c>
      <c r="F1410">
        <v>1</v>
      </c>
    </row>
    <row r="1411" spans="2:6" x14ac:dyDescent="0.2">
      <c r="B1411" t="s">
        <v>6026</v>
      </c>
      <c r="C1411" t="s">
        <v>6027</v>
      </c>
      <c r="D1411">
        <v>7</v>
      </c>
      <c r="E1411" t="s">
        <v>3756</v>
      </c>
      <c r="F1411">
        <v>12</v>
      </c>
    </row>
    <row r="1412" spans="2:6" x14ac:dyDescent="0.2">
      <c r="B1412" t="s">
        <v>6028</v>
      </c>
      <c r="C1412" t="s">
        <v>6029</v>
      </c>
      <c r="D1412">
        <v>7</v>
      </c>
      <c r="E1412" t="s">
        <v>2169</v>
      </c>
      <c r="F1412">
        <v>2</v>
      </c>
    </row>
    <row r="1413" spans="2:6" x14ac:dyDescent="0.2">
      <c r="B1413" t="s">
        <v>6030</v>
      </c>
      <c r="C1413" t="s">
        <v>6031</v>
      </c>
      <c r="D1413">
        <v>7</v>
      </c>
      <c r="E1413" t="s">
        <v>3098</v>
      </c>
      <c r="F1413">
        <v>1</v>
      </c>
    </row>
    <row r="1414" spans="2:6" x14ac:dyDescent="0.2">
      <c r="B1414" t="s">
        <v>6032</v>
      </c>
      <c r="C1414" t="s">
        <v>6033</v>
      </c>
      <c r="D1414">
        <v>7</v>
      </c>
      <c r="E1414" t="s">
        <v>4151</v>
      </c>
      <c r="F1414">
        <v>1</v>
      </c>
    </row>
    <row r="1415" spans="2:6" x14ac:dyDescent="0.2">
      <c r="B1415" t="s">
        <v>6034</v>
      </c>
      <c r="C1415" t="s">
        <v>6035</v>
      </c>
      <c r="D1415">
        <v>7</v>
      </c>
      <c r="E1415" t="s">
        <v>4956</v>
      </c>
      <c r="F1415">
        <v>1</v>
      </c>
    </row>
    <row r="1416" spans="2:6" x14ac:dyDescent="0.2">
      <c r="B1416" t="s">
        <v>6036</v>
      </c>
      <c r="C1416" t="s">
        <v>6037</v>
      </c>
      <c r="D1416">
        <v>7</v>
      </c>
      <c r="E1416" t="s">
        <v>3213</v>
      </c>
      <c r="F1416">
        <v>1</v>
      </c>
    </row>
    <row r="1417" spans="2:6" x14ac:dyDescent="0.2">
      <c r="B1417" t="s">
        <v>6038</v>
      </c>
      <c r="C1417" t="s">
        <v>6039</v>
      </c>
      <c r="D1417">
        <v>7</v>
      </c>
      <c r="E1417" t="s">
        <v>6040</v>
      </c>
      <c r="F1417">
        <v>8</v>
      </c>
    </row>
    <row r="1418" spans="2:6" x14ac:dyDescent="0.2">
      <c r="B1418" t="s">
        <v>393</v>
      </c>
      <c r="C1418" t="s">
        <v>4905</v>
      </c>
      <c r="D1418">
        <v>7</v>
      </c>
      <c r="E1418" t="s">
        <v>3230</v>
      </c>
      <c r="F1418">
        <v>12</v>
      </c>
    </row>
    <row r="1419" spans="2:6" x14ac:dyDescent="0.2">
      <c r="B1419" t="s">
        <v>6041</v>
      </c>
      <c r="C1419" t="s">
        <v>6042</v>
      </c>
      <c r="D1419">
        <v>7</v>
      </c>
      <c r="E1419" t="s">
        <v>3213</v>
      </c>
      <c r="F1419">
        <v>1</v>
      </c>
    </row>
    <row r="1420" spans="2:6" x14ac:dyDescent="0.2">
      <c r="B1420" t="s">
        <v>6043</v>
      </c>
      <c r="C1420" t="s">
        <v>6044</v>
      </c>
      <c r="D1420">
        <v>7</v>
      </c>
      <c r="E1420" t="s">
        <v>6045</v>
      </c>
      <c r="F1420">
        <v>6</v>
      </c>
    </row>
    <row r="1421" spans="2:6" x14ac:dyDescent="0.2">
      <c r="B1421" t="s">
        <v>6046</v>
      </c>
      <c r="C1421" t="s">
        <v>6047</v>
      </c>
      <c r="D1421">
        <v>7</v>
      </c>
      <c r="E1421" t="s">
        <v>3095</v>
      </c>
      <c r="F1421">
        <v>1</v>
      </c>
    </row>
    <row r="1422" spans="2:6" x14ac:dyDescent="0.2">
      <c r="B1422" t="s">
        <v>6048</v>
      </c>
      <c r="C1422" t="s">
        <v>6049</v>
      </c>
      <c r="D1422">
        <v>7</v>
      </c>
      <c r="E1422" t="s">
        <v>6050</v>
      </c>
      <c r="F1422">
        <v>1</v>
      </c>
    </row>
    <row r="1423" spans="2:6" x14ac:dyDescent="0.2">
      <c r="B1423" t="s">
        <v>1567</v>
      </c>
      <c r="C1423" t="s">
        <v>6051</v>
      </c>
      <c r="D1423">
        <v>7</v>
      </c>
      <c r="E1423" t="s">
        <v>3957</v>
      </c>
      <c r="F1423">
        <v>6</v>
      </c>
    </row>
    <row r="1424" spans="2:6" x14ac:dyDescent="0.2">
      <c r="B1424" t="s">
        <v>6052</v>
      </c>
      <c r="C1424" t="s">
        <v>6053</v>
      </c>
      <c r="D1424">
        <v>7</v>
      </c>
      <c r="E1424" t="s">
        <v>6054</v>
      </c>
      <c r="F1424">
        <v>2</v>
      </c>
    </row>
    <row r="1425" spans="2:6" x14ac:dyDescent="0.2">
      <c r="B1425" t="s">
        <v>6055</v>
      </c>
      <c r="C1425" t="s">
        <v>6056</v>
      </c>
      <c r="D1425">
        <v>7</v>
      </c>
      <c r="E1425" t="s">
        <v>3688</v>
      </c>
      <c r="F1425">
        <v>4</v>
      </c>
    </row>
    <row r="1426" spans="2:6" x14ac:dyDescent="0.2">
      <c r="B1426" t="s">
        <v>6057</v>
      </c>
      <c r="C1426" t="s">
        <v>6058</v>
      </c>
      <c r="D1426">
        <v>7</v>
      </c>
      <c r="E1426" t="s">
        <v>2785</v>
      </c>
      <c r="F1426">
        <v>1</v>
      </c>
    </row>
    <row r="1427" spans="2:6" x14ac:dyDescent="0.2">
      <c r="B1427" t="s">
        <v>6059</v>
      </c>
      <c r="C1427" t="s">
        <v>6060</v>
      </c>
      <c r="D1427">
        <v>7</v>
      </c>
      <c r="E1427" t="s">
        <v>6061</v>
      </c>
      <c r="F1427">
        <v>2</v>
      </c>
    </row>
    <row r="1428" spans="2:6" x14ac:dyDescent="0.2">
      <c r="B1428" t="s">
        <v>6062</v>
      </c>
      <c r="C1428" t="s">
        <v>6063</v>
      </c>
      <c r="D1428">
        <v>7</v>
      </c>
      <c r="E1428" t="s">
        <v>5812</v>
      </c>
      <c r="F1428">
        <v>1</v>
      </c>
    </row>
    <row r="1429" spans="2:6" x14ac:dyDescent="0.2">
      <c r="B1429" t="s">
        <v>1427</v>
      </c>
      <c r="C1429" t="s">
        <v>6064</v>
      </c>
      <c r="D1429">
        <v>7</v>
      </c>
      <c r="E1429" t="s">
        <v>5020</v>
      </c>
      <c r="F1429">
        <v>4</v>
      </c>
    </row>
    <row r="1430" spans="2:6" x14ac:dyDescent="0.2">
      <c r="B1430" t="s">
        <v>6065</v>
      </c>
      <c r="C1430" t="s">
        <v>6066</v>
      </c>
      <c r="D1430">
        <v>7</v>
      </c>
      <c r="E1430" t="s">
        <v>6067</v>
      </c>
      <c r="F1430">
        <v>3</v>
      </c>
    </row>
    <row r="1431" spans="2:6" x14ac:dyDescent="0.2">
      <c r="B1431" t="s">
        <v>6068</v>
      </c>
      <c r="C1431" t="s">
        <v>6069</v>
      </c>
      <c r="D1431">
        <v>7</v>
      </c>
      <c r="E1431" t="s">
        <v>2921</v>
      </c>
      <c r="F1431">
        <v>1</v>
      </c>
    </row>
    <row r="1432" spans="2:6" x14ac:dyDescent="0.2">
      <c r="B1432" t="s">
        <v>6070</v>
      </c>
      <c r="C1432" t="s">
        <v>6071</v>
      </c>
      <c r="D1432">
        <v>7</v>
      </c>
      <c r="E1432" t="s">
        <v>3455</v>
      </c>
      <c r="F1432">
        <v>10</v>
      </c>
    </row>
    <row r="1433" spans="2:6" x14ac:dyDescent="0.2">
      <c r="B1433" t="s">
        <v>249</v>
      </c>
      <c r="C1433" t="s">
        <v>6072</v>
      </c>
      <c r="D1433">
        <v>7</v>
      </c>
      <c r="E1433" t="s">
        <v>6073</v>
      </c>
      <c r="F1433">
        <v>2</v>
      </c>
    </row>
    <row r="1434" spans="2:6" x14ac:dyDescent="0.2">
      <c r="B1434" t="s">
        <v>6074</v>
      </c>
      <c r="C1434" t="s">
        <v>6075</v>
      </c>
      <c r="D1434">
        <v>7</v>
      </c>
      <c r="E1434" t="s">
        <v>6076</v>
      </c>
      <c r="F1434">
        <v>1</v>
      </c>
    </row>
    <row r="1435" spans="2:6" x14ac:dyDescent="0.2">
      <c r="B1435" t="s">
        <v>6077</v>
      </c>
      <c r="C1435" t="s">
        <v>6078</v>
      </c>
      <c r="D1435">
        <v>7</v>
      </c>
      <c r="E1435" t="s">
        <v>2811</v>
      </c>
      <c r="F1435">
        <v>2</v>
      </c>
    </row>
    <row r="1436" spans="2:6" x14ac:dyDescent="0.2">
      <c r="B1436" t="s">
        <v>6079</v>
      </c>
      <c r="C1436" t="s">
        <v>6080</v>
      </c>
      <c r="D1436">
        <v>7</v>
      </c>
      <c r="E1436" t="s">
        <v>3805</v>
      </c>
      <c r="F1436">
        <v>1</v>
      </c>
    </row>
    <row r="1437" spans="2:6" x14ac:dyDescent="0.2">
      <c r="B1437" t="s">
        <v>6081</v>
      </c>
      <c r="C1437" t="s">
        <v>6082</v>
      </c>
      <c r="D1437">
        <v>7</v>
      </c>
      <c r="E1437" t="s">
        <v>6083</v>
      </c>
      <c r="F1437">
        <v>1</v>
      </c>
    </row>
    <row r="1438" spans="2:6" x14ac:dyDescent="0.2">
      <c r="B1438" t="s">
        <v>6084</v>
      </c>
      <c r="C1438" t="s">
        <v>6085</v>
      </c>
      <c r="D1438">
        <v>7</v>
      </c>
      <c r="E1438" t="s">
        <v>6086</v>
      </c>
      <c r="F1438">
        <v>1</v>
      </c>
    </row>
    <row r="1439" spans="2:6" x14ac:dyDescent="0.2">
      <c r="B1439" t="s">
        <v>6087</v>
      </c>
      <c r="C1439" t="s">
        <v>6088</v>
      </c>
      <c r="D1439">
        <v>7</v>
      </c>
      <c r="E1439" t="s">
        <v>6089</v>
      </c>
      <c r="F1439">
        <v>4</v>
      </c>
    </row>
    <row r="1440" spans="2:6" x14ac:dyDescent="0.2">
      <c r="B1440" t="s">
        <v>6090</v>
      </c>
      <c r="C1440" t="s">
        <v>6091</v>
      </c>
      <c r="D1440">
        <v>7</v>
      </c>
      <c r="E1440" t="s">
        <v>3674</v>
      </c>
      <c r="F1440">
        <v>1</v>
      </c>
    </row>
    <row r="1441" spans="2:6" x14ac:dyDescent="0.2">
      <c r="B1441" t="s">
        <v>6092</v>
      </c>
      <c r="C1441" t="s">
        <v>6093</v>
      </c>
      <c r="D1441">
        <v>7</v>
      </c>
      <c r="E1441" t="s">
        <v>2974</v>
      </c>
      <c r="F1441">
        <v>17</v>
      </c>
    </row>
    <row r="1442" spans="2:6" x14ac:dyDescent="0.2">
      <c r="B1442" t="s">
        <v>6094</v>
      </c>
      <c r="C1442" t="s">
        <v>6095</v>
      </c>
      <c r="D1442">
        <v>7</v>
      </c>
      <c r="E1442" t="s">
        <v>3213</v>
      </c>
      <c r="F1442">
        <v>5</v>
      </c>
    </row>
    <row r="1443" spans="2:6" x14ac:dyDescent="0.2">
      <c r="B1443" t="s">
        <v>6096</v>
      </c>
      <c r="C1443" t="s">
        <v>6097</v>
      </c>
      <c r="D1443">
        <v>7</v>
      </c>
      <c r="E1443" t="s">
        <v>2941</v>
      </c>
      <c r="F1443">
        <v>1</v>
      </c>
    </row>
    <row r="1444" spans="2:6" x14ac:dyDescent="0.2">
      <c r="B1444" t="s">
        <v>6098</v>
      </c>
      <c r="C1444" t="s">
        <v>6099</v>
      </c>
      <c r="D1444">
        <v>7</v>
      </c>
      <c r="E1444" t="s">
        <v>6100</v>
      </c>
      <c r="F1444">
        <v>3</v>
      </c>
    </row>
    <row r="1445" spans="2:6" x14ac:dyDescent="0.2">
      <c r="B1445" t="s">
        <v>6101</v>
      </c>
      <c r="C1445" t="s">
        <v>6102</v>
      </c>
      <c r="D1445">
        <v>7</v>
      </c>
      <c r="E1445" t="s">
        <v>3106</v>
      </c>
      <c r="F1445">
        <v>1</v>
      </c>
    </row>
    <row r="1446" spans="2:6" x14ac:dyDescent="0.2">
      <c r="B1446" t="s">
        <v>6103</v>
      </c>
      <c r="C1446" t="s">
        <v>6104</v>
      </c>
      <c r="D1446">
        <v>7</v>
      </c>
      <c r="E1446" t="s">
        <v>2958</v>
      </c>
      <c r="F1446">
        <v>5</v>
      </c>
    </row>
    <row r="1447" spans="2:6" x14ac:dyDescent="0.2">
      <c r="B1447" t="s">
        <v>6105</v>
      </c>
      <c r="C1447" t="s">
        <v>6106</v>
      </c>
      <c r="D1447">
        <v>7</v>
      </c>
      <c r="E1447" t="s">
        <v>6107</v>
      </c>
      <c r="F1447">
        <v>1</v>
      </c>
    </row>
    <row r="1448" spans="2:6" x14ac:dyDescent="0.2">
      <c r="B1448" t="s">
        <v>6108</v>
      </c>
      <c r="C1448" t="s">
        <v>6109</v>
      </c>
      <c r="D1448">
        <v>7</v>
      </c>
      <c r="E1448" t="s">
        <v>5191</v>
      </c>
      <c r="F1448">
        <v>4</v>
      </c>
    </row>
    <row r="1449" spans="2:6" x14ac:dyDescent="0.2">
      <c r="B1449" t="s">
        <v>6110</v>
      </c>
      <c r="C1449" t="s">
        <v>6111</v>
      </c>
      <c r="D1449">
        <v>7</v>
      </c>
      <c r="E1449" t="s">
        <v>3153</v>
      </c>
      <c r="F1449">
        <v>1</v>
      </c>
    </row>
    <row r="1450" spans="2:6" x14ac:dyDescent="0.2">
      <c r="B1450" t="s">
        <v>631</v>
      </c>
      <c r="C1450" t="s">
        <v>3925</v>
      </c>
      <c r="D1450">
        <v>7</v>
      </c>
      <c r="E1450" t="s">
        <v>3071</v>
      </c>
      <c r="F1450">
        <v>2</v>
      </c>
    </row>
    <row r="1451" spans="2:6" x14ac:dyDescent="0.2">
      <c r="B1451" t="s">
        <v>6112</v>
      </c>
      <c r="C1451" t="s">
        <v>6113</v>
      </c>
      <c r="D1451">
        <v>7</v>
      </c>
      <c r="E1451" t="s">
        <v>5992</v>
      </c>
      <c r="F1451">
        <v>1</v>
      </c>
    </row>
    <row r="1452" spans="2:6" x14ac:dyDescent="0.2">
      <c r="B1452" t="s">
        <v>6114</v>
      </c>
      <c r="C1452" t="s">
        <v>6115</v>
      </c>
      <c r="D1452">
        <v>7</v>
      </c>
      <c r="E1452" t="s">
        <v>2930</v>
      </c>
      <c r="F1452">
        <v>1</v>
      </c>
    </row>
    <row r="1453" spans="2:6" x14ac:dyDescent="0.2">
      <c r="B1453" t="s">
        <v>6116</v>
      </c>
      <c r="C1453" t="s">
        <v>6117</v>
      </c>
      <c r="D1453">
        <v>7</v>
      </c>
      <c r="E1453" t="s">
        <v>3162</v>
      </c>
      <c r="F1453">
        <v>1</v>
      </c>
    </row>
    <row r="1454" spans="2:6" x14ac:dyDescent="0.2">
      <c r="B1454" t="s">
        <v>6118</v>
      </c>
      <c r="C1454" t="s">
        <v>6119</v>
      </c>
      <c r="D1454">
        <v>7</v>
      </c>
      <c r="E1454" t="s">
        <v>6120</v>
      </c>
      <c r="F1454">
        <v>8</v>
      </c>
    </row>
    <row r="1455" spans="2:6" x14ac:dyDescent="0.2">
      <c r="B1455" t="s">
        <v>1414</v>
      </c>
      <c r="C1455" t="s">
        <v>6121</v>
      </c>
      <c r="D1455">
        <v>7</v>
      </c>
      <c r="E1455" t="s">
        <v>4542</v>
      </c>
      <c r="F1455">
        <v>129</v>
      </c>
    </row>
    <row r="1456" spans="2:6" x14ac:dyDescent="0.2">
      <c r="B1456" t="s">
        <v>6122</v>
      </c>
      <c r="C1456" t="s">
        <v>6123</v>
      </c>
      <c r="D1456">
        <v>7</v>
      </c>
      <c r="E1456" t="s">
        <v>6124</v>
      </c>
      <c r="F1456">
        <v>1</v>
      </c>
    </row>
    <row r="1457" spans="2:6" x14ac:dyDescent="0.2">
      <c r="B1457" t="s">
        <v>6125</v>
      </c>
      <c r="C1457" t="s">
        <v>6126</v>
      </c>
      <c r="D1457">
        <v>7</v>
      </c>
      <c r="E1457" t="s">
        <v>4107</v>
      </c>
      <c r="F1457">
        <v>1</v>
      </c>
    </row>
    <row r="1458" spans="2:6" x14ac:dyDescent="0.2">
      <c r="B1458" t="s">
        <v>6127</v>
      </c>
      <c r="C1458" t="s">
        <v>6128</v>
      </c>
      <c r="D1458">
        <v>7</v>
      </c>
      <c r="E1458" t="s">
        <v>5551</v>
      </c>
      <c r="F1458">
        <v>21</v>
      </c>
    </row>
    <row r="1459" spans="2:6" x14ac:dyDescent="0.2">
      <c r="B1459" t="s">
        <v>6129</v>
      </c>
      <c r="C1459" t="s">
        <v>6130</v>
      </c>
      <c r="D1459">
        <v>7</v>
      </c>
      <c r="E1459" t="s">
        <v>3098</v>
      </c>
      <c r="F1459">
        <v>1</v>
      </c>
    </row>
    <row r="1460" spans="2:6" x14ac:dyDescent="0.2">
      <c r="B1460" t="s">
        <v>6131</v>
      </c>
      <c r="C1460" t="s">
        <v>6132</v>
      </c>
      <c r="D1460">
        <v>7</v>
      </c>
      <c r="E1460" t="s">
        <v>2830</v>
      </c>
      <c r="F1460">
        <v>1</v>
      </c>
    </row>
    <row r="1461" spans="2:6" x14ac:dyDescent="0.2">
      <c r="B1461" t="s">
        <v>6133</v>
      </c>
      <c r="C1461" t="s">
        <v>6134</v>
      </c>
      <c r="D1461">
        <v>7</v>
      </c>
      <c r="E1461" t="s">
        <v>6135</v>
      </c>
      <c r="F1461">
        <v>10</v>
      </c>
    </row>
    <row r="1462" spans="2:6" x14ac:dyDescent="0.2">
      <c r="B1462" t="s">
        <v>6136</v>
      </c>
      <c r="C1462" t="s">
        <v>6137</v>
      </c>
      <c r="D1462">
        <v>7</v>
      </c>
      <c r="E1462" t="s">
        <v>6138</v>
      </c>
      <c r="F1462">
        <v>1</v>
      </c>
    </row>
    <row r="1463" spans="2:6" x14ac:dyDescent="0.2">
      <c r="B1463" t="s">
        <v>6139</v>
      </c>
      <c r="C1463" t="s">
        <v>6140</v>
      </c>
      <c r="D1463">
        <v>7</v>
      </c>
      <c r="E1463" t="s">
        <v>6141</v>
      </c>
      <c r="F1463">
        <v>7</v>
      </c>
    </row>
    <row r="1464" spans="2:6" x14ac:dyDescent="0.2">
      <c r="B1464" t="s">
        <v>6142</v>
      </c>
      <c r="C1464" t="s">
        <v>6143</v>
      </c>
      <c r="D1464">
        <v>7</v>
      </c>
      <c r="E1464" t="s">
        <v>6144</v>
      </c>
      <c r="F1464">
        <v>10</v>
      </c>
    </row>
    <row r="1465" spans="2:6" x14ac:dyDescent="0.2">
      <c r="B1465" t="s">
        <v>6145</v>
      </c>
      <c r="C1465" t="s">
        <v>6146</v>
      </c>
      <c r="D1465">
        <v>7</v>
      </c>
      <c r="E1465" t="s">
        <v>4906</v>
      </c>
      <c r="F1465">
        <v>2</v>
      </c>
    </row>
    <row r="1466" spans="2:6" x14ac:dyDescent="0.2">
      <c r="B1466" t="s">
        <v>6147</v>
      </c>
      <c r="C1466" t="s">
        <v>6148</v>
      </c>
      <c r="D1466">
        <v>7</v>
      </c>
      <c r="E1466" t="s">
        <v>3109</v>
      </c>
      <c r="F1466">
        <v>1</v>
      </c>
    </row>
    <row r="1467" spans="2:6" x14ac:dyDescent="0.2">
      <c r="B1467" t="s">
        <v>6149</v>
      </c>
      <c r="C1467" t="s">
        <v>6150</v>
      </c>
      <c r="D1467">
        <v>7</v>
      </c>
      <c r="E1467" t="s">
        <v>6151</v>
      </c>
      <c r="F1467">
        <v>2</v>
      </c>
    </row>
    <row r="1468" spans="2:6" x14ac:dyDescent="0.2">
      <c r="B1468" t="s">
        <v>1930</v>
      </c>
      <c r="C1468" t="s">
        <v>6152</v>
      </c>
      <c r="D1468">
        <v>7</v>
      </c>
      <c r="E1468" t="s">
        <v>6153</v>
      </c>
      <c r="F1468">
        <v>1</v>
      </c>
    </row>
    <row r="1469" spans="2:6" x14ac:dyDescent="0.2">
      <c r="B1469" t="s">
        <v>6154</v>
      </c>
      <c r="C1469" t="s">
        <v>6155</v>
      </c>
      <c r="D1469">
        <v>7</v>
      </c>
      <c r="E1469" t="s">
        <v>3235</v>
      </c>
      <c r="F1469">
        <v>1</v>
      </c>
    </row>
    <row r="1470" spans="2:6" x14ac:dyDescent="0.2">
      <c r="B1470" t="s">
        <v>6156</v>
      </c>
      <c r="C1470" t="s">
        <v>6157</v>
      </c>
      <c r="D1470">
        <v>7</v>
      </c>
      <c r="E1470" t="s">
        <v>2889</v>
      </c>
      <c r="F1470">
        <v>3</v>
      </c>
    </row>
    <row r="1471" spans="2:6" x14ac:dyDescent="0.2">
      <c r="B1471" t="s">
        <v>6158</v>
      </c>
      <c r="C1471" t="s">
        <v>6159</v>
      </c>
      <c r="D1471">
        <v>7</v>
      </c>
      <c r="E1471" t="s">
        <v>3960</v>
      </c>
      <c r="F1471">
        <v>1</v>
      </c>
    </row>
    <row r="1472" spans="2:6" x14ac:dyDescent="0.2">
      <c r="B1472" t="s">
        <v>816</v>
      </c>
      <c r="C1472" t="s">
        <v>6160</v>
      </c>
      <c r="D1472">
        <v>7</v>
      </c>
      <c r="E1472" t="s">
        <v>3814</v>
      </c>
      <c r="F1472">
        <v>2</v>
      </c>
    </row>
    <row r="1473" spans="2:6" x14ac:dyDescent="0.2">
      <c r="B1473" t="s">
        <v>6161</v>
      </c>
      <c r="C1473" t="s">
        <v>6162</v>
      </c>
      <c r="D1473">
        <v>7</v>
      </c>
      <c r="E1473" t="s">
        <v>3495</v>
      </c>
      <c r="F1473">
        <v>3</v>
      </c>
    </row>
    <row r="1474" spans="2:6" x14ac:dyDescent="0.2">
      <c r="B1474" t="s">
        <v>6163</v>
      </c>
      <c r="C1474" t="s">
        <v>6164</v>
      </c>
      <c r="D1474">
        <v>7</v>
      </c>
      <c r="E1474" t="s">
        <v>3084</v>
      </c>
      <c r="F1474">
        <v>3</v>
      </c>
    </row>
    <row r="1475" spans="2:6" x14ac:dyDescent="0.2">
      <c r="B1475" t="s">
        <v>556</v>
      </c>
      <c r="C1475" t="s">
        <v>6165</v>
      </c>
      <c r="D1475">
        <v>7</v>
      </c>
      <c r="E1475" t="s">
        <v>2842</v>
      </c>
      <c r="F1475">
        <v>2</v>
      </c>
    </row>
    <row r="1476" spans="2:6" x14ac:dyDescent="0.2">
      <c r="B1476" t="s">
        <v>6166</v>
      </c>
      <c r="C1476" t="s">
        <v>6167</v>
      </c>
      <c r="D1476">
        <v>7</v>
      </c>
      <c r="E1476" t="s">
        <v>5474</v>
      </c>
      <c r="F1476">
        <v>1</v>
      </c>
    </row>
    <row r="1477" spans="2:6" x14ac:dyDescent="0.2">
      <c r="B1477" t="s">
        <v>6168</v>
      </c>
      <c r="C1477" t="s">
        <v>6169</v>
      </c>
      <c r="D1477">
        <v>7</v>
      </c>
      <c r="E1477" t="s">
        <v>6170</v>
      </c>
      <c r="F1477">
        <v>1</v>
      </c>
    </row>
    <row r="1478" spans="2:6" x14ac:dyDescent="0.2">
      <c r="B1478" t="s">
        <v>6171</v>
      </c>
      <c r="C1478" t="s">
        <v>6172</v>
      </c>
      <c r="D1478">
        <v>7</v>
      </c>
      <c r="E1478" t="s">
        <v>3713</v>
      </c>
      <c r="F1478">
        <v>1</v>
      </c>
    </row>
    <row r="1479" spans="2:6" x14ac:dyDescent="0.2">
      <c r="B1479" t="s">
        <v>1825</v>
      </c>
      <c r="C1479" t="s">
        <v>6173</v>
      </c>
      <c r="D1479">
        <v>7</v>
      </c>
      <c r="E1479" t="s">
        <v>3697</v>
      </c>
      <c r="F1479">
        <v>2</v>
      </c>
    </row>
    <row r="1480" spans="2:6" x14ac:dyDescent="0.2">
      <c r="B1480" t="s">
        <v>6174</v>
      </c>
      <c r="C1480" t="s">
        <v>6175</v>
      </c>
      <c r="D1480">
        <v>7</v>
      </c>
      <c r="E1480" t="s">
        <v>4520</v>
      </c>
      <c r="F1480">
        <v>3</v>
      </c>
    </row>
    <row r="1481" spans="2:6" x14ac:dyDescent="0.2">
      <c r="B1481" t="s">
        <v>6176</v>
      </c>
      <c r="C1481" t="s">
        <v>6177</v>
      </c>
      <c r="D1481">
        <v>7</v>
      </c>
      <c r="E1481" t="s">
        <v>6178</v>
      </c>
      <c r="F1481">
        <v>2</v>
      </c>
    </row>
    <row r="1482" spans="2:6" x14ac:dyDescent="0.2">
      <c r="B1482" t="s">
        <v>6179</v>
      </c>
      <c r="C1482" t="s">
        <v>6180</v>
      </c>
      <c r="D1482">
        <v>7</v>
      </c>
      <c r="E1482" t="s">
        <v>3187</v>
      </c>
      <c r="F1482">
        <v>3</v>
      </c>
    </row>
    <row r="1483" spans="2:6" x14ac:dyDescent="0.2">
      <c r="B1483" t="s">
        <v>642</v>
      </c>
      <c r="C1483" t="s">
        <v>6181</v>
      </c>
      <c r="D1483">
        <v>7</v>
      </c>
      <c r="E1483" t="s">
        <v>6182</v>
      </c>
      <c r="F1483">
        <v>12</v>
      </c>
    </row>
    <row r="1484" spans="2:6" x14ac:dyDescent="0.2">
      <c r="B1484" t="s">
        <v>6183</v>
      </c>
      <c r="C1484" t="s">
        <v>6184</v>
      </c>
      <c r="D1484">
        <v>7</v>
      </c>
      <c r="E1484" t="s">
        <v>4606</v>
      </c>
      <c r="F1484">
        <v>4</v>
      </c>
    </row>
    <row r="1485" spans="2:6" x14ac:dyDescent="0.2">
      <c r="B1485" t="s">
        <v>6185</v>
      </c>
      <c r="C1485" t="s">
        <v>6186</v>
      </c>
      <c r="D1485">
        <v>7</v>
      </c>
      <c r="E1485" t="s">
        <v>6187</v>
      </c>
      <c r="F1485">
        <v>3</v>
      </c>
    </row>
    <row r="1486" spans="2:6" x14ac:dyDescent="0.2">
      <c r="B1486" t="s">
        <v>6188</v>
      </c>
      <c r="C1486" t="s">
        <v>6189</v>
      </c>
      <c r="D1486">
        <v>7</v>
      </c>
      <c r="E1486" t="s">
        <v>3109</v>
      </c>
      <c r="F1486">
        <v>1</v>
      </c>
    </row>
    <row r="1487" spans="2:6" x14ac:dyDescent="0.2">
      <c r="B1487" t="s">
        <v>6190</v>
      </c>
      <c r="C1487" t="s">
        <v>6191</v>
      </c>
      <c r="D1487">
        <v>7</v>
      </c>
      <c r="E1487" t="s">
        <v>2895</v>
      </c>
      <c r="F1487">
        <v>1</v>
      </c>
    </row>
    <row r="1488" spans="2:6" x14ac:dyDescent="0.2">
      <c r="B1488" t="s">
        <v>6192</v>
      </c>
      <c r="C1488" t="s">
        <v>6193</v>
      </c>
      <c r="D1488">
        <v>7</v>
      </c>
      <c r="E1488" t="s">
        <v>6194</v>
      </c>
      <c r="F1488">
        <v>5</v>
      </c>
    </row>
    <row r="1489" spans="2:6" x14ac:dyDescent="0.2">
      <c r="B1489" t="s">
        <v>6195</v>
      </c>
      <c r="C1489" t="s">
        <v>6196</v>
      </c>
      <c r="D1489">
        <v>7</v>
      </c>
      <c r="E1489" t="s">
        <v>3901</v>
      </c>
      <c r="F1489">
        <v>1</v>
      </c>
    </row>
    <row r="1490" spans="2:6" x14ac:dyDescent="0.2">
      <c r="B1490" t="s">
        <v>6197</v>
      </c>
      <c r="C1490" t="s">
        <v>1196</v>
      </c>
      <c r="D1490">
        <v>7</v>
      </c>
      <c r="E1490" t="s">
        <v>6198</v>
      </c>
      <c r="F1490">
        <v>1</v>
      </c>
    </row>
    <row r="1491" spans="2:6" x14ac:dyDescent="0.2">
      <c r="B1491" t="s">
        <v>6199</v>
      </c>
      <c r="C1491" t="s">
        <v>6200</v>
      </c>
      <c r="D1491">
        <v>7</v>
      </c>
      <c r="E1491" t="s">
        <v>6201</v>
      </c>
      <c r="F1491">
        <v>10</v>
      </c>
    </row>
    <row r="1492" spans="2:6" x14ac:dyDescent="0.2">
      <c r="B1492">
        <v>2932364</v>
      </c>
      <c r="C1492" t="s">
        <v>6202</v>
      </c>
      <c r="D1492">
        <v>7</v>
      </c>
      <c r="E1492" t="s">
        <v>2811</v>
      </c>
      <c r="F1492">
        <v>1</v>
      </c>
    </row>
    <row r="1493" spans="2:6" x14ac:dyDescent="0.2">
      <c r="B1493" t="s">
        <v>6203</v>
      </c>
      <c r="C1493" t="s">
        <v>6204</v>
      </c>
      <c r="D1493">
        <v>7</v>
      </c>
      <c r="E1493" t="s">
        <v>6205</v>
      </c>
      <c r="F1493">
        <v>6</v>
      </c>
    </row>
    <row r="1494" spans="2:6" x14ac:dyDescent="0.2">
      <c r="B1494" t="s">
        <v>6206</v>
      </c>
      <c r="C1494" t="s">
        <v>6207</v>
      </c>
      <c r="D1494">
        <v>7</v>
      </c>
      <c r="E1494" t="s">
        <v>4335</v>
      </c>
      <c r="F1494">
        <v>1</v>
      </c>
    </row>
    <row r="1495" spans="2:6" x14ac:dyDescent="0.2">
      <c r="B1495" t="s">
        <v>6208</v>
      </c>
      <c r="C1495" t="s">
        <v>6209</v>
      </c>
      <c r="D1495">
        <v>7</v>
      </c>
      <c r="E1495" t="s">
        <v>3455</v>
      </c>
      <c r="F1495">
        <v>1</v>
      </c>
    </row>
    <row r="1496" spans="2:6" x14ac:dyDescent="0.2">
      <c r="B1496" t="s">
        <v>6210</v>
      </c>
      <c r="C1496" t="s">
        <v>6211</v>
      </c>
      <c r="D1496">
        <v>7</v>
      </c>
      <c r="E1496" t="s">
        <v>3742</v>
      </c>
      <c r="F1496">
        <v>5</v>
      </c>
    </row>
    <row r="1497" spans="2:6" x14ac:dyDescent="0.2">
      <c r="B1497" t="s">
        <v>6212</v>
      </c>
      <c r="C1497" t="s">
        <v>6213</v>
      </c>
      <c r="D1497">
        <v>7</v>
      </c>
      <c r="E1497" t="s">
        <v>4823</v>
      </c>
      <c r="F1497">
        <v>3</v>
      </c>
    </row>
    <row r="1498" spans="2:6" x14ac:dyDescent="0.2">
      <c r="B1498" t="s">
        <v>6214</v>
      </c>
      <c r="C1498" t="s">
        <v>6215</v>
      </c>
      <c r="D1498">
        <v>7</v>
      </c>
      <c r="E1498" t="s">
        <v>4520</v>
      </c>
      <c r="F1498">
        <v>1</v>
      </c>
    </row>
    <row r="1499" spans="2:6" x14ac:dyDescent="0.2">
      <c r="B1499" t="s">
        <v>6216</v>
      </c>
      <c r="C1499" t="s">
        <v>6217</v>
      </c>
      <c r="D1499">
        <v>7</v>
      </c>
      <c r="E1499" t="s">
        <v>2802</v>
      </c>
      <c r="F1499">
        <v>1</v>
      </c>
    </row>
    <row r="1500" spans="2:6" x14ac:dyDescent="0.2">
      <c r="B1500" t="s">
        <v>1039</v>
      </c>
      <c r="C1500" t="s">
        <v>6218</v>
      </c>
      <c r="D1500">
        <v>7</v>
      </c>
      <c r="E1500" t="s">
        <v>6219</v>
      </c>
      <c r="F1500">
        <v>8</v>
      </c>
    </row>
    <row r="1501" spans="2:6" x14ac:dyDescent="0.2">
      <c r="B1501" t="s">
        <v>6220</v>
      </c>
      <c r="C1501" t="s">
        <v>3009</v>
      </c>
      <c r="D1501">
        <v>7</v>
      </c>
      <c r="E1501" t="s">
        <v>6221</v>
      </c>
      <c r="F1501">
        <v>4</v>
      </c>
    </row>
    <row r="1502" spans="2:6" x14ac:dyDescent="0.2">
      <c r="B1502" t="s">
        <v>6222</v>
      </c>
      <c r="C1502" t="s">
        <v>6223</v>
      </c>
      <c r="D1502">
        <v>7</v>
      </c>
      <c r="E1502" t="s">
        <v>3067</v>
      </c>
      <c r="F1502">
        <v>1</v>
      </c>
    </row>
    <row r="1503" spans="2:6" x14ac:dyDescent="0.2">
      <c r="B1503" t="s">
        <v>6224</v>
      </c>
      <c r="C1503" t="s">
        <v>2963</v>
      </c>
      <c r="D1503">
        <v>7</v>
      </c>
      <c r="E1503" t="s">
        <v>6225</v>
      </c>
      <c r="F1503">
        <v>4</v>
      </c>
    </row>
    <row r="1504" spans="2:6" x14ac:dyDescent="0.2">
      <c r="B1504" t="s">
        <v>6226</v>
      </c>
      <c r="C1504" t="s">
        <v>6227</v>
      </c>
      <c r="D1504">
        <v>7</v>
      </c>
      <c r="E1504" t="s">
        <v>2811</v>
      </c>
      <c r="F1504">
        <v>3</v>
      </c>
    </row>
    <row r="1505" spans="2:6" x14ac:dyDescent="0.2">
      <c r="B1505" t="s">
        <v>6228</v>
      </c>
      <c r="C1505" t="s">
        <v>6229</v>
      </c>
      <c r="D1505">
        <v>7</v>
      </c>
      <c r="E1505" t="s">
        <v>2785</v>
      </c>
      <c r="F1505">
        <v>1</v>
      </c>
    </row>
    <row r="1506" spans="2:6" x14ac:dyDescent="0.2">
      <c r="B1506" t="s">
        <v>6230</v>
      </c>
      <c r="C1506" t="s">
        <v>6231</v>
      </c>
      <c r="D1506">
        <v>7</v>
      </c>
      <c r="E1506" t="s">
        <v>6050</v>
      </c>
      <c r="F1506">
        <v>1</v>
      </c>
    </row>
    <row r="1507" spans="2:6" x14ac:dyDescent="0.2">
      <c r="B1507" t="s">
        <v>6232</v>
      </c>
      <c r="C1507" t="s">
        <v>6233</v>
      </c>
      <c r="D1507">
        <v>7</v>
      </c>
      <c r="E1507" t="s">
        <v>4358</v>
      </c>
      <c r="F1507">
        <v>1</v>
      </c>
    </row>
    <row r="1508" spans="2:6" x14ac:dyDescent="0.2">
      <c r="B1508" t="s">
        <v>6234</v>
      </c>
      <c r="C1508" t="s">
        <v>6235</v>
      </c>
      <c r="D1508">
        <v>7</v>
      </c>
      <c r="E1508" t="s">
        <v>6236</v>
      </c>
      <c r="F1508">
        <v>4</v>
      </c>
    </row>
    <row r="1509" spans="2:6" x14ac:dyDescent="0.2">
      <c r="B1509" t="s">
        <v>6237</v>
      </c>
      <c r="C1509" t="s">
        <v>6238</v>
      </c>
      <c r="D1509">
        <v>7</v>
      </c>
      <c r="E1509" t="s">
        <v>3201</v>
      </c>
      <c r="F1509">
        <v>6</v>
      </c>
    </row>
    <row r="1510" spans="2:6" x14ac:dyDescent="0.2">
      <c r="B1510" t="s">
        <v>1594</v>
      </c>
      <c r="C1510" t="s">
        <v>6239</v>
      </c>
      <c r="D1510">
        <v>7</v>
      </c>
      <c r="E1510" t="s">
        <v>3674</v>
      </c>
      <c r="F1510">
        <v>1</v>
      </c>
    </row>
    <row r="1511" spans="2:6" x14ac:dyDescent="0.2">
      <c r="B1511" t="s">
        <v>1536</v>
      </c>
      <c r="C1511" t="s">
        <v>6240</v>
      </c>
      <c r="D1511">
        <v>7</v>
      </c>
      <c r="E1511" t="s">
        <v>2997</v>
      </c>
      <c r="F1511">
        <v>3</v>
      </c>
    </row>
    <row r="1512" spans="2:6" x14ac:dyDescent="0.2">
      <c r="B1512" t="s">
        <v>6241</v>
      </c>
      <c r="C1512" t="s">
        <v>6242</v>
      </c>
      <c r="D1512">
        <v>7</v>
      </c>
      <c r="E1512" t="s">
        <v>3139</v>
      </c>
      <c r="F1512">
        <v>1</v>
      </c>
    </row>
    <row r="1513" spans="2:6" x14ac:dyDescent="0.2">
      <c r="B1513" t="s">
        <v>6243</v>
      </c>
      <c r="C1513" t="s">
        <v>6244</v>
      </c>
      <c r="D1513">
        <v>7</v>
      </c>
      <c r="E1513" t="s">
        <v>2788</v>
      </c>
      <c r="F1513">
        <v>2</v>
      </c>
    </row>
    <row r="1514" spans="2:6" x14ac:dyDescent="0.2">
      <c r="B1514" t="s">
        <v>6245</v>
      </c>
      <c r="C1514" t="s">
        <v>6246</v>
      </c>
      <c r="D1514">
        <v>7</v>
      </c>
      <c r="E1514" t="s">
        <v>4104</v>
      </c>
      <c r="F1514">
        <v>3</v>
      </c>
    </row>
    <row r="1515" spans="2:6" x14ac:dyDescent="0.2">
      <c r="B1515" t="s">
        <v>6247</v>
      </c>
      <c r="C1515" t="s">
        <v>6248</v>
      </c>
      <c r="D1515">
        <v>7</v>
      </c>
      <c r="E1515" t="s">
        <v>6249</v>
      </c>
      <c r="F1515">
        <v>1</v>
      </c>
    </row>
    <row r="1516" spans="2:6" x14ac:dyDescent="0.2">
      <c r="B1516" t="s">
        <v>6250</v>
      </c>
      <c r="C1516" t="s">
        <v>6251</v>
      </c>
      <c r="D1516">
        <v>7</v>
      </c>
      <c r="E1516" t="s">
        <v>6252</v>
      </c>
      <c r="F1516">
        <v>3</v>
      </c>
    </row>
    <row r="1517" spans="2:6" x14ac:dyDescent="0.2">
      <c r="B1517" t="s">
        <v>6253</v>
      </c>
      <c r="C1517" t="s">
        <v>6254</v>
      </c>
      <c r="D1517">
        <v>7</v>
      </c>
      <c r="E1517" t="s">
        <v>3106</v>
      </c>
      <c r="F1517">
        <v>1</v>
      </c>
    </row>
    <row r="1518" spans="2:6" x14ac:dyDescent="0.2">
      <c r="B1518" t="s">
        <v>6255</v>
      </c>
      <c r="C1518" t="s">
        <v>6256</v>
      </c>
      <c r="D1518">
        <v>7</v>
      </c>
      <c r="E1518" t="s">
        <v>6257</v>
      </c>
      <c r="F1518">
        <v>2</v>
      </c>
    </row>
    <row r="1519" spans="2:6" x14ac:dyDescent="0.2">
      <c r="B1519" t="s">
        <v>6258</v>
      </c>
      <c r="C1519" t="s">
        <v>6259</v>
      </c>
      <c r="D1519">
        <v>7</v>
      </c>
      <c r="E1519" t="s">
        <v>3335</v>
      </c>
      <c r="F1519">
        <v>2</v>
      </c>
    </row>
    <row r="1520" spans="2:6" x14ac:dyDescent="0.2">
      <c r="B1520" t="s">
        <v>512</v>
      </c>
      <c r="C1520" t="s">
        <v>6260</v>
      </c>
      <c r="D1520">
        <v>7</v>
      </c>
      <c r="E1520" t="s">
        <v>5932</v>
      </c>
      <c r="F1520">
        <v>1</v>
      </c>
    </row>
    <row r="1521" spans="2:6" x14ac:dyDescent="0.2">
      <c r="B1521" t="s">
        <v>308</v>
      </c>
      <c r="C1521" t="s">
        <v>6261</v>
      </c>
      <c r="D1521">
        <v>7</v>
      </c>
      <c r="E1521" t="s">
        <v>6262</v>
      </c>
      <c r="F1521">
        <v>1</v>
      </c>
    </row>
    <row r="1522" spans="2:6" x14ac:dyDescent="0.2">
      <c r="B1522" t="s">
        <v>6263</v>
      </c>
      <c r="C1522" t="s">
        <v>6264</v>
      </c>
      <c r="D1522">
        <v>7</v>
      </c>
      <c r="E1522" t="s">
        <v>6265</v>
      </c>
      <c r="F1522">
        <v>3</v>
      </c>
    </row>
    <row r="1523" spans="2:6" x14ac:dyDescent="0.2">
      <c r="B1523" t="s">
        <v>6266</v>
      </c>
      <c r="C1523" t="s">
        <v>6267</v>
      </c>
      <c r="D1523">
        <v>7</v>
      </c>
      <c r="E1523" t="s">
        <v>6268</v>
      </c>
      <c r="F1523">
        <v>3</v>
      </c>
    </row>
    <row r="1524" spans="2:6" x14ac:dyDescent="0.2">
      <c r="B1524" t="s">
        <v>6269</v>
      </c>
      <c r="C1524" t="s">
        <v>6270</v>
      </c>
      <c r="D1524">
        <v>7</v>
      </c>
      <c r="E1524" t="s">
        <v>3773</v>
      </c>
      <c r="F1524">
        <v>7</v>
      </c>
    </row>
    <row r="1525" spans="2:6" x14ac:dyDescent="0.2">
      <c r="B1525" t="s">
        <v>6271</v>
      </c>
      <c r="C1525" t="s">
        <v>6272</v>
      </c>
      <c r="D1525">
        <v>7</v>
      </c>
      <c r="E1525" t="s">
        <v>6273</v>
      </c>
      <c r="F1525">
        <v>8</v>
      </c>
    </row>
    <row r="1526" spans="2:6" x14ac:dyDescent="0.2">
      <c r="B1526" t="s">
        <v>810</v>
      </c>
      <c r="C1526" t="s">
        <v>6274</v>
      </c>
      <c r="D1526">
        <v>7</v>
      </c>
      <c r="E1526" t="s">
        <v>3162</v>
      </c>
      <c r="F1526">
        <v>2</v>
      </c>
    </row>
    <row r="1527" spans="2:6" x14ac:dyDescent="0.2">
      <c r="B1527" t="s">
        <v>6275</v>
      </c>
      <c r="C1527" t="s">
        <v>6276</v>
      </c>
      <c r="D1527">
        <v>7</v>
      </c>
      <c r="E1527" t="s">
        <v>3119</v>
      </c>
      <c r="F1527">
        <v>2</v>
      </c>
    </row>
    <row r="1528" spans="2:6" x14ac:dyDescent="0.2">
      <c r="B1528" t="s">
        <v>814</v>
      </c>
      <c r="C1528" t="s">
        <v>6277</v>
      </c>
      <c r="D1528">
        <v>7</v>
      </c>
      <c r="E1528" t="s">
        <v>3036</v>
      </c>
      <c r="F1528">
        <v>3</v>
      </c>
    </row>
    <row r="1529" spans="2:6" x14ac:dyDescent="0.2">
      <c r="B1529" t="s">
        <v>6278</v>
      </c>
      <c r="C1529" t="s">
        <v>6279</v>
      </c>
      <c r="D1529">
        <v>7</v>
      </c>
      <c r="E1529" t="s">
        <v>6280</v>
      </c>
      <c r="F1529">
        <v>4</v>
      </c>
    </row>
    <row r="1530" spans="2:6" x14ac:dyDescent="0.2">
      <c r="B1530" t="s">
        <v>6281</v>
      </c>
      <c r="C1530" t="s">
        <v>6282</v>
      </c>
      <c r="D1530">
        <v>7</v>
      </c>
      <c r="E1530" t="s">
        <v>3235</v>
      </c>
      <c r="F1530">
        <v>1</v>
      </c>
    </row>
    <row r="1531" spans="2:6" x14ac:dyDescent="0.2">
      <c r="B1531" t="s">
        <v>6283</v>
      </c>
      <c r="C1531" t="s">
        <v>5351</v>
      </c>
      <c r="D1531">
        <v>7</v>
      </c>
      <c r="E1531" t="s">
        <v>6284</v>
      </c>
      <c r="F1531">
        <v>34</v>
      </c>
    </row>
    <row r="1532" spans="2:6" x14ac:dyDescent="0.2">
      <c r="B1532" t="s">
        <v>6285</v>
      </c>
      <c r="C1532" t="s">
        <v>6286</v>
      </c>
      <c r="D1532">
        <v>7</v>
      </c>
      <c r="E1532" t="s">
        <v>6287</v>
      </c>
      <c r="F1532">
        <v>6</v>
      </c>
    </row>
    <row r="1533" spans="2:6" x14ac:dyDescent="0.2">
      <c r="B1533" t="s">
        <v>6288</v>
      </c>
      <c r="C1533" t="s">
        <v>6289</v>
      </c>
      <c r="D1533">
        <v>7</v>
      </c>
      <c r="E1533" t="s">
        <v>3933</v>
      </c>
      <c r="F1533">
        <v>12</v>
      </c>
    </row>
    <row r="1534" spans="2:6" x14ac:dyDescent="0.2">
      <c r="B1534" t="s">
        <v>6290</v>
      </c>
      <c r="C1534" t="s">
        <v>6291</v>
      </c>
      <c r="D1534">
        <v>7</v>
      </c>
      <c r="E1534" t="s">
        <v>2892</v>
      </c>
      <c r="F1534">
        <v>1</v>
      </c>
    </row>
    <row r="1535" spans="2:6" x14ac:dyDescent="0.2">
      <c r="B1535" t="s">
        <v>6292</v>
      </c>
      <c r="C1535" t="s">
        <v>6293</v>
      </c>
      <c r="D1535">
        <v>7</v>
      </c>
      <c r="E1535" t="s">
        <v>3213</v>
      </c>
      <c r="F1535">
        <v>1</v>
      </c>
    </row>
    <row r="1536" spans="2:6" x14ac:dyDescent="0.2">
      <c r="B1536" t="s">
        <v>6294</v>
      </c>
      <c r="C1536" t="s">
        <v>6295</v>
      </c>
      <c r="D1536">
        <v>7</v>
      </c>
      <c r="E1536" t="s">
        <v>4972</v>
      </c>
      <c r="F1536">
        <v>1</v>
      </c>
    </row>
    <row r="1537" spans="2:6" x14ac:dyDescent="0.2">
      <c r="B1537" t="s">
        <v>6296</v>
      </c>
      <c r="C1537" t="s">
        <v>6297</v>
      </c>
      <c r="D1537">
        <v>7</v>
      </c>
      <c r="E1537" t="s">
        <v>6298</v>
      </c>
      <c r="F1537">
        <v>7</v>
      </c>
    </row>
    <row r="1538" spans="2:6" x14ac:dyDescent="0.2">
      <c r="B1538" t="s">
        <v>6299</v>
      </c>
      <c r="C1538" t="s">
        <v>6300</v>
      </c>
      <c r="D1538">
        <v>7</v>
      </c>
      <c r="E1538" t="s">
        <v>6301</v>
      </c>
      <c r="F1538">
        <v>1</v>
      </c>
    </row>
    <row r="1539" spans="2:6" x14ac:dyDescent="0.2">
      <c r="B1539" t="s">
        <v>6302</v>
      </c>
      <c r="C1539" t="s">
        <v>6303</v>
      </c>
      <c r="D1539">
        <v>7</v>
      </c>
      <c r="E1539" t="s">
        <v>2921</v>
      </c>
      <c r="F1539">
        <v>5</v>
      </c>
    </row>
    <row r="1540" spans="2:6" x14ac:dyDescent="0.2">
      <c r="B1540" t="s">
        <v>6304</v>
      </c>
      <c r="C1540" t="s">
        <v>6305</v>
      </c>
      <c r="D1540">
        <v>7</v>
      </c>
      <c r="E1540" t="s">
        <v>3109</v>
      </c>
      <c r="F1540">
        <v>3</v>
      </c>
    </row>
    <row r="1541" spans="2:6" x14ac:dyDescent="0.2">
      <c r="B1541" t="s">
        <v>6306</v>
      </c>
      <c r="C1541" t="s">
        <v>6307</v>
      </c>
      <c r="D1541">
        <v>7</v>
      </c>
      <c r="E1541" t="s">
        <v>3495</v>
      </c>
      <c r="F1541">
        <v>1</v>
      </c>
    </row>
    <row r="1542" spans="2:6" x14ac:dyDescent="0.2">
      <c r="B1542" t="s">
        <v>6308</v>
      </c>
      <c r="C1542" t="s">
        <v>6309</v>
      </c>
      <c r="D1542">
        <v>7</v>
      </c>
      <c r="E1542" t="s">
        <v>4273</v>
      </c>
      <c r="F1542">
        <v>1</v>
      </c>
    </row>
    <row r="1543" spans="2:6" x14ac:dyDescent="0.2">
      <c r="B1543" t="s">
        <v>6310</v>
      </c>
      <c r="C1543" t="s">
        <v>6311</v>
      </c>
      <c r="D1543">
        <v>7</v>
      </c>
      <c r="E1543" t="s">
        <v>3205</v>
      </c>
      <c r="F1543">
        <v>1</v>
      </c>
    </row>
    <row r="1544" spans="2:6" x14ac:dyDescent="0.2">
      <c r="B1544" t="s">
        <v>6312</v>
      </c>
      <c r="C1544" t="s">
        <v>6313</v>
      </c>
      <c r="D1544">
        <v>7</v>
      </c>
      <c r="E1544" t="s">
        <v>6314</v>
      </c>
      <c r="F1544">
        <v>8</v>
      </c>
    </row>
    <row r="1545" spans="2:6" x14ac:dyDescent="0.2">
      <c r="B1545" t="s">
        <v>6315</v>
      </c>
      <c r="C1545" t="s">
        <v>6316</v>
      </c>
      <c r="D1545">
        <v>7</v>
      </c>
      <c r="E1545" t="s">
        <v>2850</v>
      </c>
      <c r="F1545">
        <v>1</v>
      </c>
    </row>
    <row r="1546" spans="2:6" x14ac:dyDescent="0.2">
      <c r="B1546" t="s">
        <v>6317</v>
      </c>
      <c r="C1546" t="s">
        <v>6318</v>
      </c>
      <c r="D1546">
        <v>7</v>
      </c>
      <c r="E1546" t="s">
        <v>6319</v>
      </c>
      <c r="F1546">
        <v>6</v>
      </c>
    </row>
    <row r="1547" spans="2:6" x14ac:dyDescent="0.2">
      <c r="B1547" t="s">
        <v>6320</v>
      </c>
      <c r="C1547" t="s">
        <v>6321</v>
      </c>
      <c r="D1547">
        <v>7</v>
      </c>
      <c r="E1547" t="s">
        <v>5728</v>
      </c>
      <c r="F1547">
        <v>1</v>
      </c>
    </row>
    <row r="1548" spans="2:6" x14ac:dyDescent="0.2">
      <c r="B1548" t="s">
        <v>1029</v>
      </c>
      <c r="C1548" t="s">
        <v>6322</v>
      </c>
      <c r="D1548">
        <v>7</v>
      </c>
      <c r="E1548" t="s">
        <v>6323</v>
      </c>
      <c r="F1548">
        <v>12</v>
      </c>
    </row>
    <row r="1549" spans="2:6" x14ac:dyDescent="0.2">
      <c r="B1549" t="s">
        <v>6324</v>
      </c>
      <c r="C1549" t="s">
        <v>6325</v>
      </c>
      <c r="D1549">
        <v>7</v>
      </c>
      <c r="E1549" t="s">
        <v>2785</v>
      </c>
      <c r="F1549">
        <v>1</v>
      </c>
    </row>
    <row r="1550" spans="2:6" x14ac:dyDescent="0.2">
      <c r="B1550" t="s">
        <v>899</v>
      </c>
      <c r="C1550" t="s">
        <v>6326</v>
      </c>
      <c r="D1550">
        <v>7</v>
      </c>
      <c r="E1550" t="s">
        <v>3092</v>
      </c>
      <c r="F1550">
        <v>1</v>
      </c>
    </row>
    <row r="1551" spans="2:6" x14ac:dyDescent="0.2">
      <c r="B1551" t="s">
        <v>6327</v>
      </c>
      <c r="C1551" t="s">
        <v>6328</v>
      </c>
      <c r="D1551">
        <v>7</v>
      </c>
      <c r="E1551" t="s">
        <v>3442</v>
      </c>
      <c r="F1551">
        <v>1</v>
      </c>
    </row>
    <row r="1552" spans="2:6" x14ac:dyDescent="0.2">
      <c r="B1552" t="s">
        <v>6329</v>
      </c>
      <c r="C1552" t="s">
        <v>6330</v>
      </c>
      <c r="D1552">
        <v>7</v>
      </c>
      <c r="E1552" t="s">
        <v>2892</v>
      </c>
      <c r="F1552">
        <v>4</v>
      </c>
    </row>
    <row r="1553" spans="2:6" x14ac:dyDescent="0.2">
      <c r="B1553" t="s">
        <v>6331</v>
      </c>
      <c r="C1553" t="s">
        <v>6332</v>
      </c>
      <c r="D1553">
        <v>7</v>
      </c>
      <c r="E1553" t="s">
        <v>6333</v>
      </c>
      <c r="F1553">
        <v>2</v>
      </c>
    </row>
    <row r="1554" spans="2:6" x14ac:dyDescent="0.2">
      <c r="B1554" t="s">
        <v>6334</v>
      </c>
      <c r="C1554" t="s">
        <v>6335</v>
      </c>
      <c r="D1554">
        <v>7</v>
      </c>
      <c r="E1554" t="s">
        <v>3455</v>
      </c>
      <c r="F1554">
        <v>30</v>
      </c>
    </row>
    <row r="1555" spans="2:6" x14ac:dyDescent="0.2">
      <c r="B1555" t="s">
        <v>6336</v>
      </c>
      <c r="C1555" t="s">
        <v>6337</v>
      </c>
      <c r="D1555">
        <v>7</v>
      </c>
      <c r="E1555" t="s">
        <v>6338</v>
      </c>
      <c r="F1555">
        <v>2</v>
      </c>
    </row>
    <row r="1556" spans="2:6" x14ac:dyDescent="0.2">
      <c r="B1556" t="s">
        <v>692</v>
      </c>
      <c r="C1556" t="s">
        <v>6339</v>
      </c>
      <c r="D1556">
        <v>7</v>
      </c>
      <c r="E1556" t="s">
        <v>6340</v>
      </c>
      <c r="F1556">
        <v>2</v>
      </c>
    </row>
    <row r="1557" spans="2:6" x14ac:dyDescent="0.2">
      <c r="B1557" t="s">
        <v>6341</v>
      </c>
      <c r="C1557" t="s">
        <v>6342</v>
      </c>
      <c r="D1557">
        <v>7</v>
      </c>
      <c r="E1557" t="s">
        <v>3106</v>
      </c>
      <c r="F1557">
        <v>4</v>
      </c>
    </row>
    <row r="1558" spans="2:6" x14ac:dyDescent="0.2">
      <c r="B1558" t="s">
        <v>6343</v>
      </c>
      <c r="C1558" t="s">
        <v>6344</v>
      </c>
      <c r="D1558">
        <v>7</v>
      </c>
      <c r="E1558" t="s">
        <v>3316</v>
      </c>
      <c r="F1558">
        <v>2</v>
      </c>
    </row>
    <row r="1559" spans="2:6" x14ac:dyDescent="0.2">
      <c r="B1559" t="s">
        <v>1008</v>
      </c>
      <c r="C1559" t="s">
        <v>6345</v>
      </c>
      <c r="D1559">
        <v>7</v>
      </c>
      <c r="E1559" t="s">
        <v>3119</v>
      </c>
      <c r="F1559">
        <v>1</v>
      </c>
    </row>
    <row r="1560" spans="2:6" x14ac:dyDescent="0.2">
      <c r="B1560" t="s">
        <v>6346</v>
      </c>
      <c r="C1560" t="s">
        <v>6347</v>
      </c>
      <c r="D1560">
        <v>7</v>
      </c>
      <c r="E1560" t="s">
        <v>4335</v>
      </c>
      <c r="F1560">
        <v>2</v>
      </c>
    </row>
    <row r="1561" spans="2:6" x14ac:dyDescent="0.2">
      <c r="B1561" t="s">
        <v>6348</v>
      </c>
      <c r="C1561" t="s">
        <v>6349</v>
      </c>
      <c r="D1561">
        <v>7</v>
      </c>
      <c r="E1561" t="s">
        <v>6350</v>
      </c>
      <c r="F1561">
        <v>2</v>
      </c>
    </row>
    <row r="1562" spans="2:6" x14ac:dyDescent="0.2">
      <c r="B1562" t="s">
        <v>6351</v>
      </c>
      <c r="C1562" t="s">
        <v>6352</v>
      </c>
      <c r="D1562">
        <v>7</v>
      </c>
      <c r="E1562" t="s">
        <v>3036</v>
      </c>
      <c r="F1562">
        <v>2</v>
      </c>
    </row>
    <row r="1563" spans="2:6" x14ac:dyDescent="0.2">
      <c r="B1563" t="s">
        <v>2025</v>
      </c>
      <c r="C1563" t="s">
        <v>6353</v>
      </c>
      <c r="D1563">
        <v>7</v>
      </c>
      <c r="E1563" t="s">
        <v>3865</v>
      </c>
      <c r="F1563">
        <v>4</v>
      </c>
    </row>
    <row r="1564" spans="2:6" x14ac:dyDescent="0.2">
      <c r="B1564" t="s">
        <v>6354</v>
      </c>
      <c r="C1564" t="s">
        <v>6355</v>
      </c>
      <c r="D1564">
        <v>7</v>
      </c>
      <c r="E1564" t="s">
        <v>6356</v>
      </c>
      <c r="F1564">
        <v>1</v>
      </c>
    </row>
    <row r="1565" spans="2:6" x14ac:dyDescent="0.2">
      <c r="B1565" t="s">
        <v>6357</v>
      </c>
      <c r="C1565" t="s">
        <v>6358</v>
      </c>
      <c r="D1565">
        <v>7</v>
      </c>
      <c r="E1565" t="s">
        <v>6359</v>
      </c>
      <c r="F1565">
        <v>19</v>
      </c>
    </row>
    <row r="1566" spans="2:6" x14ac:dyDescent="0.2">
      <c r="B1566" t="s">
        <v>788</v>
      </c>
      <c r="C1566" t="s">
        <v>6360</v>
      </c>
      <c r="D1566">
        <v>7</v>
      </c>
      <c r="E1566" t="s">
        <v>4629</v>
      </c>
      <c r="F1566">
        <v>47</v>
      </c>
    </row>
    <row r="1567" spans="2:6" x14ac:dyDescent="0.2">
      <c r="B1567" t="s">
        <v>6361</v>
      </c>
      <c r="C1567" t="s">
        <v>6362</v>
      </c>
      <c r="D1567">
        <v>7</v>
      </c>
      <c r="E1567" t="s">
        <v>4528</v>
      </c>
      <c r="F1567">
        <v>1</v>
      </c>
    </row>
    <row r="1568" spans="2:6" x14ac:dyDescent="0.2">
      <c r="B1568" t="s">
        <v>6363</v>
      </c>
      <c r="C1568" t="s">
        <v>4790</v>
      </c>
      <c r="D1568">
        <v>7</v>
      </c>
      <c r="E1568" t="s">
        <v>3067</v>
      </c>
      <c r="F1568">
        <v>1</v>
      </c>
    </row>
    <row r="1569" spans="2:6" x14ac:dyDescent="0.2">
      <c r="B1569" t="s">
        <v>6364</v>
      </c>
      <c r="C1569" t="s">
        <v>6365</v>
      </c>
      <c r="D1569">
        <v>7</v>
      </c>
      <c r="E1569" t="s">
        <v>3674</v>
      </c>
      <c r="F1569">
        <v>2</v>
      </c>
    </row>
    <row r="1570" spans="2:6" x14ac:dyDescent="0.2">
      <c r="B1570" t="s">
        <v>6366</v>
      </c>
      <c r="C1570" t="s">
        <v>6367</v>
      </c>
      <c r="D1570">
        <v>7</v>
      </c>
      <c r="E1570" t="s">
        <v>2906</v>
      </c>
      <c r="F1570">
        <v>6</v>
      </c>
    </row>
    <row r="1571" spans="2:6" x14ac:dyDescent="0.2">
      <c r="B1571" t="s">
        <v>6368</v>
      </c>
      <c r="C1571" t="s">
        <v>6369</v>
      </c>
      <c r="D1571">
        <v>7</v>
      </c>
      <c r="E1571" t="s">
        <v>6370</v>
      </c>
      <c r="F1571">
        <v>2</v>
      </c>
    </row>
    <row r="1572" spans="2:6" x14ac:dyDescent="0.2">
      <c r="B1572" t="s">
        <v>6371</v>
      </c>
      <c r="C1572" t="s">
        <v>6372</v>
      </c>
      <c r="D1572">
        <v>7</v>
      </c>
      <c r="E1572" t="s">
        <v>3628</v>
      </c>
      <c r="F1572">
        <v>1</v>
      </c>
    </row>
    <row r="1573" spans="2:6" x14ac:dyDescent="0.2">
      <c r="B1573" t="s">
        <v>6373</v>
      </c>
      <c r="C1573" t="s">
        <v>6374</v>
      </c>
      <c r="D1573">
        <v>7</v>
      </c>
      <c r="E1573" t="s">
        <v>3702</v>
      </c>
      <c r="F1573">
        <v>3</v>
      </c>
    </row>
    <row r="1574" spans="2:6" x14ac:dyDescent="0.2">
      <c r="B1574" t="s">
        <v>6375</v>
      </c>
      <c r="C1574" t="s">
        <v>6376</v>
      </c>
      <c r="D1574">
        <v>7</v>
      </c>
      <c r="E1574" t="s">
        <v>3586</v>
      </c>
      <c r="F1574">
        <v>2</v>
      </c>
    </row>
    <row r="1575" spans="2:6" x14ac:dyDescent="0.2">
      <c r="B1575" t="s">
        <v>1645</v>
      </c>
      <c r="C1575" t="s">
        <v>6377</v>
      </c>
      <c r="D1575">
        <v>7</v>
      </c>
      <c r="E1575" t="s">
        <v>3824</v>
      </c>
      <c r="F1575">
        <v>1</v>
      </c>
    </row>
    <row r="1576" spans="2:6" x14ac:dyDescent="0.2">
      <c r="B1576" t="s">
        <v>6378</v>
      </c>
      <c r="C1576" t="s">
        <v>6379</v>
      </c>
      <c r="D1576">
        <v>7</v>
      </c>
      <c r="E1576" t="s">
        <v>6380</v>
      </c>
      <c r="F1576">
        <v>7</v>
      </c>
    </row>
    <row r="1577" spans="2:6" x14ac:dyDescent="0.2">
      <c r="B1577" t="s">
        <v>6381</v>
      </c>
      <c r="C1577" t="s">
        <v>6382</v>
      </c>
      <c r="D1577">
        <v>7</v>
      </c>
      <c r="E1577" t="s">
        <v>6383</v>
      </c>
      <c r="F1577">
        <v>11</v>
      </c>
    </row>
    <row r="1578" spans="2:6" x14ac:dyDescent="0.2">
      <c r="B1578" t="s">
        <v>1068</v>
      </c>
      <c r="C1578" t="s">
        <v>6384</v>
      </c>
      <c r="D1578">
        <v>7</v>
      </c>
      <c r="E1578" t="s">
        <v>6385</v>
      </c>
      <c r="F1578">
        <v>2</v>
      </c>
    </row>
    <row r="1579" spans="2:6" x14ac:dyDescent="0.2">
      <c r="B1579" t="s">
        <v>6386</v>
      </c>
      <c r="C1579" t="s">
        <v>6387</v>
      </c>
      <c r="D1579">
        <v>7</v>
      </c>
      <c r="E1579" t="s">
        <v>6388</v>
      </c>
      <c r="F1579">
        <v>12</v>
      </c>
    </row>
    <row r="1580" spans="2:6" x14ac:dyDescent="0.2">
      <c r="B1580" t="s">
        <v>6389</v>
      </c>
      <c r="C1580" t="s">
        <v>6390</v>
      </c>
      <c r="D1580">
        <v>7</v>
      </c>
      <c r="E1580" t="s">
        <v>3455</v>
      </c>
      <c r="F1580">
        <v>6</v>
      </c>
    </row>
    <row r="1581" spans="2:6" x14ac:dyDescent="0.2">
      <c r="B1581" t="s">
        <v>1844</v>
      </c>
      <c r="C1581" t="s">
        <v>6391</v>
      </c>
      <c r="D1581">
        <v>7</v>
      </c>
      <c r="E1581" t="s">
        <v>3106</v>
      </c>
      <c r="F1581">
        <v>1</v>
      </c>
    </row>
    <row r="1582" spans="2:6" x14ac:dyDescent="0.2">
      <c r="B1582" t="s">
        <v>6392</v>
      </c>
      <c r="C1582" t="s">
        <v>6393</v>
      </c>
      <c r="D1582">
        <v>7</v>
      </c>
      <c r="E1582" t="s">
        <v>2915</v>
      </c>
      <c r="F1582">
        <v>2</v>
      </c>
    </row>
    <row r="1583" spans="2:6" x14ac:dyDescent="0.2">
      <c r="B1583" t="s">
        <v>6394</v>
      </c>
      <c r="C1583" t="s">
        <v>6395</v>
      </c>
      <c r="D1583">
        <v>7</v>
      </c>
      <c r="E1583" t="s">
        <v>6396</v>
      </c>
      <c r="F1583">
        <v>2</v>
      </c>
    </row>
    <row r="1584" spans="2:6" x14ac:dyDescent="0.2">
      <c r="B1584" t="s">
        <v>6397</v>
      </c>
      <c r="C1584" t="s">
        <v>6398</v>
      </c>
      <c r="D1584">
        <v>7</v>
      </c>
      <c r="E1584" t="s">
        <v>6399</v>
      </c>
      <c r="F1584">
        <v>1</v>
      </c>
    </row>
    <row r="1585" spans="2:6" x14ac:dyDescent="0.2">
      <c r="B1585" t="s">
        <v>6400</v>
      </c>
      <c r="C1585" t="s">
        <v>6401</v>
      </c>
      <c r="D1585">
        <v>7</v>
      </c>
      <c r="E1585" t="s">
        <v>3960</v>
      </c>
      <c r="F1585">
        <v>1</v>
      </c>
    </row>
    <row r="1586" spans="2:6" x14ac:dyDescent="0.2">
      <c r="B1586" t="s">
        <v>6402</v>
      </c>
      <c r="C1586" t="s">
        <v>6403</v>
      </c>
      <c r="D1586">
        <v>7</v>
      </c>
      <c r="E1586" t="s">
        <v>4081</v>
      </c>
      <c r="F1586">
        <v>2</v>
      </c>
    </row>
    <row r="1587" spans="2:6" x14ac:dyDescent="0.2">
      <c r="B1587" t="s">
        <v>1033</v>
      </c>
      <c r="C1587" t="s">
        <v>6404</v>
      </c>
      <c r="D1587">
        <v>7</v>
      </c>
      <c r="E1587" t="s">
        <v>4629</v>
      </c>
      <c r="F1587">
        <v>3</v>
      </c>
    </row>
    <row r="1588" spans="2:6" x14ac:dyDescent="0.2">
      <c r="B1588" t="s">
        <v>6405</v>
      </c>
      <c r="C1588" t="s">
        <v>6406</v>
      </c>
      <c r="D1588">
        <v>7</v>
      </c>
      <c r="E1588" t="s">
        <v>6407</v>
      </c>
      <c r="F1588">
        <v>2</v>
      </c>
    </row>
    <row r="1589" spans="2:6" x14ac:dyDescent="0.2">
      <c r="B1589" t="s">
        <v>6408</v>
      </c>
      <c r="C1589" t="s">
        <v>6409</v>
      </c>
      <c r="D1589">
        <v>7</v>
      </c>
      <c r="E1589" t="s">
        <v>6410</v>
      </c>
      <c r="F1589">
        <v>8</v>
      </c>
    </row>
    <row r="1590" spans="2:6" x14ac:dyDescent="0.2">
      <c r="B1590" t="s">
        <v>6411</v>
      </c>
      <c r="C1590" t="s">
        <v>6412</v>
      </c>
      <c r="D1590">
        <v>7</v>
      </c>
      <c r="E1590" t="s">
        <v>2811</v>
      </c>
      <c r="F1590">
        <v>1</v>
      </c>
    </row>
    <row r="1591" spans="2:6" x14ac:dyDescent="0.2">
      <c r="B1591" t="s">
        <v>6413</v>
      </c>
      <c r="C1591" t="s">
        <v>6414</v>
      </c>
      <c r="D1591">
        <v>7</v>
      </c>
      <c r="E1591" t="s">
        <v>6415</v>
      </c>
      <c r="F1591">
        <v>30</v>
      </c>
    </row>
    <row r="1592" spans="2:6" x14ac:dyDescent="0.2">
      <c r="B1592" t="s">
        <v>6416</v>
      </c>
      <c r="C1592" t="s">
        <v>6417</v>
      </c>
      <c r="D1592">
        <v>7</v>
      </c>
      <c r="E1592" t="s">
        <v>3375</v>
      </c>
      <c r="F1592">
        <v>31</v>
      </c>
    </row>
    <row r="1593" spans="2:6" x14ac:dyDescent="0.2">
      <c r="B1593" t="s">
        <v>6418</v>
      </c>
      <c r="C1593" t="s">
        <v>6419</v>
      </c>
      <c r="D1593">
        <v>7</v>
      </c>
      <c r="E1593" t="s">
        <v>6420</v>
      </c>
      <c r="F1593">
        <v>1</v>
      </c>
    </row>
    <row r="1594" spans="2:6" x14ac:dyDescent="0.2">
      <c r="B1594" t="s">
        <v>6421</v>
      </c>
      <c r="C1594" t="s">
        <v>6422</v>
      </c>
      <c r="D1594">
        <v>7</v>
      </c>
      <c r="E1594" t="s">
        <v>6423</v>
      </c>
      <c r="F1594">
        <v>2</v>
      </c>
    </row>
    <row r="1595" spans="2:6" x14ac:dyDescent="0.2">
      <c r="B1595" t="s">
        <v>6424</v>
      </c>
      <c r="C1595" t="s">
        <v>6425</v>
      </c>
      <c r="D1595">
        <v>7</v>
      </c>
      <c r="E1595" t="s">
        <v>4709</v>
      </c>
      <c r="F1595">
        <v>1</v>
      </c>
    </row>
    <row r="1596" spans="2:6" x14ac:dyDescent="0.2">
      <c r="B1596" t="s">
        <v>6426</v>
      </c>
      <c r="C1596" t="s">
        <v>6427</v>
      </c>
      <c r="D1596">
        <v>7</v>
      </c>
      <c r="E1596" t="s">
        <v>4638</v>
      </c>
      <c r="F1596">
        <v>9</v>
      </c>
    </row>
    <row r="1597" spans="2:6" x14ac:dyDescent="0.2">
      <c r="B1597" t="s">
        <v>6428</v>
      </c>
      <c r="C1597" t="s">
        <v>6429</v>
      </c>
      <c r="D1597">
        <v>7</v>
      </c>
      <c r="E1597" t="s">
        <v>3109</v>
      </c>
      <c r="F1597">
        <v>4</v>
      </c>
    </row>
    <row r="1598" spans="2:6" x14ac:dyDescent="0.2">
      <c r="B1598" t="s">
        <v>6430</v>
      </c>
      <c r="C1598" t="s">
        <v>4375</v>
      </c>
      <c r="D1598">
        <v>7</v>
      </c>
      <c r="E1598" t="s">
        <v>6431</v>
      </c>
      <c r="F1598">
        <v>8</v>
      </c>
    </row>
    <row r="1599" spans="2:6" x14ac:dyDescent="0.2">
      <c r="B1599" t="s">
        <v>6432</v>
      </c>
      <c r="C1599" t="s">
        <v>6433</v>
      </c>
      <c r="D1599">
        <v>7</v>
      </c>
      <c r="E1599" t="s">
        <v>6434</v>
      </c>
      <c r="F1599">
        <v>1</v>
      </c>
    </row>
    <row r="1600" spans="2:6" x14ac:dyDescent="0.2">
      <c r="B1600" t="s">
        <v>6435</v>
      </c>
      <c r="C1600" t="s">
        <v>5706</v>
      </c>
      <c r="D1600">
        <v>7</v>
      </c>
      <c r="E1600" t="s">
        <v>2915</v>
      </c>
      <c r="F1600">
        <v>2</v>
      </c>
    </row>
    <row r="1601" spans="2:6" x14ac:dyDescent="0.2">
      <c r="B1601" t="s">
        <v>6436</v>
      </c>
      <c r="C1601" t="s">
        <v>6437</v>
      </c>
      <c r="D1601">
        <v>7</v>
      </c>
      <c r="E1601" t="s">
        <v>6438</v>
      </c>
      <c r="F1601">
        <v>9</v>
      </c>
    </row>
    <row r="1602" spans="2:6" x14ac:dyDescent="0.2">
      <c r="B1602" t="s">
        <v>6439</v>
      </c>
      <c r="C1602" t="s">
        <v>6440</v>
      </c>
      <c r="D1602">
        <v>7</v>
      </c>
      <c r="E1602" t="s">
        <v>5474</v>
      </c>
      <c r="F1602">
        <v>1</v>
      </c>
    </row>
    <row r="1603" spans="2:6" x14ac:dyDescent="0.2">
      <c r="B1603" t="s">
        <v>6441</v>
      </c>
      <c r="C1603" t="s">
        <v>6442</v>
      </c>
      <c r="D1603">
        <v>7</v>
      </c>
      <c r="E1603" t="s">
        <v>2974</v>
      </c>
      <c r="F1603">
        <v>1</v>
      </c>
    </row>
    <row r="1604" spans="2:6" x14ac:dyDescent="0.2">
      <c r="B1604" t="s">
        <v>6443</v>
      </c>
      <c r="C1604" t="s">
        <v>6444</v>
      </c>
      <c r="D1604">
        <v>7</v>
      </c>
      <c r="E1604" t="s">
        <v>2949</v>
      </c>
      <c r="F1604">
        <v>3</v>
      </c>
    </row>
    <row r="1605" spans="2:6" x14ac:dyDescent="0.2">
      <c r="B1605" t="s">
        <v>6445</v>
      </c>
      <c r="C1605" t="s">
        <v>6446</v>
      </c>
      <c r="D1605">
        <v>7</v>
      </c>
      <c r="E1605" t="s">
        <v>5723</v>
      </c>
      <c r="F1605">
        <v>3</v>
      </c>
    </row>
    <row r="1606" spans="2:6" x14ac:dyDescent="0.2">
      <c r="B1606" t="s">
        <v>6447</v>
      </c>
      <c r="C1606" t="s">
        <v>6448</v>
      </c>
      <c r="D1606">
        <v>7</v>
      </c>
      <c r="E1606" t="s">
        <v>2811</v>
      </c>
      <c r="F1606">
        <v>1</v>
      </c>
    </row>
    <row r="1607" spans="2:6" x14ac:dyDescent="0.2">
      <c r="B1607" t="s">
        <v>6449</v>
      </c>
      <c r="C1607" t="s">
        <v>6450</v>
      </c>
      <c r="D1607">
        <v>7</v>
      </c>
      <c r="E1607" t="s">
        <v>4956</v>
      </c>
      <c r="F1607">
        <v>6</v>
      </c>
    </row>
    <row r="1608" spans="2:6" x14ac:dyDescent="0.2">
      <c r="B1608" t="s">
        <v>6451</v>
      </c>
      <c r="C1608" t="s">
        <v>6452</v>
      </c>
      <c r="D1608">
        <v>7</v>
      </c>
      <c r="E1608" t="s">
        <v>3113</v>
      </c>
      <c r="F1608">
        <v>1</v>
      </c>
    </row>
    <row r="1609" spans="2:6" x14ac:dyDescent="0.2">
      <c r="B1609" t="s">
        <v>6453</v>
      </c>
      <c r="C1609" t="s">
        <v>6454</v>
      </c>
      <c r="D1609">
        <v>7</v>
      </c>
      <c r="E1609" t="s">
        <v>6455</v>
      </c>
      <c r="F1609">
        <v>3</v>
      </c>
    </row>
    <row r="1610" spans="2:6" x14ac:dyDescent="0.2">
      <c r="B1610" t="s">
        <v>6456</v>
      </c>
      <c r="C1610" t="s">
        <v>6457</v>
      </c>
      <c r="D1610">
        <v>7</v>
      </c>
      <c r="E1610" t="s">
        <v>3767</v>
      </c>
      <c r="F1610">
        <v>2</v>
      </c>
    </row>
    <row r="1611" spans="2:6" x14ac:dyDescent="0.2">
      <c r="B1611" t="s">
        <v>6458</v>
      </c>
      <c r="C1611" t="s">
        <v>6459</v>
      </c>
      <c r="D1611">
        <v>7</v>
      </c>
      <c r="E1611" t="s">
        <v>2895</v>
      </c>
      <c r="F1611">
        <v>1</v>
      </c>
    </row>
    <row r="1612" spans="2:6" x14ac:dyDescent="0.2">
      <c r="B1612" t="s">
        <v>166</v>
      </c>
      <c r="C1612" t="s">
        <v>6460</v>
      </c>
      <c r="D1612">
        <v>7</v>
      </c>
      <c r="E1612" t="s">
        <v>3437</v>
      </c>
      <c r="F1612">
        <v>9</v>
      </c>
    </row>
    <row r="1613" spans="2:6" x14ac:dyDescent="0.2">
      <c r="B1613" t="s">
        <v>6461</v>
      </c>
      <c r="C1613" t="s">
        <v>6462</v>
      </c>
      <c r="D1613">
        <v>7</v>
      </c>
      <c r="E1613" t="s">
        <v>3335</v>
      </c>
      <c r="F1613">
        <v>1</v>
      </c>
    </row>
    <row r="1614" spans="2:6" x14ac:dyDescent="0.2">
      <c r="B1614" t="s">
        <v>6463</v>
      </c>
      <c r="C1614" t="s">
        <v>6464</v>
      </c>
      <c r="D1614">
        <v>7</v>
      </c>
      <c r="E1614" t="s">
        <v>6465</v>
      </c>
      <c r="F1614">
        <v>3</v>
      </c>
    </row>
    <row r="1615" spans="2:6" x14ac:dyDescent="0.2">
      <c r="B1615" t="s">
        <v>6466</v>
      </c>
      <c r="C1615" t="s">
        <v>6467</v>
      </c>
      <c r="D1615">
        <v>7</v>
      </c>
      <c r="E1615" t="s">
        <v>6468</v>
      </c>
      <c r="F1615">
        <v>4</v>
      </c>
    </row>
    <row r="1616" spans="2:6" x14ac:dyDescent="0.2">
      <c r="B1616" t="s">
        <v>6469</v>
      </c>
      <c r="C1616" t="s">
        <v>6470</v>
      </c>
      <c r="D1616">
        <v>7</v>
      </c>
      <c r="E1616" t="s">
        <v>2944</v>
      </c>
      <c r="F1616">
        <v>1</v>
      </c>
    </row>
    <row r="1617" spans="2:6" x14ac:dyDescent="0.2">
      <c r="B1617" t="s">
        <v>6471</v>
      </c>
      <c r="C1617" t="s">
        <v>6472</v>
      </c>
      <c r="D1617">
        <v>7</v>
      </c>
      <c r="E1617" t="s">
        <v>6473</v>
      </c>
      <c r="F1617">
        <v>8</v>
      </c>
    </row>
    <row r="1618" spans="2:6" x14ac:dyDescent="0.2">
      <c r="B1618" t="s">
        <v>6474</v>
      </c>
      <c r="C1618" t="s">
        <v>6475</v>
      </c>
      <c r="D1618">
        <v>7</v>
      </c>
      <c r="E1618" t="s">
        <v>3036</v>
      </c>
      <c r="F1618">
        <v>1</v>
      </c>
    </row>
    <row r="1619" spans="2:6" x14ac:dyDescent="0.2">
      <c r="B1619" t="s">
        <v>6476</v>
      </c>
      <c r="C1619" t="s">
        <v>6477</v>
      </c>
      <c r="D1619">
        <v>7</v>
      </c>
      <c r="E1619" t="s">
        <v>6478</v>
      </c>
      <c r="F1619">
        <v>4</v>
      </c>
    </row>
    <row r="1620" spans="2:6" x14ac:dyDescent="0.2">
      <c r="B1620" t="s">
        <v>6479</v>
      </c>
      <c r="C1620" t="s">
        <v>6480</v>
      </c>
      <c r="D1620">
        <v>7</v>
      </c>
      <c r="E1620" t="s">
        <v>4525</v>
      </c>
      <c r="F1620">
        <v>1</v>
      </c>
    </row>
    <row r="1621" spans="2:6" x14ac:dyDescent="0.2">
      <c r="B1621" t="s">
        <v>659</v>
      </c>
      <c r="C1621" t="s">
        <v>6481</v>
      </c>
      <c r="D1621">
        <v>7</v>
      </c>
      <c r="E1621" t="s">
        <v>2958</v>
      </c>
      <c r="F1621">
        <v>6</v>
      </c>
    </row>
    <row r="1622" spans="2:6" x14ac:dyDescent="0.2">
      <c r="B1622" t="s">
        <v>6482</v>
      </c>
      <c r="C1622" t="s">
        <v>6483</v>
      </c>
      <c r="D1622">
        <v>7</v>
      </c>
      <c r="E1622" t="s">
        <v>2811</v>
      </c>
      <c r="F1622">
        <v>1</v>
      </c>
    </row>
    <row r="1623" spans="2:6" x14ac:dyDescent="0.2">
      <c r="B1623" t="s">
        <v>6484</v>
      </c>
      <c r="C1623" t="s">
        <v>6485</v>
      </c>
      <c r="D1623">
        <v>7</v>
      </c>
      <c r="E1623" t="s">
        <v>3176</v>
      </c>
      <c r="F1623">
        <v>1</v>
      </c>
    </row>
    <row r="1624" spans="2:6" x14ac:dyDescent="0.2">
      <c r="B1624" t="s">
        <v>6486</v>
      </c>
      <c r="C1624" t="s">
        <v>6487</v>
      </c>
      <c r="D1624">
        <v>7</v>
      </c>
      <c r="E1624" t="s">
        <v>4062</v>
      </c>
      <c r="F1624">
        <v>250</v>
      </c>
    </row>
    <row r="1625" spans="2:6" x14ac:dyDescent="0.2">
      <c r="B1625" t="s">
        <v>6488</v>
      </c>
      <c r="C1625" t="s">
        <v>6489</v>
      </c>
      <c r="D1625">
        <v>7</v>
      </c>
      <c r="E1625" t="s">
        <v>4068</v>
      </c>
      <c r="F1625">
        <v>1</v>
      </c>
    </row>
    <row r="1626" spans="2:6" x14ac:dyDescent="0.2">
      <c r="B1626" t="s">
        <v>6490</v>
      </c>
      <c r="C1626" t="s">
        <v>6491</v>
      </c>
      <c r="D1626">
        <v>7</v>
      </c>
      <c r="E1626" t="s">
        <v>6492</v>
      </c>
      <c r="F1626">
        <v>3</v>
      </c>
    </row>
    <row r="1627" spans="2:6" x14ac:dyDescent="0.2">
      <c r="B1627" t="s">
        <v>6493</v>
      </c>
      <c r="C1627" t="s">
        <v>6494</v>
      </c>
      <c r="D1627">
        <v>7</v>
      </c>
      <c r="E1627" t="s">
        <v>6495</v>
      </c>
      <c r="F1627">
        <v>1</v>
      </c>
    </row>
    <row r="1628" spans="2:6" x14ac:dyDescent="0.2">
      <c r="B1628" t="s">
        <v>6496</v>
      </c>
      <c r="C1628" t="s">
        <v>6497</v>
      </c>
      <c r="D1628">
        <v>7</v>
      </c>
      <c r="E1628" t="s">
        <v>4629</v>
      </c>
      <c r="F1628">
        <v>2</v>
      </c>
    </row>
    <row r="1629" spans="2:6" x14ac:dyDescent="0.2">
      <c r="B1629" t="s">
        <v>6498</v>
      </c>
      <c r="C1629" t="s">
        <v>6499</v>
      </c>
      <c r="D1629">
        <v>7</v>
      </c>
      <c r="E1629" t="s">
        <v>6500</v>
      </c>
      <c r="F1629">
        <v>3</v>
      </c>
    </row>
    <row r="1630" spans="2:6" x14ac:dyDescent="0.2">
      <c r="B1630" t="s">
        <v>6501</v>
      </c>
      <c r="C1630" t="s">
        <v>6502</v>
      </c>
      <c r="D1630">
        <v>7</v>
      </c>
      <c r="E1630" t="s">
        <v>5443</v>
      </c>
      <c r="F1630">
        <v>2</v>
      </c>
    </row>
    <row r="1631" spans="2:6" x14ac:dyDescent="0.2">
      <c r="B1631" t="s">
        <v>6503</v>
      </c>
      <c r="C1631" t="s">
        <v>6504</v>
      </c>
      <c r="D1631">
        <v>7</v>
      </c>
      <c r="E1631" t="s">
        <v>4675</v>
      </c>
      <c r="F1631">
        <v>8</v>
      </c>
    </row>
    <row r="1632" spans="2:6" x14ac:dyDescent="0.2">
      <c r="B1632" t="s">
        <v>6505</v>
      </c>
      <c r="C1632" t="s">
        <v>6506</v>
      </c>
      <c r="D1632">
        <v>7</v>
      </c>
      <c r="E1632" t="s">
        <v>5631</v>
      </c>
      <c r="F1632">
        <v>1</v>
      </c>
    </row>
    <row r="1633" spans="2:6" x14ac:dyDescent="0.2">
      <c r="B1633" t="s">
        <v>6507</v>
      </c>
      <c r="C1633" t="s">
        <v>6508</v>
      </c>
      <c r="D1633">
        <v>7</v>
      </c>
      <c r="E1633" t="s">
        <v>4629</v>
      </c>
      <c r="F1633">
        <v>4</v>
      </c>
    </row>
    <row r="1634" spans="2:6" x14ac:dyDescent="0.2">
      <c r="B1634" t="s">
        <v>6509</v>
      </c>
      <c r="C1634" t="s">
        <v>6510</v>
      </c>
      <c r="D1634">
        <v>7</v>
      </c>
      <c r="E1634" t="s">
        <v>3213</v>
      </c>
      <c r="F1634">
        <v>1</v>
      </c>
    </row>
    <row r="1635" spans="2:6" x14ac:dyDescent="0.2">
      <c r="B1635" t="s">
        <v>6511</v>
      </c>
      <c r="C1635" t="s">
        <v>6512</v>
      </c>
      <c r="D1635">
        <v>7</v>
      </c>
      <c r="E1635" t="s">
        <v>2892</v>
      </c>
      <c r="F1635">
        <v>5</v>
      </c>
    </row>
    <row r="1636" spans="2:6" x14ac:dyDescent="0.2">
      <c r="B1636" t="s">
        <v>6513</v>
      </c>
      <c r="C1636" t="s">
        <v>6514</v>
      </c>
      <c r="D1636">
        <v>7</v>
      </c>
      <c r="E1636" t="s">
        <v>6515</v>
      </c>
      <c r="F1636">
        <v>3</v>
      </c>
    </row>
    <row r="1637" spans="2:6" x14ac:dyDescent="0.2">
      <c r="B1637" t="s">
        <v>6516</v>
      </c>
      <c r="C1637" t="s">
        <v>6517</v>
      </c>
      <c r="D1637">
        <v>7</v>
      </c>
      <c r="E1637" t="s">
        <v>6518</v>
      </c>
      <c r="F1637">
        <v>3</v>
      </c>
    </row>
    <row r="1638" spans="2:6" x14ac:dyDescent="0.2">
      <c r="B1638" t="s">
        <v>6519</v>
      </c>
      <c r="C1638" t="s">
        <v>6520</v>
      </c>
      <c r="D1638">
        <v>7</v>
      </c>
      <c r="E1638" t="s">
        <v>2985</v>
      </c>
      <c r="F1638">
        <v>1</v>
      </c>
    </row>
    <row r="1639" spans="2:6" x14ac:dyDescent="0.2">
      <c r="B1639" t="s">
        <v>6521</v>
      </c>
      <c r="C1639" t="s">
        <v>6522</v>
      </c>
      <c r="D1639">
        <v>7</v>
      </c>
      <c r="E1639" t="s">
        <v>6523</v>
      </c>
      <c r="F1639">
        <v>2</v>
      </c>
    </row>
    <row r="1640" spans="2:6" x14ac:dyDescent="0.2">
      <c r="B1640" t="s">
        <v>6524</v>
      </c>
      <c r="C1640" t="s">
        <v>6525</v>
      </c>
      <c r="D1640">
        <v>7</v>
      </c>
      <c r="E1640" t="s">
        <v>4081</v>
      </c>
      <c r="F1640">
        <v>1</v>
      </c>
    </row>
    <row r="1641" spans="2:6" x14ac:dyDescent="0.2">
      <c r="B1641" t="s">
        <v>6526</v>
      </c>
      <c r="C1641" t="s">
        <v>6527</v>
      </c>
      <c r="D1641">
        <v>7</v>
      </c>
      <c r="E1641" t="s">
        <v>2811</v>
      </c>
      <c r="F1641">
        <v>3</v>
      </c>
    </row>
    <row r="1642" spans="2:6" x14ac:dyDescent="0.2">
      <c r="B1642" t="s">
        <v>6528</v>
      </c>
      <c r="C1642" t="s">
        <v>6529</v>
      </c>
      <c r="D1642">
        <v>7</v>
      </c>
      <c r="E1642" t="s">
        <v>2903</v>
      </c>
      <c r="F1642">
        <v>1</v>
      </c>
    </row>
    <row r="1643" spans="2:6" x14ac:dyDescent="0.2">
      <c r="B1643" t="s">
        <v>6530</v>
      </c>
      <c r="C1643" t="s">
        <v>6531</v>
      </c>
      <c r="D1643">
        <v>7</v>
      </c>
      <c r="E1643" t="s">
        <v>3307</v>
      </c>
      <c r="F1643">
        <v>1</v>
      </c>
    </row>
    <row r="1644" spans="2:6" x14ac:dyDescent="0.2">
      <c r="B1644" t="s">
        <v>1705</v>
      </c>
      <c r="C1644" t="s">
        <v>6532</v>
      </c>
      <c r="D1644">
        <v>7</v>
      </c>
      <c r="E1644" t="s">
        <v>5812</v>
      </c>
      <c r="F1644">
        <v>1</v>
      </c>
    </row>
    <row r="1645" spans="2:6" x14ac:dyDescent="0.2">
      <c r="B1645" t="s">
        <v>6533</v>
      </c>
      <c r="C1645" t="s">
        <v>6534</v>
      </c>
      <c r="D1645">
        <v>7</v>
      </c>
      <c r="E1645" t="s">
        <v>3213</v>
      </c>
      <c r="F1645">
        <v>1</v>
      </c>
    </row>
    <row r="1646" spans="2:6" x14ac:dyDescent="0.2">
      <c r="B1646" t="s">
        <v>6535</v>
      </c>
      <c r="C1646" t="s">
        <v>6536</v>
      </c>
      <c r="D1646">
        <v>7</v>
      </c>
      <c r="E1646" t="s">
        <v>3307</v>
      </c>
      <c r="F1646">
        <v>30</v>
      </c>
    </row>
    <row r="1647" spans="2:6" x14ac:dyDescent="0.2">
      <c r="B1647" t="s">
        <v>6537</v>
      </c>
      <c r="C1647" t="s">
        <v>6538</v>
      </c>
      <c r="D1647">
        <v>7</v>
      </c>
      <c r="E1647" t="s">
        <v>6539</v>
      </c>
      <c r="F1647">
        <v>1</v>
      </c>
    </row>
    <row r="1648" spans="2:6" x14ac:dyDescent="0.2">
      <c r="B1648" t="s">
        <v>6540</v>
      </c>
      <c r="C1648" t="s">
        <v>6541</v>
      </c>
      <c r="D1648">
        <v>7</v>
      </c>
      <c r="E1648" t="s">
        <v>3106</v>
      </c>
      <c r="F1648">
        <v>3</v>
      </c>
    </row>
    <row r="1649" spans="2:6" x14ac:dyDescent="0.2">
      <c r="B1649" t="s">
        <v>6542</v>
      </c>
      <c r="C1649" t="s">
        <v>6543</v>
      </c>
      <c r="D1649">
        <v>7</v>
      </c>
      <c r="E1649" t="s">
        <v>2974</v>
      </c>
      <c r="F1649">
        <v>5</v>
      </c>
    </row>
    <row r="1650" spans="2:6" x14ac:dyDescent="0.2">
      <c r="B1650" t="s">
        <v>6544</v>
      </c>
      <c r="C1650" t="s">
        <v>6545</v>
      </c>
      <c r="D1650">
        <v>7</v>
      </c>
      <c r="E1650" t="s">
        <v>4788</v>
      </c>
      <c r="F1650">
        <v>4</v>
      </c>
    </row>
    <row r="1651" spans="2:6" x14ac:dyDescent="0.2">
      <c r="B1651" t="s">
        <v>6546</v>
      </c>
      <c r="C1651" t="s">
        <v>6547</v>
      </c>
      <c r="D1651">
        <v>7</v>
      </c>
      <c r="E1651" t="s">
        <v>2952</v>
      </c>
      <c r="F1651">
        <v>3</v>
      </c>
    </row>
    <row r="1652" spans="2:6" x14ac:dyDescent="0.2">
      <c r="B1652" t="s">
        <v>6548</v>
      </c>
      <c r="C1652" t="s">
        <v>6549</v>
      </c>
      <c r="D1652">
        <v>7</v>
      </c>
      <c r="E1652" t="s">
        <v>3643</v>
      </c>
      <c r="F1652">
        <v>2</v>
      </c>
    </row>
    <row r="1653" spans="2:6" x14ac:dyDescent="0.2">
      <c r="B1653" t="s">
        <v>6550</v>
      </c>
      <c r="C1653" t="s">
        <v>6551</v>
      </c>
      <c r="D1653">
        <v>7</v>
      </c>
      <c r="E1653" t="s">
        <v>2842</v>
      </c>
      <c r="F1653">
        <v>1</v>
      </c>
    </row>
    <row r="1654" spans="2:6" x14ac:dyDescent="0.2">
      <c r="B1654" t="s">
        <v>6552</v>
      </c>
      <c r="C1654" t="s">
        <v>6553</v>
      </c>
      <c r="D1654">
        <v>7</v>
      </c>
      <c r="E1654" t="s">
        <v>2941</v>
      </c>
      <c r="F1654">
        <v>1</v>
      </c>
    </row>
    <row r="1655" spans="2:6" x14ac:dyDescent="0.2">
      <c r="B1655" t="s">
        <v>6554</v>
      </c>
      <c r="C1655" t="s">
        <v>6555</v>
      </c>
      <c r="D1655">
        <v>7</v>
      </c>
      <c r="E1655" t="s">
        <v>3746</v>
      </c>
      <c r="F1655">
        <v>3</v>
      </c>
    </row>
    <row r="1656" spans="2:6" x14ac:dyDescent="0.2">
      <c r="B1656" t="s">
        <v>735</v>
      </c>
      <c r="C1656" t="s">
        <v>6556</v>
      </c>
      <c r="D1656">
        <v>7</v>
      </c>
      <c r="E1656" t="s">
        <v>4260</v>
      </c>
      <c r="F1656">
        <v>30</v>
      </c>
    </row>
    <row r="1657" spans="2:6" x14ac:dyDescent="0.2">
      <c r="B1657" t="s">
        <v>1041</v>
      </c>
      <c r="C1657" t="s">
        <v>6557</v>
      </c>
      <c r="D1657">
        <v>7</v>
      </c>
      <c r="E1657" t="s">
        <v>2954</v>
      </c>
      <c r="F1657">
        <v>54</v>
      </c>
    </row>
    <row r="1658" spans="2:6" x14ac:dyDescent="0.2">
      <c r="B1658" t="s">
        <v>6558</v>
      </c>
      <c r="C1658" t="s">
        <v>6559</v>
      </c>
      <c r="D1658">
        <v>7</v>
      </c>
      <c r="E1658" t="s">
        <v>3250</v>
      </c>
      <c r="F1658">
        <v>15</v>
      </c>
    </row>
    <row r="1659" spans="2:6" x14ac:dyDescent="0.2">
      <c r="B1659" t="s">
        <v>6560</v>
      </c>
      <c r="C1659" t="s">
        <v>6561</v>
      </c>
      <c r="D1659">
        <v>7</v>
      </c>
      <c r="E1659" t="s">
        <v>5691</v>
      </c>
      <c r="F1659">
        <v>1</v>
      </c>
    </row>
    <row r="1660" spans="2:6" x14ac:dyDescent="0.2">
      <c r="B1660" t="s">
        <v>6562</v>
      </c>
      <c r="C1660" t="s">
        <v>5521</v>
      </c>
      <c r="D1660">
        <v>7</v>
      </c>
      <c r="E1660" t="s">
        <v>6563</v>
      </c>
      <c r="F1660">
        <v>10</v>
      </c>
    </row>
    <row r="1661" spans="2:6" x14ac:dyDescent="0.2">
      <c r="B1661" t="s">
        <v>6564</v>
      </c>
      <c r="C1661" t="s">
        <v>6565</v>
      </c>
      <c r="D1661">
        <v>7</v>
      </c>
      <c r="E1661" t="s">
        <v>6566</v>
      </c>
      <c r="F1661">
        <v>1</v>
      </c>
    </row>
    <row r="1662" spans="2:6" x14ac:dyDescent="0.2">
      <c r="B1662" t="s">
        <v>6567</v>
      </c>
      <c r="C1662" t="s">
        <v>6568</v>
      </c>
      <c r="D1662">
        <v>7</v>
      </c>
      <c r="E1662" t="s">
        <v>6569</v>
      </c>
      <c r="F1662">
        <v>2</v>
      </c>
    </row>
    <row r="1663" spans="2:6" x14ac:dyDescent="0.2">
      <c r="B1663" t="s">
        <v>1647</v>
      </c>
      <c r="C1663" t="s">
        <v>6570</v>
      </c>
      <c r="D1663">
        <v>7</v>
      </c>
      <c r="E1663" t="s">
        <v>3078</v>
      </c>
      <c r="F1663">
        <v>3</v>
      </c>
    </row>
    <row r="1664" spans="2:6" x14ac:dyDescent="0.2">
      <c r="B1664" t="s">
        <v>6571</v>
      </c>
      <c r="C1664" t="s">
        <v>6572</v>
      </c>
      <c r="D1664">
        <v>7</v>
      </c>
      <c r="E1664" t="s">
        <v>4220</v>
      </c>
      <c r="F1664">
        <v>17</v>
      </c>
    </row>
    <row r="1665" spans="2:6" x14ac:dyDescent="0.2">
      <c r="B1665" t="s">
        <v>1851</v>
      </c>
      <c r="C1665" t="s">
        <v>6573</v>
      </c>
      <c r="D1665">
        <v>7</v>
      </c>
      <c r="E1665" t="s">
        <v>3227</v>
      </c>
      <c r="F1665">
        <v>5</v>
      </c>
    </row>
    <row r="1666" spans="2:6" x14ac:dyDescent="0.2">
      <c r="B1666" t="s">
        <v>6574</v>
      </c>
      <c r="C1666" t="s">
        <v>6575</v>
      </c>
      <c r="D1666">
        <v>7</v>
      </c>
      <c r="E1666" t="s">
        <v>3495</v>
      </c>
      <c r="F1666">
        <v>1</v>
      </c>
    </row>
    <row r="1667" spans="2:6" x14ac:dyDescent="0.2">
      <c r="B1667" t="s">
        <v>6576</v>
      </c>
      <c r="C1667" t="s">
        <v>6577</v>
      </c>
      <c r="D1667">
        <v>7</v>
      </c>
      <c r="E1667" t="s">
        <v>6578</v>
      </c>
      <c r="F1667">
        <v>6</v>
      </c>
    </row>
    <row r="1668" spans="2:6" x14ac:dyDescent="0.2">
      <c r="B1668" t="s">
        <v>6579</v>
      </c>
      <c r="C1668" t="s">
        <v>6580</v>
      </c>
      <c r="D1668">
        <v>7</v>
      </c>
      <c r="E1668" t="s">
        <v>6581</v>
      </c>
      <c r="F1668">
        <v>1</v>
      </c>
    </row>
    <row r="1669" spans="2:6" x14ac:dyDescent="0.2">
      <c r="B1669" t="s">
        <v>6582</v>
      </c>
      <c r="C1669" t="s">
        <v>6583</v>
      </c>
      <c r="D1669">
        <v>7</v>
      </c>
      <c r="E1669" t="s">
        <v>5029</v>
      </c>
      <c r="F1669">
        <v>1</v>
      </c>
    </row>
    <row r="1670" spans="2:6" x14ac:dyDescent="0.2">
      <c r="B1670" t="s">
        <v>880</v>
      </c>
      <c r="C1670" t="s">
        <v>6584</v>
      </c>
      <c r="D1670">
        <v>7</v>
      </c>
      <c r="E1670" t="s">
        <v>4629</v>
      </c>
      <c r="F1670">
        <v>15</v>
      </c>
    </row>
    <row r="1671" spans="2:6" x14ac:dyDescent="0.2">
      <c r="B1671" t="s">
        <v>6585</v>
      </c>
      <c r="C1671" t="s">
        <v>6586</v>
      </c>
      <c r="D1671">
        <v>7</v>
      </c>
      <c r="E1671" t="s">
        <v>6587</v>
      </c>
      <c r="F1671">
        <v>13</v>
      </c>
    </row>
    <row r="1672" spans="2:6" x14ac:dyDescent="0.2">
      <c r="B1672" t="s">
        <v>6588</v>
      </c>
      <c r="C1672" t="s">
        <v>6589</v>
      </c>
      <c r="D1672">
        <v>7</v>
      </c>
      <c r="E1672" t="s">
        <v>2889</v>
      </c>
      <c r="F1672">
        <v>7</v>
      </c>
    </row>
    <row r="1673" spans="2:6" x14ac:dyDescent="0.2">
      <c r="B1673" t="s">
        <v>651</v>
      </c>
      <c r="C1673" t="s">
        <v>6590</v>
      </c>
      <c r="D1673">
        <v>7</v>
      </c>
      <c r="E1673" t="s">
        <v>3153</v>
      </c>
      <c r="F1673">
        <v>5</v>
      </c>
    </row>
    <row r="1674" spans="2:6" x14ac:dyDescent="0.2">
      <c r="B1674" t="s">
        <v>6591</v>
      </c>
      <c r="C1674" t="s">
        <v>6592</v>
      </c>
      <c r="D1674">
        <v>7</v>
      </c>
      <c r="E1674" t="s">
        <v>3261</v>
      </c>
      <c r="F1674">
        <v>5</v>
      </c>
    </row>
    <row r="1675" spans="2:6" x14ac:dyDescent="0.2">
      <c r="B1675" t="s">
        <v>6593</v>
      </c>
      <c r="C1675" t="s">
        <v>6594</v>
      </c>
      <c r="D1675">
        <v>7</v>
      </c>
      <c r="E1675" t="s">
        <v>6595</v>
      </c>
      <c r="F1675">
        <v>15</v>
      </c>
    </row>
    <row r="1676" spans="2:6" x14ac:dyDescent="0.2">
      <c r="B1676" t="s">
        <v>6596</v>
      </c>
      <c r="C1676" t="s">
        <v>6597</v>
      </c>
      <c r="D1676">
        <v>7</v>
      </c>
      <c r="E1676" t="s">
        <v>2889</v>
      </c>
      <c r="F1676">
        <v>3</v>
      </c>
    </row>
    <row r="1677" spans="2:6" x14ac:dyDescent="0.2">
      <c r="B1677" t="s">
        <v>6598</v>
      </c>
      <c r="C1677" t="s">
        <v>6599</v>
      </c>
      <c r="D1677">
        <v>7</v>
      </c>
      <c r="E1677" t="s">
        <v>3201</v>
      </c>
      <c r="F1677">
        <v>1</v>
      </c>
    </row>
    <row r="1678" spans="2:6" x14ac:dyDescent="0.2">
      <c r="B1678" t="s">
        <v>6600</v>
      </c>
      <c r="C1678" t="s">
        <v>6601</v>
      </c>
      <c r="D1678">
        <v>7</v>
      </c>
      <c r="E1678" t="s">
        <v>3909</v>
      </c>
      <c r="F1678">
        <v>2</v>
      </c>
    </row>
    <row r="1679" spans="2:6" x14ac:dyDescent="0.2">
      <c r="B1679" t="s">
        <v>6602</v>
      </c>
      <c r="C1679" t="s">
        <v>6603</v>
      </c>
      <c r="D1679">
        <v>7</v>
      </c>
      <c r="E1679" t="s">
        <v>2949</v>
      </c>
      <c r="F1679">
        <v>2</v>
      </c>
    </row>
    <row r="1680" spans="2:6" x14ac:dyDescent="0.2">
      <c r="B1680" t="s">
        <v>6604</v>
      </c>
      <c r="C1680" t="s">
        <v>6605</v>
      </c>
      <c r="D1680">
        <v>7</v>
      </c>
      <c r="E1680" t="s">
        <v>3364</v>
      </c>
      <c r="F1680">
        <v>6</v>
      </c>
    </row>
    <row r="1681" spans="2:6" x14ac:dyDescent="0.2">
      <c r="B1681" t="s">
        <v>6606</v>
      </c>
      <c r="C1681" t="s">
        <v>6607</v>
      </c>
      <c r="D1681">
        <v>7</v>
      </c>
      <c r="E1681" t="s">
        <v>3688</v>
      </c>
      <c r="F1681">
        <v>2</v>
      </c>
    </row>
    <row r="1682" spans="2:6" x14ac:dyDescent="0.2">
      <c r="B1682" t="s">
        <v>1635</v>
      </c>
      <c r="C1682" t="s">
        <v>6608</v>
      </c>
      <c r="D1682">
        <v>7</v>
      </c>
      <c r="E1682" t="s">
        <v>3423</v>
      </c>
      <c r="F1682">
        <v>4</v>
      </c>
    </row>
    <row r="1683" spans="2:6" x14ac:dyDescent="0.2">
      <c r="B1683" t="s">
        <v>6609</v>
      </c>
      <c r="C1683" t="s">
        <v>6610</v>
      </c>
      <c r="D1683">
        <v>7</v>
      </c>
      <c r="E1683" t="s">
        <v>3095</v>
      </c>
      <c r="F1683">
        <v>2</v>
      </c>
    </row>
    <row r="1684" spans="2:6" x14ac:dyDescent="0.2">
      <c r="B1684" t="s">
        <v>428</v>
      </c>
      <c r="C1684" t="s">
        <v>6611</v>
      </c>
      <c r="D1684">
        <v>7</v>
      </c>
      <c r="E1684" t="s">
        <v>6612</v>
      </c>
      <c r="F1684">
        <v>3</v>
      </c>
    </row>
    <row r="1685" spans="2:6" x14ac:dyDescent="0.2">
      <c r="B1685" t="s">
        <v>6613</v>
      </c>
      <c r="C1685" t="s">
        <v>6614</v>
      </c>
      <c r="D1685">
        <v>7</v>
      </c>
      <c r="E1685" t="s">
        <v>6615</v>
      </c>
      <c r="F1685">
        <v>12</v>
      </c>
    </row>
    <row r="1686" spans="2:6" x14ac:dyDescent="0.2">
      <c r="B1686" t="s">
        <v>1374</v>
      </c>
      <c r="C1686" t="s">
        <v>6616</v>
      </c>
      <c r="D1686">
        <v>7</v>
      </c>
      <c r="E1686" t="s">
        <v>6617</v>
      </c>
      <c r="F1686">
        <v>3</v>
      </c>
    </row>
    <row r="1687" spans="2:6" x14ac:dyDescent="0.2">
      <c r="B1687" t="s">
        <v>6618</v>
      </c>
      <c r="C1687" t="s">
        <v>6619</v>
      </c>
      <c r="D1687">
        <v>7</v>
      </c>
      <c r="E1687" t="s">
        <v>6620</v>
      </c>
      <c r="F1687">
        <v>6</v>
      </c>
    </row>
    <row r="1688" spans="2:6" x14ac:dyDescent="0.2">
      <c r="B1688" t="s">
        <v>6621</v>
      </c>
      <c r="C1688" t="s">
        <v>6622</v>
      </c>
      <c r="D1688">
        <v>7</v>
      </c>
      <c r="E1688" t="s">
        <v>6623</v>
      </c>
      <c r="F1688">
        <v>9</v>
      </c>
    </row>
    <row r="1689" spans="2:6" x14ac:dyDescent="0.2">
      <c r="B1689" t="s">
        <v>6624</v>
      </c>
      <c r="C1689" t="s">
        <v>6223</v>
      </c>
      <c r="D1689">
        <v>7</v>
      </c>
      <c r="E1689" t="s">
        <v>3067</v>
      </c>
      <c r="F1689">
        <v>1</v>
      </c>
    </row>
    <row r="1690" spans="2:6" x14ac:dyDescent="0.2">
      <c r="B1690" t="s">
        <v>6625</v>
      </c>
      <c r="C1690" t="s">
        <v>6223</v>
      </c>
      <c r="D1690">
        <v>7</v>
      </c>
      <c r="E1690" t="s">
        <v>3153</v>
      </c>
      <c r="F1690">
        <v>1</v>
      </c>
    </row>
    <row r="1691" spans="2:6" x14ac:dyDescent="0.2">
      <c r="B1691" t="s">
        <v>6626</v>
      </c>
      <c r="C1691" t="s">
        <v>6627</v>
      </c>
      <c r="D1691">
        <v>7</v>
      </c>
      <c r="E1691" t="s">
        <v>6628</v>
      </c>
      <c r="F1691">
        <v>1</v>
      </c>
    </row>
    <row r="1692" spans="2:6" x14ac:dyDescent="0.2">
      <c r="B1692" t="s">
        <v>6629</v>
      </c>
      <c r="C1692" t="s">
        <v>6630</v>
      </c>
      <c r="D1692">
        <v>7</v>
      </c>
      <c r="E1692" t="s">
        <v>2915</v>
      </c>
      <c r="F1692">
        <v>2</v>
      </c>
    </row>
    <row r="1693" spans="2:6" x14ac:dyDescent="0.2">
      <c r="B1693" t="s">
        <v>6631</v>
      </c>
      <c r="C1693" t="s">
        <v>6632</v>
      </c>
      <c r="D1693">
        <v>7</v>
      </c>
      <c r="E1693" t="s">
        <v>4629</v>
      </c>
      <c r="F1693">
        <v>15</v>
      </c>
    </row>
    <row r="1694" spans="2:6" x14ac:dyDescent="0.2">
      <c r="B1694" t="s">
        <v>1575</v>
      </c>
      <c r="C1694" t="s">
        <v>6633</v>
      </c>
      <c r="D1694">
        <v>7</v>
      </c>
      <c r="E1694" t="s">
        <v>2935</v>
      </c>
      <c r="F1694">
        <v>1</v>
      </c>
    </row>
    <row r="1695" spans="2:6" x14ac:dyDescent="0.2">
      <c r="B1695" t="s">
        <v>6634</v>
      </c>
      <c r="C1695" t="s">
        <v>6635</v>
      </c>
      <c r="D1695">
        <v>7</v>
      </c>
      <c r="E1695" t="s">
        <v>6636</v>
      </c>
      <c r="F1695">
        <v>4</v>
      </c>
    </row>
    <row r="1696" spans="2:6" x14ac:dyDescent="0.2">
      <c r="B1696" t="s">
        <v>6637</v>
      </c>
      <c r="C1696" t="s">
        <v>6638</v>
      </c>
      <c r="D1696">
        <v>7</v>
      </c>
      <c r="E1696" t="s">
        <v>3281</v>
      </c>
      <c r="F1696">
        <v>6</v>
      </c>
    </row>
    <row r="1697" spans="2:6" x14ac:dyDescent="0.2">
      <c r="B1697" t="s">
        <v>271</v>
      </c>
      <c r="C1697" t="s">
        <v>6639</v>
      </c>
      <c r="D1697">
        <v>7</v>
      </c>
      <c r="E1697" t="s">
        <v>3475</v>
      </c>
      <c r="F1697">
        <v>2</v>
      </c>
    </row>
    <row r="1698" spans="2:6" x14ac:dyDescent="0.2">
      <c r="B1698" t="s">
        <v>6640</v>
      </c>
      <c r="C1698" t="s">
        <v>6641</v>
      </c>
      <c r="D1698">
        <v>7</v>
      </c>
      <c r="E1698" t="s">
        <v>3106</v>
      </c>
      <c r="F1698">
        <v>1</v>
      </c>
    </row>
    <row r="1699" spans="2:6" x14ac:dyDescent="0.2">
      <c r="B1699" t="s">
        <v>6642</v>
      </c>
      <c r="C1699" t="s">
        <v>6643</v>
      </c>
      <c r="D1699">
        <v>7</v>
      </c>
      <c r="E1699" t="s">
        <v>6644</v>
      </c>
      <c r="F1699">
        <v>1</v>
      </c>
    </row>
    <row r="1700" spans="2:6" x14ac:dyDescent="0.2">
      <c r="B1700" t="s">
        <v>6645</v>
      </c>
      <c r="C1700" t="s">
        <v>6646</v>
      </c>
      <c r="D1700">
        <v>7</v>
      </c>
      <c r="E1700" t="s">
        <v>6647</v>
      </c>
      <c r="F1700">
        <v>4</v>
      </c>
    </row>
    <row r="1701" spans="2:6" x14ac:dyDescent="0.2">
      <c r="B1701" t="s">
        <v>934</v>
      </c>
      <c r="C1701" t="s">
        <v>6648</v>
      </c>
      <c r="D1701">
        <v>7</v>
      </c>
      <c r="E1701" t="s">
        <v>2918</v>
      </c>
      <c r="F1701">
        <v>1</v>
      </c>
    </row>
    <row r="1702" spans="2:6" x14ac:dyDescent="0.2">
      <c r="B1702" t="s">
        <v>6649</v>
      </c>
      <c r="C1702" t="s">
        <v>6650</v>
      </c>
      <c r="D1702">
        <v>7</v>
      </c>
      <c r="E1702" t="s">
        <v>4531</v>
      </c>
      <c r="F1702">
        <v>1</v>
      </c>
    </row>
    <row r="1703" spans="2:6" x14ac:dyDescent="0.2">
      <c r="B1703" t="s">
        <v>6651</v>
      </c>
      <c r="C1703" t="s">
        <v>6652</v>
      </c>
      <c r="D1703">
        <v>7</v>
      </c>
      <c r="E1703" t="s">
        <v>6653</v>
      </c>
      <c r="F1703">
        <v>2</v>
      </c>
    </row>
    <row r="1704" spans="2:6" x14ac:dyDescent="0.2">
      <c r="B1704" t="s">
        <v>6654</v>
      </c>
      <c r="C1704" t="s">
        <v>6655</v>
      </c>
      <c r="D1704">
        <v>7</v>
      </c>
      <c r="E1704" t="s">
        <v>6656</v>
      </c>
      <c r="F1704">
        <v>1</v>
      </c>
    </row>
    <row r="1705" spans="2:6" x14ac:dyDescent="0.2">
      <c r="B1705" t="s">
        <v>6657</v>
      </c>
      <c r="C1705" t="s">
        <v>6658</v>
      </c>
      <c r="D1705">
        <v>7</v>
      </c>
      <c r="E1705" t="s">
        <v>3162</v>
      </c>
      <c r="F1705">
        <v>1</v>
      </c>
    </row>
    <row r="1706" spans="2:6" x14ac:dyDescent="0.2">
      <c r="B1706" t="s">
        <v>6659</v>
      </c>
      <c r="C1706" t="s">
        <v>6660</v>
      </c>
      <c r="D1706">
        <v>7</v>
      </c>
      <c r="E1706" t="s">
        <v>6661</v>
      </c>
      <c r="F1706">
        <v>17</v>
      </c>
    </row>
    <row r="1707" spans="2:6" x14ac:dyDescent="0.2">
      <c r="B1707" t="s">
        <v>6662</v>
      </c>
      <c r="C1707" t="s">
        <v>6663</v>
      </c>
      <c r="D1707">
        <v>7</v>
      </c>
      <c r="E1707" t="s">
        <v>2889</v>
      </c>
      <c r="F1707">
        <v>2</v>
      </c>
    </row>
    <row r="1708" spans="2:6" x14ac:dyDescent="0.2">
      <c r="B1708" t="s">
        <v>6664</v>
      </c>
      <c r="C1708" t="s">
        <v>6665</v>
      </c>
      <c r="D1708">
        <v>7</v>
      </c>
      <c r="E1708" t="s">
        <v>3386</v>
      </c>
      <c r="F1708">
        <v>1</v>
      </c>
    </row>
    <row r="1709" spans="2:6" x14ac:dyDescent="0.2">
      <c r="B1709" t="s">
        <v>6666</v>
      </c>
      <c r="C1709" t="s">
        <v>6667</v>
      </c>
      <c r="D1709">
        <v>7</v>
      </c>
      <c r="E1709" t="s">
        <v>6668</v>
      </c>
      <c r="F1709">
        <v>5</v>
      </c>
    </row>
    <row r="1710" spans="2:6" x14ac:dyDescent="0.2">
      <c r="B1710" t="s">
        <v>6669</v>
      </c>
      <c r="C1710" t="s">
        <v>6670</v>
      </c>
      <c r="D1710">
        <v>7</v>
      </c>
      <c r="E1710" t="s">
        <v>6671</v>
      </c>
      <c r="F1710">
        <v>6</v>
      </c>
    </row>
    <row r="1711" spans="2:6" x14ac:dyDescent="0.2">
      <c r="B1711" t="s">
        <v>6672</v>
      </c>
      <c r="C1711" t="s">
        <v>6673</v>
      </c>
      <c r="D1711">
        <v>7</v>
      </c>
      <c r="E1711" t="s">
        <v>4449</v>
      </c>
      <c r="F1711">
        <v>6</v>
      </c>
    </row>
    <row r="1712" spans="2:6" x14ac:dyDescent="0.2">
      <c r="B1712" t="s">
        <v>6674</v>
      </c>
      <c r="C1712" t="s">
        <v>6675</v>
      </c>
      <c r="D1712">
        <v>7</v>
      </c>
      <c r="E1712" t="s">
        <v>6676</v>
      </c>
      <c r="F1712">
        <v>7</v>
      </c>
    </row>
    <row r="1713" spans="2:6" x14ac:dyDescent="0.2">
      <c r="B1713" t="s">
        <v>6677</v>
      </c>
      <c r="C1713" t="s">
        <v>6678</v>
      </c>
      <c r="D1713">
        <v>7</v>
      </c>
      <c r="E1713" t="s">
        <v>3688</v>
      </c>
      <c r="F1713">
        <v>1</v>
      </c>
    </row>
    <row r="1714" spans="2:6" x14ac:dyDescent="0.2">
      <c r="B1714" t="s">
        <v>6679</v>
      </c>
      <c r="C1714" t="s">
        <v>6680</v>
      </c>
      <c r="D1714">
        <v>7</v>
      </c>
      <c r="E1714" t="s">
        <v>2811</v>
      </c>
      <c r="F1714">
        <v>1</v>
      </c>
    </row>
    <row r="1715" spans="2:6" x14ac:dyDescent="0.2">
      <c r="B1715" t="s">
        <v>6681</v>
      </c>
      <c r="C1715" t="s">
        <v>6682</v>
      </c>
      <c r="D1715">
        <v>7</v>
      </c>
      <c r="E1715" t="s">
        <v>6683</v>
      </c>
      <c r="F1715">
        <v>2</v>
      </c>
    </row>
    <row r="1716" spans="2:6" x14ac:dyDescent="0.2">
      <c r="B1716" t="s">
        <v>6684</v>
      </c>
      <c r="C1716" t="s">
        <v>6685</v>
      </c>
      <c r="D1716">
        <v>7</v>
      </c>
      <c r="E1716" t="s">
        <v>6686</v>
      </c>
      <c r="F1716">
        <v>1</v>
      </c>
    </row>
    <row r="1717" spans="2:6" x14ac:dyDescent="0.2">
      <c r="B1717" t="s">
        <v>6687</v>
      </c>
      <c r="C1717" t="s">
        <v>6688</v>
      </c>
      <c r="D1717">
        <v>7</v>
      </c>
      <c r="E1717" t="s">
        <v>3475</v>
      </c>
      <c r="F1717">
        <v>1</v>
      </c>
    </row>
    <row r="1718" spans="2:6" x14ac:dyDescent="0.2">
      <c r="B1718" t="s">
        <v>6689</v>
      </c>
      <c r="C1718" t="s">
        <v>6690</v>
      </c>
      <c r="D1718">
        <v>7</v>
      </c>
      <c r="E1718" t="s">
        <v>2819</v>
      </c>
      <c r="F1718">
        <v>1</v>
      </c>
    </row>
    <row r="1719" spans="2:6" x14ac:dyDescent="0.2">
      <c r="B1719" t="s">
        <v>6691</v>
      </c>
      <c r="C1719" t="s">
        <v>6692</v>
      </c>
      <c r="D1719">
        <v>7</v>
      </c>
      <c r="E1719" t="s">
        <v>2952</v>
      </c>
      <c r="F1719">
        <v>2</v>
      </c>
    </row>
    <row r="1720" spans="2:6" x14ac:dyDescent="0.2">
      <c r="B1720" t="s">
        <v>6693</v>
      </c>
      <c r="C1720" t="s">
        <v>6694</v>
      </c>
      <c r="D1720">
        <v>7</v>
      </c>
      <c r="E1720" t="s">
        <v>4449</v>
      </c>
      <c r="F1720">
        <v>3</v>
      </c>
    </row>
    <row r="1721" spans="2:6" x14ac:dyDescent="0.2">
      <c r="B1721" t="s">
        <v>6695</v>
      </c>
      <c r="C1721" t="s">
        <v>6696</v>
      </c>
      <c r="D1721">
        <v>7</v>
      </c>
      <c r="E1721" t="s">
        <v>6697</v>
      </c>
      <c r="F1721">
        <v>3</v>
      </c>
    </row>
    <row r="1722" spans="2:6" x14ac:dyDescent="0.2">
      <c r="B1722" t="s">
        <v>6698</v>
      </c>
      <c r="C1722" t="s">
        <v>6699</v>
      </c>
      <c r="D1722">
        <v>7</v>
      </c>
      <c r="E1722" t="s">
        <v>3628</v>
      </c>
      <c r="F1722">
        <v>1</v>
      </c>
    </row>
    <row r="1723" spans="2:6" x14ac:dyDescent="0.2">
      <c r="B1723" t="s">
        <v>6700</v>
      </c>
      <c r="C1723" t="s">
        <v>6701</v>
      </c>
      <c r="D1723">
        <v>7</v>
      </c>
      <c r="E1723" t="s">
        <v>2921</v>
      </c>
      <c r="F1723">
        <v>2</v>
      </c>
    </row>
    <row r="1724" spans="2:6" x14ac:dyDescent="0.2">
      <c r="B1724" t="s">
        <v>169</v>
      </c>
      <c r="C1724" t="s">
        <v>6702</v>
      </c>
      <c r="D1724">
        <v>7</v>
      </c>
      <c r="E1724" t="s">
        <v>6492</v>
      </c>
      <c r="F1724">
        <v>3</v>
      </c>
    </row>
    <row r="1725" spans="2:6" x14ac:dyDescent="0.2">
      <c r="B1725" t="s">
        <v>6703</v>
      </c>
      <c r="C1725" t="s">
        <v>6704</v>
      </c>
      <c r="D1725">
        <v>7</v>
      </c>
      <c r="E1725" t="s">
        <v>6705</v>
      </c>
      <c r="F1725">
        <v>1</v>
      </c>
    </row>
    <row r="1726" spans="2:6" x14ac:dyDescent="0.2">
      <c r="B1726" t="s">
        <v>6706</v>
      </c>
      <c r="C1726" t="s">
        <v>6707</v>
      </c>
      <c r="D1726">
        <v>7</v>
      </c>
      <c r="E1726" t="s">
        <v>6708</v>
      </c>
      <c r="F1726">
        <v>1</v>
      </c>
    </row>
    <row r="1727" spans="2:6" x14ac:dyDescent="0.2">
      <c r="B1727" t="s">
        <v>6709</v>
      </c>
      <c r="C1727" t="s">
        <v>6710</v>
      </c>
      <c r="D1727">
        <v>7</v>
      </c>
      <c r="E1727" t="s">
        <v>2857</v>
      </c>
      <c r="F1727">
        <v>1</v>
      </c>
    </row>
    <row r="1728" spans="2:6" x14ac:dyDescent="0.2">
      <c r="B1728" t="s">
        <v>6711</v>
      </c>
      <c r="C1728" t="s">
        <v>6712</v>
      </c>
      <c r="D1728">
        <v>7</v>
      </c>
      <c r="E1728" t="s">
        <v>2930</v>
      </c>
      <c r="F1728">
        <v>2</v>
      </c>
    </row>
    <row r="1729" spans="2:6" x14ac:dyDescent="0.2">
      <c r="B1729" t="s">
        <v>6713</v>
      </c>
      <c r="C1729" t="s">
        <v>6714</v>
      </c>
      <c r="D1729">
        <v>7</v>
      </c>
      <c r="E1729" t="s">
        <v>3933</v>
      </c>
      <c r="F1729">
        <v>2</v>
      </c>
    </row>
    <row r="1730" spans="2:6" x14ac:dyDescent="0.2">
      <c r="B1730" t="s">
        <v>6715</v>
      </c>
      <c r="C1730" t="s">
        <v>6716</v>
      </c>
      <c r="D1730">
        <v>7</v>
      </c>
      <c r="E1730" t="s">
        <v>6717</v>
      </c>
      <c r="F1730">
        <v>1</v>
      </c>
    </row>
    <row r="1731" spans="2:6" x14ac:dyDescent="0.2">
      <c r="B1731" t="s">
        <v>6718</v>
      </c>
      <c r="C1731" t="s">
        <v>5712</v>
      </c>
      <c r="D1731">
        <v>7</v>
      </c>
      <c r="E1731" t="s">
        <v>6719</v>
      </c>
      <c r="F1731">
        <v>3</v>
      </c>
    </row>
    <row r="1732" spans="2:6" x14ac:dyDescent="0.2">
      <c r="B1732" t="s">
        <v>6720</v>
      </c>
      <c r="C1732" t="s">
        <v>6721</v>
      </c>
      <c r="D1732">
        <v>7</v>
      </c>
      <c r="E1732" t="s">
        <v>2863</v>
      </c>
      <c r="F1732">
        <v>1</v>
      </c>
    </row>
    <row r="1733" spans="2:6" x14ac:dyDescent="0.2">
      <c r="B1733" t="s">
        <v>6722</v>
      </c>
      <c r="C1733" t="s">
        <v>6723</v>
      </c>
      <c r="D1733">
        <v>7</v>
      </c>
      <c r="E1733" t="s">
        <v>6724</v>
      </c>
      <c r="F1733">
        <v>2</v>
      </c>
    </row>
    <row r="1734" spans="2:6" x14ac:dyDescent="0.2">
      <c r="B1734" t="s">
        <v>1178</v>
      </c>
      <c r="C1734" t="s">
        <v>6725</v>
      </c>
      <c r="D1734">
        <v>7</v>
      </c>
      <c r="E1734" t="s">
        <v>5667</v>
      </c>
      <c r="F1734">
        <v>5</v>
      </c>
    </row>
    <row r="1735" spans="2:6" x14ac:dyDescent="0.2">
      <c r="B1735" t="s">
        <v>6726</v>
      </c>
      <c r="C1735" t="s">
        <v>6727</v>
      </c>
      <c r="D1735">
        <v>7</v>
      </c>
      <c r="E1735" t="s">
        <v>4280</v>
      </c>
      <c r="F1735">
        <v>2</v>
      </c>
    </row>
    <row r="1736" spans="2:6" x14ac:dyDescent="0.2">
      <c r="B1736" t="s">
        <v>6728</v>
      </c>
      <c r="C1736" t="s">
        <v>6729</v>
      </c>
      <c r="D1736">
        <v>7</v>
      </c>
      <c r="E1736" t="s">
        <v>6730</v>
      </c>
      <c r="F1736">
        <v>3</v>
      </c>
    </row>
    <row r="1737" spans="2:6" x14ac:dyDescent="0.2">
      <c r="B1737" t="s">
        <v>6731</v>
      </c>
      <c r="C1737" t="s">
        <v>6732</v>
      </c>
      <c r="D1737">
        <v>7</v>
      </c>
      <c r="E1737" t="s">
        <v>6566</v>
      </c>
      <c r="F1737">
        <v>1</v>
      </c>
    </row>
    <row r="1738" spans="2:6" x14ac:dyDescent="0.2">
      <c r="B1738" t="s">
        <v>6733</v>
      </c>
      <c r="C1738" t="s">
        <v>6734</v>
      </c>
      <c r="D1738">
        <v>7</v>
      </c>
      <c r="E1738" t="s">
        <v>6735</v>
      </c>
      <c r="F1738">
        <v>9</v>
      </c>
    </row>
    <row r="1739" spans="2:6" x14ac:dyDescent="0.2">
      <c r="B1739" t="s">
        <v>6736</v>
      </c>
      <c r="C1739" t="s">
        <v>6737</v>
      </c>
      <c r="D1739">
        <v>7</v>
      </c>
      <c r="E1739" t="s">
        <v>2930</v>
      </c>
      <c r="F1739">
        <v>1</v>
      </c>
    </row>
    <row r="1740" spans="2:6" x14ac:dyDescent="0.2">
      <c r="B1740" t="s">
        <v>6738</v>
      </c>
      <c r="C1740" t="s">
        <v>6739</v>
      </c>
      <c r="D1740">
        <v>7</v>
      </c>
      <c r="E1740" t="s">
        <v>6740</v>
      </c>
      <c r="F1740">
        <v>13</v>
      </c>
    </row>
    <row r="1741" spans="2:6" x14ac:dyDescent="0.2">
      <c r="B1741" t="s">
        <v>6741</v>
      </c>
      <c r="C1741" t="s">
        <v>6742</v>
      </c>
      <c r="D1741">
        <v>7</v>
      </c>
      <c r="E1741" t="s">
        <v>4232</v>
      </c>
      <c r="F1741">
        <v>1</v>
      </c>
    </row>
    <row r="1742" spans="2:6" x14ac:dyDescent="0.2">
      <c r="B1742" t="s">
        <v>6743</v>
      </c>
      <c r="C1742" t="s">
        <v>6744</v>
      </c>
      <c r="D1742">
        <v>7</v>
      </c>
      <c r="E1742" t="s">
        <v>3814</v>
      </c>
      <c r="F1742">
        <v>1</v>
      </c>
    </row>
    <row r="1743" spans="2:6" x14ac:dyDescent="0.2">
      <c r="B1743" t="s">
        <v>6745</v>
      </c>
      <c r="C1743" t="s">
        <v>6746</v>
      </c>
      <c r="D1743">
        <v>7</v>
      </c>
      <c r="E1743" t="s">
        <v>6747</v>
      </c>
      <c r="F1743">
        <v>1</v>
      </c>
    </row>
    <row r="1744" spans="2:6" x14ac:dyDescent="0.2">
      <c r="B1744" t="s">
        <v>6748</v>
      </c>
      <c r="C1744" t="s">
        <v>6749</v>
      </c>
      <c r="D1744">
        <v>7</v>
      </c>
      <c r="E1744" t="s">
        <v>2785</v>
      </c>
      <c r="F1744">
        <v>3</v>
      </c>
    </row>
    <row r="1745" spans="2:6" x14ac:dyDescent="0.2">
      <c r="B1745" t="s">
        <v>6750</v>
      </c>
      <c r="C1745" t="s">
        <v>6751</v>
      </c>
      <c r="D1745">
        <v>7</v>
      </c>
      <c r="E1745" t="s">
        <v>3386</v>
      </c>
      <c r="F1745">
        <v>2</v>
      </c>
    </row>
    <row r="1746" spans="2:6" x14ac:dyDescent="0.2">
      <c r="B1746" t="s">
        <v>6752</v>
      </c>
      <c r="C1746" t="s">
        <v>6753</v>
      </c>
      <c r="D1746">
        <v>7</v>
      </c>
      <c r="E1746" t="s">
        <v>6754</v>
      </c>
      <c r="F1746">
        <v>9</v>
      </c>
    </row>
    <row r="1747" spans="2:6" x14ac:dyDescent="0.2">
      <c r="B1747" t="s">
        <v>6755</v>
      </c>
      <c r="C1747" t="s">
        <v>6756</v>
      </c>
      <c r="D1747">
        <v>7</v>
      </c>
      <c r="E1747" t="s">
        <v>6757</v>
      </c>
      <c r="F1747">
        <v>2</v>
      </c>
    </row>
    <row r="1748" spans="2:6" x14ac:dyDescent="0.2">
      <c r="B1748" t="s">
        <v>6758</v>
      </c>
      <c r="C1748" t="s">
        <v>6759</v>
      </c>
      <c r="D1748">
        <v>7</v>
      </c>
      <c r="E1748" t="s">
        <v>2924</v>
      </c>
      <c r="F1748">
        <v>7</v>
      </c>
    </row>
    <row r="1749" spans="2:6" x14ac:dyDescent="0.2">
      <c r="B1749" t="s">
        <v>6760</v>
      </c>
      <c r="C1749" t="s">
        <v>6761</v>
      </c>
      <c r="D1749">
        <v>7</v>
      </c>
      <c r="E1749" t="s">
        <v>6762</v>
      </c>
      <c r="F1749">
        <v>1</v>
      </c>
    </row>
    <row r="1750" spans="2:6" x14ac:dyDescent="0.2">
      <c r="B1750" t="s">
        <v>289</v>
      </c>
      <c r="C1750" t="s">
        <v>6763</v>
      </c>
      <c r="D1750">
        <v>7</v>
      </c>
      <c r="E1750" t="s">
        <v>4823</v>
      </c>
      <c r="F1750">
        <v>4</v>
      </c>
    </row>
    <row r="1751" spans="2:6" x14ac:dyDescent="0.2">
      <c r="B1751" t="s">
        <v>6764</v>
      </c>
      <c r="C1751" t="s">
        <v>6765</v>
      </c>
      <c r="D1751">
        <v>7</v>
      </c>
      <c r="E1751" t="s">
        <v>6766</v>
      </c>
      <c r="F1751">
        <v>1</v>
      </c>
    </row>
    <row r="1752" spans="2:6" x14ac:dyDescent="0.2">
      <c r="B1752" t="s">
        <v>6767</v>
      </c>
      <c r="C1752" t="s">
        <v>6768</v>
      </c>
      <c r="D1752">
        <v>7</v>
      </c>
      <c r="E1752" t="s">
        <v>6769</v>
      </c>
      <c r="F1752">
        <v>2</v>
      </c>
    </row>
    <row r="1753" spans="2:6" x14ac:dyDescent="0.2">
      <c r="B1753" t="s">
        <v>6770</v>
      </c>
      <c r="C1753" t="s">
        <v>6771</v>
      </c>
      <c r="D1753">
        <v>7</v>
      </c>
      <c r="E1753" t="s">
        <v>6772</v>
      </c>
      <c r="F1753">
        <v>4</v>
      </c>
    </row>
    <row r="1754" spans="2:6" x14ac:dyDescent="0.2">
      <c r="B1754" t="s">
        <v>742</v>
      </c>
      <c r="C1754" t="s">
        <v>6773</v>
      </c>
      <c r="D1754">
        <v>7</v>
      </c>
      <c r="E1754" t="s">
        <v>5992</v>
      </c>
      <c r="F1754">
        <v>13</v>
      </c>
    </row>
    <row r="1755" spans="2:6" x14ac:dyDescent="0.2">
      <c r="B1755" t="s">
        <v>6774</v>
      </c>
      <c r="C1755" t="s">
        <v>6775</v>
      </c>
      <c r="D1755">
        <v>7</v>
      </c>
      <c r="E1755" t="s">
        <v>6776</v>
      </c>
      <c r="F1755">
        <v>1</v>
      </c>
    </row>
    <row r="1756" spans="2:6" x14ac:dyDescent="0.2">
      <c r="B1756" t="s">
        <v>6777</v>
      </c>
      <c r="C1756" t="s">
        <v>6778</v>
      </c>
      <c r="D1756">
        <v>7</v>
      </c>
      <c r="E1756" t="s">
        <v>2930</v>
      </c>
      <c r="F1756">
        <v>1</v>
      </c>
    </row>
    <row r="1757" spans="2:6" x14ac:dyDescent="0.2">
      <c r="B1757" t="s">
        <v>6779</v>
      </c>
      <c r="C1757" t="s">
        <v>6780</v>
      </c>
      <c r="D1757">
        <v>7</v>
      </c>
      <c r="E1757" t="s">
        <v>3475</v>
      </c>
      <c r="F1757">
        <v>1</v>
      </c>
    </row>
    <row r="1758" spans="2:6" x14ac:dyDescent="0.2">
      <c r="B1758" t="s">
        <v>6781</v>
      </c>
      <c r="C1758" t="s">
        <v>6782</v>
      </c>
      <c r="D1758">
        <v>7</v>
      </c>
      <c r="E1758" t="s">
        <v>3213</v>
      </c>
      <c r="F1758">
        <v>1</v>
      </c>
    </row>
    <row r="1759" spans="2:6" x14ac:dyDescent="0.2">
      <c r="B1759" t="s">
        <v>6783</v>
      </c>
      <c r="C1759" t="s">
        <v>6784</v>
      </c>
      <c r="D1759">
        <v>7</v>
      </c>
      <c r="E1759" t="s">
        <v>4104</v>
      </c>
      <c r="F1759">
        <v>12</v>
      </c>
    </row>
    <row r="1760" spans="2:6" x14ac:dyDescent="0.2">
      <c r="B1760" t="s">
        <v>6785</v>
      </c>
      <c r="C1760" t="s">
        <v>6786</v>
      </c>
      <c r="D1760">
        <v>7</v>
      </c>
      <c r="E1760" t="s">
        <v>2924</v>
      </c>
      <c r="F1760">
        <v>8</v>
      </c>
    </row>
    <row r="1761" spans="2:6" x14ac:dyDescent="0.2">
      <c r="B1761" t="s">
        <v>477</v>
      </c>
      <c r="C1761" t="s">
        <v>6787</v>
      </c>
      <c r="D1761">
        <v>7</v>
      </c>
      <c r="E1761" t="s">
        <v>3250</v>
      </c>
      <c r="F1761">
        <v>2</v>
      </c>
    </row>
    <row r="1762" spans="2:6" x14ac:dyDescent="0.2">
      <c r="B1762" t="s">
        <v>6788</v>
      </c>
      <c r="C1762" t="s">
        <v>6789</v>
      </c>
      <c r="D1762">
        <v>7</v>
      </c>
      <c r="E1762" t="s">
        <v>3402</v>
      </c>
      <c r="F1762">
        <v>1</v>
      </c>
    </row>
    <row r="1763" spans="2:6" x14ac:dyDescent="0.2">
      <c r="B1763" t="s">
        <v>6790</v>
      </c>
      <c r="C1763" t="s">
        <v>3680</v>
      </c>
      <c r="D1763">
        <v>7</v>
      </c>
      <c r="E1763" t="s">
        <v>6791</v>
      </c>
      <c r="F1763">
        <v>7</v>
      </c>
    </row>
    <row r="1764" spans="2:6" x14ac:dyDescent="0.2">
      <c r="B1764" t="s">
        <v>1648</v>
      </c>
      <c r="C1764" t="s">
        <v>6792</v>
      </c>
      <c r="D1764">
        <v>7</v>
      </c>
      <c r="E1764" t="s">
        <v>2830</v>
      </c>
      <c r="F1764">
        <v>4</v>
      </c>
    </row>
    <row r="1765" spans="2:6" x14ac:dyDescent="0.2">
      <c r="B1765" t="s">
        <v>6793</v>
      </c>
      <c r="C1765" t="s">
        <v>6794</v>
      </c>
      <c r="D1765">
        <v>7</v>
      </c>
      <c r="E1765" t="s">
        <v>6795</v>
      </c>
      <c r="F1765">
        <v>3</v>
      </c>
    </row>
    <row r="1766" spans="2:6" x14ac:dyDescent="0.2">
      <c r="B1766" t="s">
        <v>6796</v>
      </c>
      <c r="C1766" t="s">
        <v>6797</v>
      </c>
      <c r="D1766">
        <v>7</v>
      </c>
      <c r="E1766" t="s">
        <v>6798</v>
      </c>
      <c r="F1766">
        <v>12</v>
      </c>
    </row>
    <row r="1767" spans="2:6" x14ac:dyDescent="0.2">
      <c r="B1767" t="s">
        <v>6799</v>
      </c>
      <c r="C1767" t="s">
        <v>6800</v>
      </c>
      <c r="D1767">
        <v>7</v>
      </c>
      <c r="E1767" t="s">
        <v>6801</v>
      </c>
      <c r="F1767">
        <v>2</v>
      </c>
    </row>
    <row r="1768" spans="2:6" x14ac:dyDescent="0.2">
      <c r="B1768" t="s">
        <v>6802</v>
      </c>
      <c r="C1768" t="s">
        <v>6803</v>
      </c>
      <c r="D1768">
        <v>7</v>
      </c>
      <c r="E1768" t="s">
        <v>3532</v>
      </c>
      <c r="F1768">
        <v>1</v>
      </c>
    </row>
    <row r="1769" spans="2:6" x14ac:dyDescent="0.2">
      <c r="B1769" t="s">
        <v>527</v>
      </c>
      <c r="C1769" t="s">
        <v>6804</v>
      </c>
      <c r="D1769">
        <v>7</v>
      </c>
      <c r="E1769" t="s">
        <v>6805</v>
      </c>
      <c r="F1769">
        <v>20</v>
      </c>
    </row>
    <row r="1770" spans="2:6" x14ac:dyDescent="0.2">
      <c r="B1770" t="s">
        <v>6806</v>
      </c>
      <c r="C1770" t="s">
        <v>6807</v>
      </c>
      <c r="D1770">
        <v>7</v>
      </c>
      <c r="E1770" t="s">
        <v>6170</v>
      </c>
      <c r="F1770">
        <v>1</v>
      </c>
    </row>
    <row r="1771" spans="2:6" x14ac:dyDescent="0.2">
      <c r="B1771" t="s">
        <v>6808</v>
      </c>
      <c r="C1771" t="s">
        <v>6809</v>
      </c>
      <c r="D1771">
        <v>7</v>
      </c>
      <c r="E1771" t="s">
        <v>2785</v>
      </c>
      <c r="F1771">
        <v>2</v>
      </c>
    </row>
    <row r="1772" spans="2:6" x14ac:dyDescent="0.2">
      <c r="B1772" t="s">
        <v>6810</v>
      </c>
      <c r="C1772" t="s">
        <v>6811</v>
      </c>
      <c r="D1772">
        <v>7</v>
      </c>
      <c r="E1772" t="s">
        <v>6812</v>
      </c>
      <c r="F1772">
        <v>12</v>
      </c>
    </row>
    <row r="1773" spans="2:6" x14ac:dyDescent="0.2">
      <c r="B1773" t="s">
        <v>6813</v>
      </c>
      <c r="C1773" t="s">
        <v>6814</v>
      </c>
      <c r="D1773">
        <v>7</v>
      </c>
      <c r="E1773" t="s">
        <v>4358</v>
      </c>
      <c r="F1773">
        <v>1</v>
      </c>
    </row>
    <row r="1774" spans="2:6" x14ac:dyDescent="0.2">
      <c r="B1774" t="s">
        <v>6815</v>
      </c>
      <c r="C1774" t="s">
        <v>6816</v>
      </c>
      <c r="D1774">
        <v>7</v>
      </c>
      <c r="E1774" t="s">
        <v>3839</v>
      </c>
      <c r="F1774">
        <v>1</v>
      </c>
    </row>
    <row r="1775" spans="2:6" x14ac:dyDescent="0.2">
      <c r="B1775" t="s">
        <v>1093</v>
      </c>
      <c r="C1775" t="s">
        <v>5957</v>
      </c>
      <c r="D1775">
        <v>7</v>
      </c>
      <c r="E1775" t="s">
        <v>2895</v>
      </c>
      <c r="F1775">
        <v>1</v>
      </c>
    </row>
    <row r="1776" spans="2:6" x14ac:dyDescent="0.2">
      <c r="B1776" t="s">
        <v>6817</v>
      </c>
      <c r="C1776" t="s">
        <v>6818</v>
      </c>
      <c r="D1776">
        <v>7</v>
      </c>
      <c r="E1776" t="s">
        <v>6819</v>
      </c>
      <c r="F1776">
        <v>3</v>
      </c>
    </row>
    <row r="1777" spans="2:6" x14ac:dyDescent="0.2">
      <c r="B1777" t="s">
        <v>6820</v>
      </c>
      <c r="C1777" t="s">
        <v>6821</v>
      </c>
      <c r="D1777">
        <v>7</v>
      </c>
      <c r="E1777" t="s">
        <v>6822</v>
      </c>
      <c r="F1777">
        <v>6</v>
      </c>
    </row>
    <row r="1778" spans="2:6" x14ac:dyDescent="0.2">
      <c r="B1778" t="s">
        <v>6823</v>
      </c>
      <c r="C1778" t="s">
        <v>6824</v>
      </c>
      <c r="D1778">
        <v>7</v>
      </c>
      <c r="E1778" t="s">
        <v>6825</v>
      </c>
      <c r="F1778">
        <v>14</v>
      </c>
    </row>
    <row r="1779" spans="2:6" x14ac:dyDescent="0.2">
      <c r="B1779" t="s">
        <v>6826</v>
      </c>
      <c r="C1779" t="s">
        <v>6827</v>
      </c>
      <c r="D1779">
        <v>7</v>
      </c>
      <c r="E1779" t="s">
        <v>4836</v>
      </c>
      <c r="F1779">
        <v>3</v>
      </c>
    </row>
    <row r="1780" spans="2:6" x14ac:dyDescent="0.2">
      <c r="B1780" t="s">
        <v>6828</v>
      </c>
      <c r="C1780" t="s">
        <v>6829</v>
      </c>
      <c r="D1780">
        <v>7</v>
      </c>
      <c r="E1780" t="s">
        <v>6724</v>
      </c>
      <c r="F1780">
        <v>2</v>
      </c>
    </row>
    <row r="1781" spans="2:6" x14ac:dyDescent="0.2">
      <c r="B1781" t="s">
        <v>6830</v>
      </c>
      <c r="C1781" t="s">
        <v>6831</v>
      </c>
      <c r="D1781">
        <v>7</v>
      </c>
      <c r="E1781" t="s">
        <v>6832</v>
      </c>
      <c r="F1781">
        <v>5</v>
      </c>
    </row>
    <row r="1782" spans="2:6" x14ac:dyDescent="0.2">
      <c r="B1782" t="s">
        <v>6833</v>
      </c>
      <c r="C1782" t="s">
        <v>6834</v>
      </c>
      <c r="D1782">
        <v>7</v>
      </c>
      <c r="E1782" t="s">
        <v>3294</v>
      </c>
      <c r="F1782">
        <v>9</v>
      </c>
    </row>
    <row r="1783" spans="2:6" x14ac:dyDescent="0.2">
      <c r="B1783" t="s">
        <v>6835</v>
      </c>
      <c r="C1783" t="s">
        <v>6836</v>
      </c>
      <c r="D1783">
        <v>7</v>
      </c>
      <c r="E1783" t="s">
        <v>4520</v>
      </c>
      <c r="F1783">
        <v>1</v>
      </c>
    </row>
    <row r="1784" spans="2:6" x14ac:dyDescent="0.2">
      <c r="B1784" t="s">
        <v>6837</v>
      </c>
      <c r="C1784" t="s">
        <v>6838</v>
      </c>
      <c r="D1784">
        <v>7</v>
      </c>
      <c r="E1784" t="s">
        <v>3232</v>
      </c>
      <c r="F1784">
        <v>1</v>
      </c>
    </row>
    <row r="1785" spans="2:6" x14ac:dyDescent="0.2">
      <c r="B1785" t="s">
        <v>6839</v>
      </c>
      <c r="C1785" t="s">
        <v>6840</v>
      </c>
      <c r="D1785">
        <v>7</v>
      </c>
      <c r="E1785" t="s">
        <v>2788</v>
      </c>
      <c r="F1785">
        <v>2</v>
      </c>
    </row>
    <row r="1786" spans="2:6" x14ac:dyDescent="0.2">
      <c r="B1786" t="s">
        <v>6841</v>
      </c>
      <c r="C1786" t="s">
        <v>6842</v>
      </c>
      <c r="D1786">
        <v>7</v>
      </c>
      <c r="E1786" t="s">
        <v>6566</v>
      </c>
      <c r="F1786">
        <v>2</v>
      </c>
    </row>
    <row r="1787" spans="2:6" x14ac:dyDescent="0.2">
      <c r="B1787" t="s">
        <v>6843</v>
      </c>
      <c r="C1787" t="s">
        <v>6844</v>
      </c>
      <c r="D1787">
        <v>7</v>
      </c>
      <c r="E1787" t="s">
        <v>6845</v>
      </c>
      <c r="F1787">
        <v>1</v>
      </c>
    </row>
    <row r="1788" spans="2:6" x14ac:dyDescent="0.2">
      <c r="B1788" t="s">
        <v>6846</v>
      </c>
      <c r="C1788" t="s">
        <v>6847</v>
      </c>
      <c r="D1788">
        <v>7</v>
      </c>
      <c r="E1788" t="s">
        <v>2915</v>
      </c>
      <c r="F1788">
        <v>2</v>
      </c>
    </row>
    <row r="1789" spans="2:6" x14ac:dyDescent="0.2">
      <c r="B1789" t="s">
        <v>768</v>
      </c>
      <c r="C1789" t="s">
        <v>6848</v>
      </c>
      <c r="D1789">
        <v>7</v>
      </c>
      <c r="E1789" t="s">
        <v>3628</v>
      </c>
      <c r="F1789">
        <v>4</v>
      </c>
    </row>
    <row r="1790" spans="2:6" x14ac:dyDescent="0.2">
      <c r="B1790" t="s">
        <v>6849</v>
      </c>
      <c r="C1790" t="s">
        <v>6850</v>
      </c>
      <c r="D1790">
        <v>7</v>
      </c>
      <c r="E1790" t="s">
        <v>6851</v>
      </c>
      <c r="F1790">
        <v>1</v>
      </c>
    </row>
    <row r="1791" spans="2:6" x14ac:dyDescent="0.2">
      <c r="B1791" t="s">
        <v>6852</v>
      </c>
      <c r="C1791" t="s">
        <v>6853</v>
      </c>
      <c r="D1791">
        <v>7</v>
      </c>
      <c r="E1791" t="s">
        <v>2895</v>
      </c>
      <c r="F1791">
        <v>2</v>
      </c>
    </row>
    <row r="1792" spans="2:6" x14ac:dyDescent="0.2">
      <c r="B1792" t="s">
        <v>6854</v>
      </c>
      <c r="C1792" t="s">
        <v>6855</v>
      </c>
      <c r="D1792">
        <v>7</v>
      </c>
      <c r="E1792" t="s">
        <v>5742</v>
      </c>
      <c r="F1792">
        <v>12</v>
      </c>
    </row>
    <row r="1793" spans="2:6" x14ac:dyDescent="0.2">
      <c r="B1793" t="s">
        <v>1801</v>
      </c>
      <c r="C1793" t="s">
        <v>6856</v>
      </c>
      <c r="D1793">
        <v>7</v>
      </c>
      <c r="E1793" t="s">
        <v>4956</v>
      </c>
      <c r="F1793">
        <v>1</v>
      </c>
    </row>
    <row r="1794" spans="2:6" x14ac:dyDescent="0.2">
      <c r="B1794" t="s">
        <v>6857</v>
      </c>
      <c r="C1794" t="s">
        <v>6858</v>
      </c>
      <c r="D1794">
        <v>7</v>
      </c>
      <c r="E1794" t="s">
        <v>3586</v>
      </c>
      <c r="F1794">
        <v>7</v>
      </c>
    </row>
    <row r="1795" spans="2:6" x14ac:dyDescent="0.2">
      <c r="B1795" t="s">
        <v>6859</v>
      </c>
      <c r="C1795" t="s">
        <v>6860</v>
      </c>
      <c r="D1795">
        <v>7</v>
      </c>
      <c r="E1795" t="s">
        <v>2903</v>
      </c>
      <c r="F1795">
        <v>5</v>
      </c>
    </row>
    <row r="1796" spans="2:6" x14ac:dyDescent="0.2">
      <c r="B1796" t="s">
        <v>2103</v>
      </c>
      <c r="C1796" t="s">
        <v>6861</v>
      </c>
      <c r="D1796">
        <v>7</v>
      </c>
      <c r="E1796" t="s">
        <v>3495</v>
      </c>
      <c r="F1796">
        <v>1</v>
      </c>
    </row>
    <row r="1797" spans="2:6" x14ac:dyDescent="0.2">
      <c r="B1797" t="s">
        <v>6862</v>
      </c>
      <c r="C1797" t="s">
        <v>6863</v>
      </c>
      <c r="D1797">
        <v>7</v>
      </c>
      <c r="E1797" t="s">
        <v>6864</v>
      </c>
      <c r="F1797">
        <v>2</v>
      </c>
    </row>
    <row r="1798" spans="2:6" x14ac:dyDescent="0.2">
      <c r="B1798" t="s">
        <v>6865</v>
      </c>
      <c r="C1798" t="s">
        <v>6866</v>
      </c>
      <c r="D1798">
        <v>7</v>
      </c>
      <c r="E1798" t="s">
        <v>3702</v>
      </c>
      <c r="F1798">
        <v>3</v>
      </c>
    </row>
    <row r="1799" spans="2:6" x14ac:dyDescent="0.2">
      <c r="B1799" t="s">
        <v>6867</v>
      </c>
      <c r="C1799" t="s">
        <v>6868</v>
      </c>
      <c r="D1799">
        <v>7</v>
      </c>
      <c r="E1799" t="s">
        <v>3327</v>
      </c>
      <c r="F1799">
        <v>2</v>
      </c>
    </row>
    <row r="1800" spans="2:6" x14ac:dyDescent="0.2">
      <c r="B1800" t="s">
        <v>6869</v>
      </c>
      <c r="C1800" t="s">
        <v>6870</v>
      </c>
      <c r="D1800">
        <v>7</v>
      </c>
      <c r="E1800" t="s">
        <v>3960</v>
      </c>
      <c r="F1800">
        <v>1</v>
      </c>
    </row>
    <row r="1801" spans="2:6" x14ac:dyDescent="0.2">
      <c r="B1801" t="s">
        <v>6871</v>
      </c>
      <c r="C1801" t="s">
        <v>6872</v>
      </c>
      <c r="D1801">
        <v>7</v>
      </c>
      <c r="E1801" t="s">
        <v>4151</v>
      </c>
      <c r="F1801">
        <v>1</v>
      </c>
    </row>
    <row r="1802" spans="2:6" x14ac:dyDescent="0.2">
      <c r="B1802" t="s">
        <v>672</v>
      </c>
      <c r="C1802" t="s">
        <v>6873</v>
      </c>
      <c r="D1802">
        <v>7</v>
      </c>
      <c r="E1802" t="s">
        <v>2842</v>
      </c>
      <c r="F1802">
        <v>10</v>
      </c>
    </row>
    <row r="1803" spans="2:6" x14ac:dyDescent="0.2">
      <c r="B1803" t="s">
        <v>6874</v>
      </c>
      <c r="C1803" t="s">
        <v>6875</v>
      </c>
      <c r="D1803">
        <v>7</v>
      </c>
      <c r="E1803" t="s">
        <v>4187</v>
      </c>
      <c r="F1803">
        <v>24</v>
      </c>
    </row>
    <row r="1804" spans="2:6" x14ac:dyDescent="0.2">
      <c r="B1804" t="s">
        <v>219</v>
      </c>
      <c r="C1804" t="s">
        <v>6876</v>
      </c>
      <c r="D1804">
        <v>7</v>
      </c>
      <c r="E1804" t="s">
        <v>4367</v>
      </c>
      <c r="F1804">
        <v>30</v>
      </c>
    </row>
    <row r="1805" spans="2:6" x14ac:dyDescent="0.2">
      <c r="B1805" t="s">
        <v>6877</v>
      </c>
      <c r="C1805" t="s">
        <v>6878</v>
      </c>
      <c r="D1805">
        <v>7</v>
      </c>
      <c r="E1805" t="s">
        <v>6879</v>
      </c>
      <c r="F1805">
        <v>1</v>
      </c>
    </row>
    <row r="1806" spans="2:6" x14ac:dyDescent="0.2">
      <c r="B1806" t="s">
        <v>6880</v>
      </c>
      <c r="C1806" t="s">
        <v>6881</v>
      </c>
      <c r="D1806">
        <v>7</v>
      </c>
      <c r="E1806" t="s">
        <v>4629</v>
      </c>
      <c r="F1806">
        <v>4</v>
      </c>
    </row>
    <row r="1807" spans="2:6" x14ac:dyDescent="0.2">
      <c r="B1807" t="s">
        <v>6882</v>
      </c>
      <c r="C1807" t="s">
        <v>6883</v>
      </c>
      <c r="D1807">
        <v>7</v>
      </c>
      <c r="E1807" t="s">
        <v>6884</v>
      </c>
      <c r="F1807">
        <v>8</v>
      </c>
    </row>
    <row r="1808" spans="2:6" x14ac:dyDescent="0.2">
      <c r="B1808" t="s">
        <v>6885</v>
      </c>
      <c r="C1808" t="s">
        <v>6886</v>
      </c>
      <c r="D1808">
        <v>7</v>
      </c>
      <c r="E1808" t="s">
        <v>6887</v>
      </c>
      <c r="F1808">
        <v>12</v>
      </c>
    </row>
    <row r="1809" spans="2:6" x14ac:dyDescent="0.2">
      <c r="B1809" t="s">
        <v>6888</v>
      </c>
      <c r="C1809" t="s">
        <v>6889</v>
      </c>
      <c r="D1809">
        <v>7</v>
      </c>
      <c r="E1809" t="s">
        <v>6890</v>
      </c>
      <c r="F1809">
        <v>6</v>
      </c>
    </row>
    <row r="1810" spans="2:6" x14ac:dyDescent="0.2">
      <c r="B1810" t="s">
        <v>6891</v>
      </c>
      <c r="C1810" t="s">
        <v>6892</v>
      </c>
      <c r="D1810">
        <v>7</v>
      </c>
      <c r="E1810" t="s">
        <v>4909</v>
      </c>
      <c r="F1810">
        <v>2</v>
      </c>
    </row>
    <row r="1811" spans="2:6" x14ac:dyDescent="0.2">
      <c r="B1811" t="s">
        <v>6893</v>
      </c>
      <c r="C1811" t="s">
        <v>6894</v>
      </c>
      <c r="D1811">
        <v>7</v>
      </c>
      <c r="E1811" t="s">
        <v>6895</v>
      </c>
      <c r="F1811">
        <v>1</v>
      </c>
    </row>
    <row r="1812" spans="2:6" x14ac:dyDescent="0.2">
      <c r="B1812" t="s">
        <v>6896</v>
      </c>
      <c r="C1812" t="s">
        <v>6897</v>
      </c>
      <c r="D1812">
        <v>7</v>
      </c>
      <c r="E1812" t="s">
        <v>6898</v>
      </c>
      <c r="F1812">
        <v>1</v>
      </c>
    </row>
    <row r="1813" spans="2:6" x14ac:dyDescent="0.2">
      <c r="B1813" t="s">
        <v>6899</v>
      </c>
      <c r="C1813" t="s">
        <v>6900</v>
      </c>
      <c r="D1813">
        <v>7</v>
      </c>
      <c r="E1813" t="s">
        <v>3621</v>
      </c>
      <c r="F1813">
        <v>6</v>
      </c>
    </row>
    <row r="1814" spans="2:6" x14ac:dyDescent="0.2">
      <c r="B1814" t="s">
        <v>6901</v>
      </c>
      <c r="C1814" t="s">
        <v>6902</v>
      </c>
      <c r="D1814">
        <v>7</v>
      </c>
      <c r="E1814" t="s">
        <v>6903</v>
      </c>
      <c r="F1814">
        <v>2</v>
      </c>
    </row>
    <row r="1815" spans="2:6" x14ac:dyDescent="0.2">
      <c r="B1815" t="s">
        <v>6904</v>
      </c>
      <c r="C1815" t="s">
        <v>5168</v>
      </c>
      <c r="D1815">
        <v>7</v>
      </c>
      <c r="E1815" t="s">
        <v>3688</v>
      </c>
      <c r="F1815">
        <v>1</v>
      </c>
    </row>
    <row r="1816" spans="2:6" x14ac:dyDescent="0.2">
      <c r="B1816" t="s">
        <v>6905</v>
      </c>
      <c r="C1816" t="s">
        <v>6906</v>
      </c>
      <c r="D1816">
        <v>7</v>
      </c>
      <c r="E1816" t="s">
        <v>6907</v>
      </c>
      <c r="F1816">
        <v>2</v>
      </c>
    </row>
    <row r="1817" spans="2:6" x14ac:dyDescent="0.2">
      <c r="B1817" t="s">
        <v>6908</v>
      </c>
      <c r="C1817" t="s">
        <v>6909</v>
      </c>
      <c r="D1817">
        <v>7</v>
      </c>
      <c r="E1817" t="s">
        <v>2830</v>
      </c>
      <c r="F1817">
        <v>2</v>
      </c>
    </row>
    <row r="1818" spans="2:6" x14ac:dyDescent="0.2">
      <c r="B1818" t="s">
        <v>6910</v>
      </c>
      <c r="C1818" t="s">
        <v>6911</v>
      </c>
      <c r="D1818">
        <v>7</v>
      </c>
      <c r="E1818" t="s">
        <v>6912</v>
      </c>
      <c r="F1818">
        <v>3</v>
      </c>
    </row>
    <row r="1819" spans="2:6" x14ac:dyDescent="0.2">
      <c r="B1819" t="s">
        <v>6913</v>
      </c>
      <c r="C1819" t="s">
        <v>6914</v>
      </c>
      <c r="D1819">
        <v>7</v>
      </c>
      <c r="E1819" t="s">
        <v>6915</v>
      </c>
      <c r="F1819">
        <v>4</v>
      </c>
    </row>
    <row r="1820" spans="2:6" x14ac:dyDescent="0.2">
      <c r="B1820" t="s">
        <v>6916</v>
      </c>
      <c r="C1820" t="s">
        <v>6917</v>
      </c>
      <c r="D1820">
        <v>7</v>
      </c>
      <c r="E1820" t="s">
        <v>6918</v>
      </c>
      <c r="F1820">
        <v>10</v>
      </c>
    </row>
    <row r="1821" spans="2:6" x14ac:dyDescent="0.2">
      <c r="B1821" t="s">
        <v>6919</v>
      </c>
      <c r="C1821" t="s">
        <v>6920</v>
      </c>
      <c r="D1821">
        <v>7</v>
      </c>
      <c r="E1821" t="s">
        <v>5128</v>
      </c>
      <c r="F1821">
        <v>3</v>
      </c>
    </row>
    <row r="1822" spans="2:6" x14ac:dyDescent="0.2">
      <c r="B1822" t="s">
        <v>6921</v>
      </c>
      <c r="C1822" t="s">
        <v>6922</v>
      </c>
      <c r="D1822">
        <v>7</v>
      </c>
      <c r="E1822" t="s">
        <v>3742</v>
      </c>
      <c r="F1822">
        <v>2</v>
      </c>
    </row>
    <row r="1823" spans="2:6" x14ac:dyDescent="0.2">
      <c r="B1823" t="s">
        <v>448</v>
      </c>
      <c r="C1823" t="s">
        <v>6923</v>
      </c>
      <c r="D1823">
        <v>7</v>
      </c>
      <c r="E1823" t="s">
        <v>6924</v>
      </c>
      <c r="F1823">
        <v>3</v>
      </c>
    </row>
    <row r="1824" spans="2:6" x14ac:dyDescent="0.2">
      <c r="B1824" t="s">
        <v>6925</v>
      </c>
      <c r="C1824" t="s">
        <v>6926</v>
      </c>
      <c r="D1824">
        <v>7</v>
      </c>
      <c r="E1824" t="s">
        <v>5339</v>
      </c>
      <c r="F1824">
        <v>1</v>
      </c>
    </row>
    <row r="1825" spans="2:6" x14ac:dyDescent="0.2">
      <c r="B1825" t="s">
        <v>6927</v>
      </c>
      <c r="C1825" t="s">
        <v>6928</v>
      </c>
      <c r="D1825">
        <v>7</v>
      </c>
      <c r="E1825" t="s">
        <v>6929</v>
      </c>
      <c r="F1825">
        <v>1</v>
      </c>
    </row>
    <row r="1826" spans="2:6" x14ac:dyDescent="0.2">
      <c r="B1826" t="s">
        <v>6930</v>
      </c>
      <c r="C1826" t="s">
        <v>5715</v>
      </c>
      <c r="D1826">
        <v>7</v>
      </c>
      <c r="E1826" t="s">
        <v>6931</v>
      </c>
      <c r="F1826">
        <v>42</v>
      </c>
    </row>
    <row r="1827" spans="2:6" x14ac:dyDescent="0.2">
      <c r="B1827" t="s">
        <v>6932</v>
      </c>
      <c r="C1827" t="s">
        <v>6933</v>
      </c>
      <c r="D1827">
        <v>7</v>
      </c>
      <c r="E1827" t="s">
        <v>6934</v>
      </c>
      <c r="F1827">
        <v>8</v>
      </c>
    </row>
    <row r="1828" spans="2:6" x14ac:dyDescent="0.2">
      <c r="B1828" t="s">
        <v>6935</v>
      </c>
      <c r="C1828" t="s">
        <v>6936</v>
      </c>
      <c r="D1828">
        <v>7</v>
      </c>
      <c r="E1828" t="s">
        <v>4580</v>
      </c>
      <c r="F1828">
        <v>2</v>
      </c>
    </row>
    <row r="1829" spans="2:6" x14ac:dyDescent="0.2">
      <c r="B1829" t="s">
        <v>6937</v>
      </c>
      <c r="C1829" t="s">
        <v>6938</v>
      </c>
      <c r="D1829">
        <v>7</v>
      </c>
      <c r="E1829" t="s">
        <v>6939</v>
      </c>
      <c r="F1829">
        <v>2</v>
      </c>
    </row>
    <row r="1830" spans="2:6" x14ac:dyDescent="0.2">
      <c r="B1830" t="s">
        <v>908</v>
      </c>
      <c r="C1830" t="s">
        <v>6940</v>
      </c>
      <c r="D1830">
        <v>7</v>
      </c>
      <c r="E1830" t="s">
        <v>3423</v>
      </c>
      <c r="F1830">
        <v>3</v>
      </c>
    </row>
    <row r="1831" spans="2:6" x14ac:dyDescent="0.2">
      <c r="B1831" t="s">
        <v>6941</v>
      </c>
      <c r="C1831" t="s">
        <v>6942</v>
      </c>
      <c r="D1831">
        <v>7</v>
      </c>
      <c r="E1831" t="s">
        <v>6943</v>
      </c>
      <c r="F1831">
        <v>7</v>
      </c>
    </row>
    <row r="1832" spans="2:6" x14ac:dyDescent="0.2">
      <c r="B1832" t="s">
        <v>6944</v>
      </c>
      <c r="C1832" t="s">
        <v>6945</v>
      </c>
      <c r="D1832">
        <v>7</v>
      </c>
      <c r="E1832" t="s">
        <v>6946</v>
      </c>
      <c r="F1832">
        <v>11</v>
      </c>
    </row>
    <row r="1833" spans="2:6" x14ac:dyDescent="0.2">
      <c r="B1833" t="s">
        <v>6947</v>
      </c>
      <c r="C1833" t="s">
        <v>6948</v>
      </c>
      <c r="D1833">
        <v>7</v>
      </c>
      <c r="E1833" t="s">
        <v>3364</v>
      </c>
      <c r="F1833">
        <v>1</v>
      </c>
    </row>
    <row r="1834" spans="2:6" x14ac:dyDescent="0.2">
      <c r="B1834" t="s">
        <v>6949</v>
      </c>
      <c r="C1834" t="s">
        <v>6950</v>
      </c>
      <c r="D1834">
        <v>7</v>
      </c>
      <c r="E1834" t="s">
        <v>3153</v>
      </c>
      <c r="F1834">
        <v>1</v>
      </c>
    </row>
    <row r="1835" spans="2:6" x14ac:dyDescent="0.2">
      <c r="B1835" t="s">
        <v>6951</v>
      </c>
      <c r="C1835" t="s">
        <v>6952</v>
      </c>
      <c r="D1835">
        <v>7</v>
      </c>
      <c r="E1835" t="s">
        <v>6953</v>
      </c>
      <c r="F1835">
        <v>1</v>
      </c>
    </row>
    <row r="1836" spans="2:6" x14ac:dyDescent="0.2">
      <c r="B1836" t="s">
        <v>6954</v>
      </c>
      <c r="C1836" t="s">
        <v>6955</v>
      </c>
      <c r="D1836">
        <v>7</v>
      </c>
      <c r="E1836" t="s">
        <v>3001</v>
      </c>
      <c r="F1836">
        <v>2</v>
      </c>
    </row>
    <row r="1837" spans="2:6" x14ac:dyDescent="0.2">
      <c r="B1837" t="s">
        <v>6956</v>
      </c>
      <c r="C1837" t="s">
        <v>6957</v>
      </c>
      <c r="D1837">
        <v>7</v>
      </c>
      <c r="E1837" t="s">
        <v>4956</v>
      </c>
      <c r="F1837">
        <v>1</v>
      </c>
    </row>
    <row r="1838" spans="2:6" x14ac:dyDescent="0.2">
      <c r="B1838" t="s">
        <v>6958</v>
      </c>
      <c r="C1838" t="s">
        <v>6959</v>
      </c>
      <c r="D1838">
        <v>7</v>
      </c>
      <c r="E1838" t="s">
        <v>2915</v>
      </c>
      <c r="F1838">
        <v>2</v>
      </c>
    </row>
    <row r="1839" spans="2:6" x14ac:dyDescent="0.2">
      <c r="B1839" t="s">
        <v>6960</v>
      </c>
      <c r="C1839" t="s">
        <v>6961</v>
      </c>
      <c r="D1839">
        <v>7</v>
      </c>
      <c r="E1839" t="s">
        <v>2949</v>
      </c>
      <c r="F1839">
        <v>2</v>
      </c>
    </row>
    <row r="1840" spans="2:6" x14ac:dyDescent="0.2">
      <c r="B1840" t="s">
        <v>6962</v>
      </c>
      <c r="C1840" t="s">
        <v>6963</v>
      </c>
      <c r="D1840">
        <v>7</v>
      </c>
      <c r="E1840" t="s">
        <v>3031</v>
      </c>
      <c r="F1840">
        <v>1</v>
      </c>
    </row>
    <row r="1841" spans="2:6" x14ac:dyDescent="0.2">
      <c r="B1841" t="s">
        <v>711</v>
      </c>
      <c r="C1841" t="s">
        <v>6964</v>
      </c>
      <c r="D1841">
        <v>7</v>
      </c>
      <c r="E1841" t="s">
        <v>6965</v>
      </c>
      <c r="F1841">
        <v>21</v>
      </c>
    </row>
    <row r="1842" spans="2:6" x14ac:dyDescent="0.2">
      <c r="B1842" t="s">
        <v>6966</v>
      </c>
      <c r="C1842" t="s">
        <v>6967</v>
      </c>
      <c r="D1842">
        <v>7</v>
      </c>
      <c r="E1842" t="s">
        <v>3586</v>
      </c>
      <c r="F1842">
        <v>7</v>
      </c>
    </row>
    <row r="1843" spans="2:6" x14ac:dyDescent="0.2">
      <c r="B1843" t="s">
        <v>1370</v>
      </c>
      <c r="C1843" t="s">
        <v>6968</v>
      </c>
      <c r="D1843">
        <v>7</v>
      </c>
      <c r="E1843" t="s">
        <v>5147</v>
      </c>
      <c r="F1843">
        <v>9</v>
      </c>
    </row>
    <row r="1844" spans="2:6" x14ac:dyDescent="0.2">
      <c r="B1844" t="s">
        <v>6969</v>
      </c>
      <c r="C1844" t="s">
        <v>6970</v>
      </c>
      <c r="D1844">
        <v>7</v>
      </c>
      <c r="E1844" t="s">
        <v>6971</v>
      </c>
      <c r="F1844">
        <v>10</v>
      </c>
    </row>
    <row r="1845" spans="2:6" x14ac:dyDescent="0.2">
      <c r="B1845" t="s">
        <v>6972</v>
      </c>
      <c r="C1845" t="s">
        <v>6973</v>
      </c>
      <c r="D1845">
        <v>7</v>
      </c>
      <c r="E1845" t="s">
        <v>3092</v>
      </c>
      <c r="F1845">
        <v>3</v>
      </c>
    </row>
    <row r="1846" spans="2:6" x14ac:dyDescent="0.2">
      <c r="B1846" t="s">
        <v>852</v>
      </c>
      <c r="C1846" t="s">
        <v>6974</v>
      </c>
      <c r="D1846">
        <v>7</v>
      </c>
      <c r="E1846" t="s">
        <v>2988</v>
      </c>
      <c r="F1846">
        <v>2</v>
      </c>
    </row>
    <row r="1847" spans="2:6" x14ac:dyDescent="0.2">
      <c r="B1847" t="s">
        <v>6975</v>
      </c>
      <c r="C1847" t="s">
        <v>6976</v>
      </c>
      <c r="D1847">
        <v>7</v>
      </c>
      <c r="E1847" t="s">
        <v>6518</v>
      </c>
      <c r="F1847">
        <v>3</v>
      </c>
    </row>
    <row r="1848" spans="2:6" x14ac:dyDescent="0.2">
      <c r="B1848" t="s">
        <v>6977</v>
      </c>
      <c r="C1848" t="s">
        <v>6978</v>
      </c>
      <c r="D1848">
        <v>7</v>
      </c>
      <c r="E1848" t="s">
        <v>6979</v>
      </c>
      <c r="F1848">
        <v>6</v>
      </c>
    </row>
    <row r="1849" spans="2:6" x14ac:dyDescent="0.2">
      <c r="B1849" t="s">
        <v>6980</v>
      </c>
      <c r="C1849" t="s">
        <v>6981</v>
      </c>
      <c r="D1849">
        <v>7</v>
      </c>
      <c r="E1849" t="s">
        <v>3095</v>
      </c>
      <c r="F1849">
        <v>1</v>
      </c>
    </row>
    <row r="1850" spans="2:6" x14ac:dyDescent="0.2">
      <c r="B1850" t="s">
        <v>6982</v>
      </c>
      <c r="C1850" t="s">
        <v>6983</v>
      </c>
      <c r="D1850">
        <v>7</v>
      </c>
      <c r="E1850" t="s">
        <v>5433</v>
      </c>
      <c r="F1850">
        <v>3</v>
      </c>
    </row>
    <row r="1851" spans="2:6" x14ac:dyDescent="0.2">
      <c r="B1851" t="s">
        <v>6984</v>
      </c>
      <c r="C1851" t="s">
        <v>6985</v>
      </c>
      <c r="D1851">
        <v>7</v>
      </c>
      <c r="E1851" t="s">
        <v>4335</v>
      </c>
      <c r="F1851">
        <v>1</v>
      </c>
    </row>
    <row r="1852" spans="2:6" x14ac:dyDescent="0.2">
      <c r="B1852" t="s">
        <v>1909</v>
      </c>
      <c r="C1852" t="s">
        <v>6986</v>
      </c>
      <c r="D1852">
        <v>7</v>
      </c>
      <c r="E1852" t="s">
        <v>2949</v>
      </c>
      <c r="F1852">
        <v>1</v>
      </c>
    </row>
    <row r="1853" spans="2:6" x14ac:dyDescent="0.2">
      <c r="B1853" t="s">
        <v>6987</v>
      </c>
      <c r="C1853" t="s">
        <v>6988</v>
      </c>
      <c r="D1853">
        <v>7</v>
      </c>
      <c r="E1853" t="s">
        <v>2988</v>
      </c>
      <c r="F1853">
        <v>6</v>
      </c>
    </row>
    <row r="1854" spans="2:6" x14ac:dyDescent="0.2">
      <c r="B1854" t="s">
        <v>6989</v>
      </c>
      <c r="C1854" t="s">
        <v>6990</v>
      </c>
      <c r="D1854">
        <v>7</v>
      </c>
      <c r="E1854" t="s">
        <v>5829</v>
      </c>
      <c r="F1854">
        <v>2</v>
      </c>
    </row>
    <row r="1855" spans="2:6" x14ac:dyDescent="0.2">
      <c r="B1855" t="s">
        <v>6991</v>
      </c>
      <c r="C1855" t="s">
        <v>6992</v>
      </c>
      <c r="D1855">
        <v>7</v>
      </c>
      <c r="E1855" t="s">
        <v>6993</v>
      </c>
      <c r="F1855">
        <v>2</v>
      </c>
    </row>
    <row r="1856" spans="2:6" x14ac:dyDescent="0.2">
      <c r="B1856" t="s">
        <v>6994</v>
      </c>
      <c r="C1856" t="s">
        <v>6995</v>
      </c>
      <c r="D1856">
        <v>7</v>
      </c>
      <c r="E1856" t="s">
        <v>3532</v>
      </c>
      <c r="F1856">
        <v>2</v>
      </c>
    </row>
    <row r="1857" spans="2:6" x14ac:dyDescent="0.2">
      <c r="B1857" t="s">
        <v>6996</v>
      </c>
      <c r="C1857" t="s">
        <v>6997</v>
      </c>
      <c r="D1857">
        <v>7</v>
      </c>
      <c r="E1857" t="s">
        <v>2906</v>
      </c>
      <c r="F1857">
        <v>6</v>
      </c>
    </row>
    <row r="1858" spans="2:6" x14ac:dyDescent="0.2">
      <c r="B1858" t="s">
        <v>6998</v>
      </c>
      <c r="C1858" t="s">
        <v>6999</v>
      </c>
      <c r="D1858">
        <v>7</v>
      </c>
      <c r="E1858" t="s">
        <v>7000</v>
      </c>
      <c r="F1858">
        <v>3</v>
      </c>
    </row>
    <row r="1859" spans="2:6" x14ac:dyDescent="0.2">
      <c r="B1859" t="s">
        <v>7001</v>
      </c>
      <c r="C1859" t="s">
        <v>7002</v>
      </c>
      <c r="D1859">
        <v>7</v>
      </c>
      <c r="E1859" t="s">
        <v>3952</v>
      </c>
      <c r="F1859">
        <v>1</v>
      </c>
    </row>
    <row r="1860" spans="2:6" x14ac:dyDescent="0.2">
      <c r="B1860" t="s">
        <v>7003</v>
      </c>
      <c r="C1860" t="s">
        <v>7004</v>
      </c>
      <c r="D1860">
        <v>7</v>
      </c>
      <c r="E1860" t="s">
        <v>2949</v>
      </c>
      <c r="F1860">
        <v>3</v>
      </c>
    </row>
    <row r="1861" spans="2:6" x14ac:dyDescent="0.2">
      <c r="B1861" t="s">
        <v>7005</v>
      </c>
      <c r="C1861" t="s">
        <v>7006</v>
      </c>
      <c r="D1861">
        <v>7</v>
      </c>
      <c r="E1861" t="s">
        <v>3056</v>
      </c>
      <c r="F1861">
        <v>1</v>
      </c>
    </row>
    <row r="1862" spans="2:6" x14ac:dyDescent="0.2">
      <c r="B1862" t="s">
        <v>793</v>
      </c>
      <c r="C1862" t="s">
        <v>2984</v>
      </c>
      <c r="D1862">
        <v>7</v>
      </c>
      <c r="E1862" t="s">
        <v>4629</v>
      </c>
      <c r="F1862">
        <v>4</v>
      </c>
    </row>
    <row r="1863" spans="2:6" x14ac:dyDescent="0.2">
      <c r="B1863" t="s">
        <v>7007</v>
      </c>
      <c r="C1863" t="s">
        <v>7008</v>
      </c>
      <c r="D1863">
        <v>7</v>
      </c>
      <c r="E1863" t="s">
        <v>2892</v>
      </c>
      <c r="F1863">
        <v>1</v>
      </c>
    </row>
    <row r="1864" spans="2:6" x14ac:dyDescent="0.2">
      <c r="B1864" t="s">
        <v>7009</v>
      </c>
      <c r="C1864" t="s">
        <v>5718</v>
      </c>
      <c r="D1864">
        <v>7</v>
      </c>
      <c r="E1864" t="s">
        <v>3139</v>
      </c>
      <c r="F1864">
        <v>1</v>
      </c>
    </row>
    <row r="1865" spans="2:6" x14ac:dyDescent="0.2">
      <c r="B1865" t="s">
        <v>1853</v>
      </c>
      <c r="C1865" t="s">
        <v>7010</v>
      </c>
      <c r="D1865">
        <v>7</v>
      </c>
      <c r="E1865" t="s">
        <v>3952</v>
      </c>
      <c r="F1865">
        <v>1</v>
      </c>
    </row>
    <row r="1866" spans="2:6" x14ac:dyDescent="0.2">
      <c r="B1866" t="s">
        <v>173</v>
      </c>
      <c r="C1866" t="s">
        <v>7011</v>
      </c>
      <c r="D1866">
        <v>7</v>
      </c>
      <c r="E1866" t="s">
        <v>2805</v>
      </c>
      <c r="F1866">
        <v>5</v>
      </c>
    </row>
    <row r="1867" spans="2:6" x14ac:dyDescent="0.2">
      <c r="B1867" t="s">
        <v>7012</v>
      </c>
      <c r="C1867" t="s">
        <v>7013</v>
      </c>
      <c r="D1867">
        <v>7</v>
      </c>
      <c r="E1867" t="s">
        <v>3532</v>
      </c>
      <c r="F1867">
        <v>20</v>
      </c>
    </row>
    <row r="1868" spans="2:6" x14ac:dyDescent="0.2">
      <c r="B1868" t="s">
        <v>7014</v>
      </c>
      <c r="C1868" t="s">
        <v>7015</v>
      </c>
      <c r="D1868">
        <v>7</v>
      </c>
      <c r="E1868" t="s">
        <v>7016</v>
      </c>
      <c r="F1868">
        <v>2</v>
      </c>
    </row>
    <row r="1869" spans="2:6" x14ac:dyDescent="0.2">
      <c r="B1869" t="s">
        <v>7017</v>
      </c>
      <c r="C1869" t="s">
        <v>7018</v>
      </c>
      <c r="D1869">
        <v>7</v>
      </c>
      <c r="E1869" t="s">
        <v>2892</v>
      </c>
      <c r="F1869">
        <v>6</v>
      </c>
    </row>
    <row r="1870" spans="2:6" x14ac:dyDescent="0.2">
      <c r="B1870" t="s">
        <v>817</v>
      </c>
      <c r="C1870" t="s">
        <v>7019</v>
      </c>
      <c r="D1870">
        <v>7</v>
      </c>
      <c r="E1870" t="s">
        <v>3092</v>
      </c>
      <c r="F1870">
        <v>73</v>
      </c>
    </row>
    <row r="1871" spans="2:6" x14ac:dyDescent="0.2">
      <c r="B1871" t="s">
        <v>7020</v>
      </c>
      <c r="C1871" t="s">
        <v>7021</v>
      </c>
      <c r="D1871">
        <v>7</v>
      </c>
      <c r="E1871" t="s">
        <v>5812</v>
      </c>
      <c r="F1871">
        <v>2</v>
      </c>
    </row>
    <row r="1872" spans="2:6" x14ac:dyDescent="0.2">
      <c r="B1872" t="s">
        <v>7022</v>
      </c>
      <c r="C1872" t="s">
        <v>7023</v>
      </c>
      <c r="D1872">
        <v>7</v>
      </c>
      <c r="E1872" t="s">
        <v>7024</v>
      </c>
      <c r="F1872">
        <v>3</v>
      </c>
    </row>
    <row r="1873" spans="2:6" x14ac:dyDescent="0.2">
      <c r="B1873" t="s">
        <v>7025</v>
      </c>
      <c r="C1873" t="s">
        <v>7026</v>
      </c>
      <c r="D1873">
        <v>7</v>
      </c>
      <c r="E1873" t="s">
        <v>7027</v>
      </c>
      <c r="F1873">
        <v>1</v>
      </c>
    </row>
    <row r="1874" spans="2:6" x14ac:dyDescent="0.2">
      <c r="B1874" t="s">
        <v>1343</v>
      </c>
      <c r="C1874" t="s">
        <v>7028</v>
      </c>
      <c r="D1874">
        <v>7</v>
      </c>
      <c r="E1874" t="s">
        <v>7029</v>
      </c>
      <c r="F1874">
        <v>10</v>
      </c>
    </row>
    <row r="1875" spans="2:6" x14ac:dyDescent="0.2">
      <c r="B1875" t="s">
        <v>7030</v>
      </c>
      <c r="C1875" t="s">
        <v>7031</v>
      </c>
      <c r="D1875">
        <v>7</v>
      </c>
      <c r="E1875" t="s">
        <v>5812</v>
      </c>
      <c r="F1875">
        <v>3</v>
      </c>
    </row>
    <row r="1876" spans="2:6" x14ac:dyDescent="0.2">
      <c r="B1876" t="s">
        <v>7032</v>
      </c>
      <c r="C1876" t="s">
        <v>7033</v>
      </c>
      <c r="D1876">
        <v>7</v>
      </c>
      <c r="E1876" t="s">
        <v>7034</v>
      </c>
      <c r="F1876">
        <v>2</v>
      </c>
    </row>
    <row r="1877" spans="2:6" x14ac:dyDescent="0.2">
      <c r="B1877" t="s">
        <v>7035</v>
      </c>
      <c r="C1877" t="s">
        <v>7036</v>
      </c>
      <c r="D1877">
        <v>7</v>
      </c>
      <c r="E1877" t="s">
        <v>3113</v>
      </c>
      <c r="F1877">
        <v>2</v>
      </c>
    </row>
    <row r="1878" spans="2:6" x14ac:dyDescent="0.2">
      <c r="B1878" t="s">
        <v>7037</v>
      </c>
      <c r="C1878" t="s">
        <v>7038</v>
      </c>
      <c r="D1878">
        <v>7</v>
      </c>
      <c r="E1878" t="s">
        <v>7039</v>
      </c>
      <c r="F1878">
        <v>30</v>
      </c>
    </row>
    <row r="1879" spans="2:6" x14ac:dyDescent="0.2">
      <c r="B1879" t="s">
        <v>7040</v>
      </c>
      <c r="C1879" t="s">
        <v>7041</v>
      </c>
      <c r="D1879">
        <v>7</v>
      </c>
      <c r="E1879" t="s">
        <v>3335</v>
      </c>
      <c r="F1879">
        <v>1</v>
      </c>
    </row>
    <row r="1880" spans="2:6" x14ac:dyDescent="0.2">
      <c r="B1880" t="s">
        <v>7042</v>
      </c>
      <c r="C1880" t="s">
        <v>7043</v>
      </c>
      <c r="D1880">
        <v>7</v>
      </c>
      <c r="E1880" t="s">
        <v>3808</v>
      </c>
      <c r="F1880">
        <v>1</v>
      </c>
    </row>
    <row r="1881" spans="2:6" x14ac:dyDescent="0.2">
      <c r="B1881" t="s">
        <v>7044</v>
      </c>
      <c r="C1881" t="s">
        <v>7045</v>
      </c>
      <c r="D1881">
        <v>7</v>
      </c>
      <c r="E1881" t="s">
        <v>7046</v>
      </c>
      <c r="F1881">
        <v>2</v>
      </c>
    </row>
    <row r="1882" spans="2:6" x14ac:dyDescent="0.2">
      <c r="B1882" t="s">
        <v>1894</v>
      </c>
      <c r="C1882" t="s">
        <v>7047</v>
      </c>
      <c r="D1882">
        <v>7</v>
      </c>
      <c r="E1882" t="s">
        <v>7048</v>
      </c>
      <c r="F1882">
        <v>1</v>
      </c>
    </row>
    <row r="1883" spans="2:6" x14ac:dyDescent="0.2">
      <c r="B1883" t="s">
        <v>7049</v>
      </c>
      <c r="C1883" t="s">
        <v>7050</v>
      </c>
      <c r="D1883">
        <v>7</v>
      </c>
      <c r="E1883" t="s">
        <v>7051</v>
      </c>
      <c r="F1883">
        <v>4</v>
      </c>
    </row>
    <row r="1884" spans="2:6" x14ac:dyDescent="0.2">
      <c r="B1884" t="s">
        <v>7052</v>
      </c>
      <c r="C1884" t="s">
        <v>7053</v>
      </c>
      <c r="D1884">
        <v>7</v>
      </c>
      <c r="E1884" t="s">
        <v>7054</v>
      </c>
      <c r="F1884">
        <v>3</v>
      </c>
    </row>
    <row r="1885" spans="2:6" x14ac:dyDescent="0.2">
      <c r="B1885" t="s">
        <v>7055</v>
      </c>
      <c r="C1885" t="s">
        <v>4179</v>
      </c>
      <c r="D1885">
        <v>7</v>
      </c>
      <c r="E1885" t="s">
        <v>7056</v>
      </c>
      <c r="F1885">
        <v>3</v>
      </c>
    </row>
    <row r="1886" spans="2:6" x14ac:dyDescent="0.2">
      <c r="B1886" t="s">
        <v>7057</v>
      </c>
      <c r="C1886" t="s">
        <v>7058</v>
      </c>
      <c r="D1886">
        <v>7</v>
      </c>
      <c r="E1886" t="s">
        <v>7059</v>
      </c>
      <c r="F1886">
        <v>6</v>
      </c>
    </row>
    <row r="1887" spans="2:6" x14ac:dyDescent="0.2">
      <c r="B1887" t="s">
        <v>7060</v>
      </c>
      <c r="C1887" t="s">
        <v>7061</v>
      </c>
      <c r="D1887">
        <v>7</v>
      </c>
      <c r="E1887" t="s">
        <v>4299</v>
      </c>
      <c r="F1887">
        <v>1</v>
      </c>
    </row>
    <row r="1888" spans="2:6" x14ac:dyDescent="0.2">
      <c r="B1888" t="s">
        <v>7062</v>
      </c>
      <c r="C1888" t="s">
        <v>7063</v>
      </c>
      <c r="D1888">
        <v>7</v>
      </c>
      <c r="E1888" t="s">
        <v>2915</v>
      </c>
      <c r="F1888">
        <v>1</v>
      </c>
    </row>
    <row r="1889" spans="2:6" x14ac:dyDescent="0.2">
      <c r="B1889" t="s">
        <v>7064</v>
      </c>
      <c r="C1889" t="s">
        <v>7065</v>
      </c>
      <c r="D1889">
        <v>7</v>
      </c>
      <c r="E1889" t="s">
        <v>7066</v>
      </c>
      <c r="F1889">
        <v>24</v>
      </c>
    </row>
    <row r="1890" spans="2:6" x14ac:dyDescent="0.2">
      <c r="B1890" t="s">
        <v>7067</v>
      </c>
      <c r="C1890" t="s">
        <v>7068</v>
      </c>
      <c r="D1890">
        <v>7</v>
      </c>
      <c r="E1890" t="s">
        <v>3084</v>
      </c>
      <c r="F1890">
        <v>1</v>
      </c>
    </row>
    <row r="1891" spans="2:6" x14ac:dyDescent="0.2">
      <c r="B1891" t="s">
        <v>7069</v>
      </c>
      <c r="C1891" t="s">
        <v>7070</v>
      </c>
      <c r="D1891">
        <v>7</v>
      </c>
      <c r="E1891" t="s">
        <v>7071</v>
      </c>
      <c r="F1891">
        <v>2</v>
      </c>
    </row>
    <row r="1892" spans="2:6" x14ac:dyDescent="0.2">
      <c r="B1892" t="s">
        <v>7072</v>
      </c>
      <c r="C1892" t="s">
        <v>663</v>
      </c>
      <c r="D1892">
        <v>7</v>
      </c>
      <c r="E1892" t="s">
        <v>2788</v>
      </c>
      <c r="F1892">
        <v>1</v>
      </c>
    </row>
    <row r="1893" spans="2:6" x14ac:dyDescent="0.2">
      <c r="B1893" t="s">
        <v>1845</v>
      </c>
      <c r="C1893" t="s">
        <v>7073</v>
      </c>
      <c r="D1893">
        <v>7</v>
      </c>
      <c r="E1893" t="s">
        <v>4888</v>
      </c>
      <c r="F1893">
        <v>1</v>
      </c>
    </row>
    <row r="1894" spans="2:6" x14ac:dyDescent="0.2">
      <c r="B1894" t="s">
        <v>7074</v>
      </c>
      <c r="C1894" t="s">
        <v>7075</v>
      </c>
      <c r="D1894">
        <v>7</v>
      </c>
      <c r="E1894" t="s">
        <v>7076</v>
      </c>
      <c r="F1894">
        <v>2</v>
      </c>
    </row>
    <row r="1895" spans="2:6" x14ac:dyDescent="0.2">
      <c r="B1895" t="s">
        <v>7077</v>
      </c>
      <c r="C1895" t="s">
        <v>7078</v>
      </c>
      <c r="D1895">
        <v>7</v>
      </c>
      <c r="E1895" t="s">
        <v>7079</v>
      </c>
      <c r="F1895">
        <v>2</v>
      </c>
    </row>
    <row r="1896" spans="2:6" x14ac:dyDescent="0.2">
      <c r="B1896" t="s">
        <v>7080</v>
      </c>
      <c r="C1896" t="s">
        <v>4075</v>
      </c>
      <c r="D1896">
        <v>7</v>
      </c>
      <c r="E1896" t="s">
        <v>3742</v>
      </c>
      <c r="F1896">
        <v>1</v>
      </c>
    </row>
    <row r="1897" spans="2:6" x14ac:dyDescent="0.2">
      <c r="B1897" t="s">
        <v>7081</v>
      </c>
      <c r="C1897" t="s">
        <v>7082</v>
      </c>
      <c r="D1897">
        <v>7</v>
      </c>
      <c r="E1897" t="s">
        <v>3957</v>
      </c>
      <c r="F1897">
        <v>3</v>
      </c>
    </row>
    <row r="1898" spans="2:6" x14ac:dyDescent="0.2">
      <c r="B1898" t="s">
        <v>7083</v>
      </c>
      <c r="C1898" t="s">
        <v>7084</v>
      </c>
      <c r="D1898">
        <v>7</v>
      </c>
      <c r="E1898" t="s">
        <v>3839</v>
      </c>
      <c r="F1898">
        <v>1</v>
      </c>
    </row>
    <row r="1899" spans="2:6" x14ac:dyDescent="0.2">
      <c r="B1899" t="s">
        <v>7085</v>
      </c>
      <c r="C1899" t="s">
        <v>7086</v>
      </c>
      <c r="D1899">
        <v>7</v>
      </c>
      <c r="E1899" t="s">
        <v>3106</v>
      </c>
      <c r="F1899">
        <v>1</v>
      </c>
    </row>
    <row r="1900" spans="2:6" x14ac:dyDescent="0.2">
      <c r="B1900" t="s">
        <v>7087</v>
      </c>
      <c r="C1900" t="s">
        <v>7088</v>
      </c>
      <c r="D1900">
        <v>7</v>
      </c>
      <c r="E1900" t="s">
        <v>3291</v>
      </c>
      <c r="F1900">
        <v>1</v>
      </c>
    </row>
    <row r="1901" spans="2:6" x14ac:dyDescent="0.2">
      <c r="B1901" t="s">
        <v>7089</v>
      </c>
      <c r="C1901" t="s">
        <v>7090</v>
      </c>
      <c r="D1901">
        <v>7</v>
      </c>
      <c r="E1901" t="s">
        <v>3213</v>
      </c>
      <c r="F1901">
        <v>1</v>
      </c>
    </row>
    <row r="1902" spans="2:6" x14ac:dyDescent="0.2">
      <c r="B1902" t="s">
        <v>7091</v>
      </c>
      <c r="C1902" t="s">
        <v>7092</v>
      </c>
      <c r="D1902">
        <v>7</v>
      </c>
      <c r="E1902" t="s">
        <v>7093</v>
      </c>
      <c r="F1902">
        <v>7</v>
      </c>
    </row>
    <row r="1903" spans="2:6" x14ac:dyDescent="0.2">
      <c r="B1903" t="s">
        <v>528</v>
      </c>
      <c r="C1903" t="s">
        <v>7094</v>
      </c>
      <c r="D1903">
        <v>7</v>
      </c>
      <c r="E1903" t="s">
        <v>7095</v>
      </c>
      <c r="F1903">
        <v>1</v>
      </c>
    </row>
    <row r="1904" spans="2:6" x14ac:dyDescent="0.2">
      <c r="B1904" t="s">
        <v>245</v>
      </c>
      <c r="C1904" t="s">
        <v>7096</v>
      </c>
      <c r="D1904">
        <v>7</v>
      </c>
      <c r="E1904" t="s">
        <v>7039</v>
      </c>
      <c r="F1904">
        <v>8</v>
      </c>
    </row>
    <row r="1905" spans="2:6" x14ac:dyDescent="0.2">
      <c r="B1905" t="s">
        <v>7097</v>
      </c>
      <c r="C1905" t="s">
        <v>7098</v>
      </c>
      <c r="D1905">
        <v>7</v>
      </c>
      <c r="E1905" t="s">
        <v>3031</v>
      </c>
      <c r="F1905">
        <v>8</v>
      </c>
    </row>
    <row r="1906" spans="2:6" x14ac:dyDescent="0.2">
      <c r="B1906" t="s">
        <v>7099</v>
      </c>
      <c r="C1906" t="s">
        <v>7100</v>
      </c>
      <c r="D1906">
        <v>7</v>
      </c>
      <c r="E1906" t="s">
        <v>7101</v>
      </c>
      <c r="F1906">
        <v>1</v>
      </c>
    </row>
    <row r="1907" spans="2:6" x14ac:dyDescent="0.2">
      <c r="B1907" t="s">
        <v>7102</v>
      </c>
      <c r="C1907" t="s">
        <v>7103</v>
      </c>
      <c r="D1907">
        <v>7</v>
      </c>
      <c r="E1907" t="s">
        <v>6772</v>
      </c>
      <c r="F1907">
        <v>4</v>
      </c>
    </row>
    <row r="1908" spans="2:6" x14ac:dyDescent="0.2">
      <c r="B1908" t="s">
        <v>7104</v>
      </c>
      <c r="C1908" t="s">
        <v>7105</v>
      </c>
      <c r="D1908">
        <v>7</v>
      </c>
      <c r="E1908" t="s">
        <v>6284</v>
      </c>
      <c r="F1908">
        <v>3</v>
      </c>
    </row>
    <row r="1909" spans="2:6" x14ac:dyDescent="0.2">
      <c r="B1909" t="s">
        <v>1071</v>
      </c>
      <c r="C1909" t="s">
        <v>7106</v>
      </c>
      <c r="D1909">
        <v>7</v>
      </c>
      <c r="E1909" t="s">
        <v>3098</v>
      </c>
      <c r="F1909">
        <v>1</v>
      </c>
    </row>
    <row r="1910" spans="2:6" x14ac:dyDescent="0.2">
      <c r="B1910" t="s">
        <v>7107</v>
      </c>
      <c r="C1910" t="s">
        <v>7108</v>
      </c>
      <c r="D1910">
        <v>7</v>
      </c>
      <c r="E1910" t="s">
        <v>7109</v>
      </c>
      <c r="F1910">
        <v>3</v>
      </c>
    </row>
    <row r="1911" spans="2:6" x14ac:dyDescent="0.2">
      <c r="B1911" t="s">
        <v>7110</v>
      </c>
      <c r="C1911" t="s">
        <v>7111</v>
      </c>
      <c r="D1911">
        <v>7</v>
      </c>
      <c r="E1911" t="s">
        <v>3742</v>
      </c>
      <c r="F1911">
        <v>1</v>
      </c>
    </row>
    <row r="1912" spans="2:6" x14ac:dyDescent="0.2">
      <c r="B1912" t="s">
        <v>853</v>
      </c>
      <c r="C1912" t="s">
        <v>7112</v>
      </c>
      <c r="D1912">
        <v>7</v>
      </c>
      <c r="E1912" t="s">
        <v>7113</v>
      </c>
      <c r="F1912">
        <v>2</v>
      </c>
    </row>
    <row r="1913" spans="2:6" x14ac:dyDescent="0.2">
      <c r="B1913" t="s">
        <v>7114</v>
      </c>
      <c r="C1913" t="s">
        <v>7115</v>
      </c>
      <c r="D1913">
        <v>7</v>
      </c>
      <c r="E1913" t="s">
        <v>2930</v>
      </c>
      <c r="F1913">
        <v>1</v>
      </c>
    </row>
    <row r="1914" spans="2:6" x14ac:dyDescent="0.2">
      <c r="B1914" t="s">
        <v>7116</v>
      </c>
      <c r="C1914" t="s">
        <v>7117</v>
      </c>
      <c r="D1914">
        <v>7</v>
      </c>
      <c r="E1914" t="s">
        <v>2985</v>
      </c>
      <c r="F1914">
        <v>4</v>
      </c>
    </row>
    <row r="1915" spans="2:6" x14ac:dyDescent="0.2">
      <c r="B1915" t="s">
        <v>7118</v>
      </c>
      <c r="C1915" t="s">
        <v>7119</v>
      </c>
      <c r="D1915">
        <v>7</v>
      </c>
      <c r="E1915" t="s">
        <v>3426</v>
      </c>
      <c r="F1915">
        <v>1</v>
      </c>
    </row>
    <row r="1916" spans="2:6" x14ac:dyDescent="0.2">
      <c r="B1916" t="s">
        <v>7120</v>
      </c>
      <c r="C1916" t="s">
        <v>7121</v>
      </c>
      <c r="D1916">
        <v>7</v>
      </c>
      <c r="E1916" t="s">
        <v>6100</v>
      </c>
      <c r="F1916">
        <v>1</v>
      </c>
    </row>
    <row r="1917" spans="2:6" x14ac:dyDescent="0.2">
      <c r="B1917" t="s">
        <v>7122</v>
      </c>
      <c r="C1917" t="s">
        <v>7123</v>
      </c>
      <c r="D1917">
        <v>7</v>
      </c>
      <c r="E1917" t="s">
        <v>3213</v>
      </c>
      <c r="F1917">
        <v>2</v>
      </c>
    </row>
    <row r="1918" spans="2:6" x14ac:dyDescent="0.2">
      <c r="B1918" t="s">
        <v>7124</v>
      </c>
      <c r="C1918" t="s">
        <v>4743</v>
      </c>
      <c r="D1918">
        <v>7</v>
      </c>
      <c r="E1918" t="s">
        <v>3442</v>
      </c>
      <c r="F1918">
        <v>4</v>
      </c>
    </row>
    <row r="1919" spans="2:6" x14ac:dyDescent="0.2">
      <c r="B1919" t="s">
        <v>7125</v>
      </c>
      <c r="C1919" t="s">
        <v>7126</v>
      </c>
      <c r="D1919">
        <v>7</v>
      </c>
      <c r="E1919" t="s">
        <v>7127</v>
      </c>
      <c r="F1919">
        <v>7</v>
      </c>
    </row>
    <row r="1920" spans="2:6" x14ac:dyDescent="0.2">
      <c r="B1920" t="s">
        <v>7128</v>
      </c>
      <c r="C1920" t="s">
        <v>7129</v>
      </c>
      <c r="D1920">
        <v>7</v>
      </c>
      <c r="E1920" t="s">
        <v>7130</v>
      </c>
      <c r="F1920">
        <v>12</v>
      </c>
    </row>
    <row r="1921" spans="2:6" x14ac:dyDescent="0.2">
      <c r="B1921" t="s">
        <v>7131</v>
      </c>
      <c r="C1921" t="s">
        <v>7132</v>
      </c>
      <c r="D1921">
        <v>7</v>
      </c>
      <c r="E1921" t="s">
        <v>7133</v>
      </c>
      <c r="F1921">
        <v>4</v>
      </c>
    </row>
    <row r="1922" spans="2:6" x14ac:dyDescent="0.2">
      <c r="B1922" t="s">
        <v>7134</v>
      </c>
      <c r="C1922" t="s">
        <v>7135</v>
      </c>
      <c r="D1922">
        <v>7</v>
      </c>
      <c r="E1922" t="s">
        <v>7136</v>
      </c>
      <c r="F1922">
        <v>1</v>
      </c>
    </row>
    <row r="1923" spans="2:6" x14ac:dyDescent="0.2">
      <c r="B1923" t="s">
        <v>7137</v>
      </c>
      <c r="C1923" t="s">
        <v>7138</v>
      </c>
      <c r="D1923">
        <v>7</v>
      </c>
      <c r="E1923" t="s">
        <v>7139</v>
      </c>
      <c r="F1923">
        <v>29</v>
      </c>
    </row>
    <row r="1924" spans="2:6" x14ac:dyDescent="0.2">
      <c r="B1924" t="s">
        <v>2079</v>
      </c>
      <c r="C1924" t="s">
        <v>7140</v>
      </c>
      <c r="D1924">
        <v>7</v>
      </c>
      <c r="E1924" t="s">
        <v>3119</v>
      </c>
      <c r="F1924">
        <v>2</v>
      </c>
    </row>
    <row r="1925" spans="2:6" x14ac:dyDescent="0.2">
      <c r="B1925" t="s">
        <v>7141</v>
      </c>
      <c r="C1925" t="s">
        <v>7142</v>
      </c>
      <c r="D1925">
        <v>7</v>
      </c>
      <c r="E1925" t="s">
        <v>6170</v>
      </c>
      <c r="F1925">
        <v>2</v>
      </c>
    </row>
    <row r="1926" spans="2:6" x14ac:dyDescent="0.2">
      <c r="B1926" t="s">
        <v>1724</v>
      </c>
      <c r="C1926" t="s">
        <v>7143</v>
      </c>
      <c r="D1926">
        <v>7</v>
      </c>
      <c r="E1926" t="s">
        <v>4606</v>
      </c>
      <c r="F1926">
        <v>2</v>
      </c>
    </row>
    <row r="1927" spans="2:6" x14ac:dyDescent="0.2">
      <c r="B1927" t="s">
        <v>7144</v>
      </c>
      <c r="C1927" t="s">
        <v>7145</v>
      </c>
      <c r="D1927">
        <v>7</v>
      </c>
      <c r="E1927" t="s">
        <v>2915</v>
      </c>
      <c r="F1927">
        <v>1</v>
      </c>
    </row>
    <row r="1928" spans="2:6" x14ac:dyDescent="0.2">
      <c r="B1928" t="s">
        <v>7146</v>
      </c>
      <c r="C1928" t="s">
        <v>4845</v>
      </c>
      <c r="D1928">
        <v>7</v>
      </c>
      <c r="E1928" t="s">
        <v>3153</v>
      </c>
      <c r="F1928">
        <v>1</v>
      </c>
    </row>
    <row r="1929" spans="2:6" x14ac:dyDescent="0.2">
      <c r="B1929" t="s">
        <v>7147</v>
      </c>
      <c r="C1929" t="s">
        <v>7148</v>
      </c>
      <c r="D1929">
        <v>7</v>
      </c>
      <c r="E1929" t="s">
        <v>7149</v>
      </c>
      <c r="F1929">
        <v>13</v>
      </c>
    </row>
    <row r="1930" spans="2:6" x14ac:dyDescent="0.2">
      <c r="B1930" t="s">
        <v>1018</v>
      </c>
      <c r="C1930" t="s">
        <v>7150</v>
      </c>
      <c r="D1930">
        <v>7</v>
      </c>
      <c r="E1930" t="s">
        <v>3586</v>
      </c>
      <c r="F1930">
        <v>4</v>
      </c>
    </row>
    <row r="1931" spans="2:6" x14ac:dyDescent="0.2">
      <c r="B1931" t="s">
        <v>7151</v>
      </c>
      <c r="C1931" t="s">
        <v>7152</v>
      </c>
      <c r="D1931">
        <v>7</v>
      </c>
      <c r="E1931" t="s">
        <v>4050</v>
      </c>
      <c r="F1931">
        <v>12</v>
      </c>
    </row>
    <row r="1932" spans="2:6" x14ac:dyDescent="0.2">
      <c r="B1932" t="s">
        <v>1665</v>
      </c>
      <c r="C1932" t="s">
        <v>7153</v>
      </c>
      <c r="D1932">
        <v>7</v>
      </c>
      <c r="E1932" t="s">
        <v>4823</v>
      </c>
      <c r="F1932">
        <v>2</v>
      </c>
    </row>
    <row r="1933" spans="2:6" x14ac:dyDescent="0.2">
      <c r="B1933" t="s">
        <v>7154</v>
      </c>
      <c r="C1933" t="s">
        <v>7155</v>
      </c>
      <c r="D1933">
        <v>7</v>
      </c>
      <c r="E1933" t="s">
        <v>7156</v>
      </c>
      <c r="F1933">
        <v>1</v>
      </c>
    </row>
    <row r="1934" spans="2:6" x14ac:dyDescent="0.2">
      <c r="B1934" t="s">
        <v>7157</v>
      </c>
      <c r="C1934" t="s">
        <v>7158</v>
      </c>
      <c r="D1934">
        <v>7</v>
      </c>
      <c r="E1934" t="s">
        <v>7159</v>
      </c>
      <c r="F1934">
        <v>5</v>
      </c>
    </row>
    <row r="1935" spans="2:6" x14ac:dyDescent="0.2">
      <c r="B1935" t="s">
        <v>7160</v>
      </c>
      <c r="C1935" t="s">
        <v>7161</v>
      </c>
      <c r="D1935">
        <v>7</v>
      </c>
      <c r="E1935" t="s">
        <v>7162</v>
      </c>
      <c r="F1935">
        <v>19</v>
      </c>
    </row>
    <row r="1936" spans="2:6" x14ac:dyDescent="0.2">
      <c r="B1936" t="s">
        <v>7163</v>
      </c>
      <c r="C1936" t="s">
        <v>7164</v>
      </c>
      <c r="D1936">
        <v>7</v>
      </c>
      <c r="E1936" t="s">
        <v>3688</v>
      </c>
      <c r="F1936">
        <v>1</v>
      </c>
    </row>
    <row r="1937" spans="2:6" x14ac:dyDescent="0.2">
      <c r="B1937" t="s">
        <v>7165</v>
      </c>
      <c r="C1937" t="s">
        <v>7166</v>
      </c>
      <c r="D1937">
        <v>7</v>
      </c>
      <c r="E1937" t="s">
        <v>3084</v>
      </c>
      <c r="F1937">
        <v>1</v>
      </c>
    </row>
    <row r="1938" spans="2:6" x14ac:dyDescent="0.2">
      <c r="B1938" t="s">
        <v>7167</v>
      </c>
      <c r="C1938" t="s">
        <v>7168</v>
      </c>
      <c r="D1938">
        <v>7</v>
      </c>
      <c r="E1938" t="s">
        <v>2811</v>
      </c>
      <c r="F1938">
        <v>1</v>
      </c>
    </row>
    <row r="1939" spans="2:6" x14ac:dyDescent="0.2">
      <c r="B1939" t="s">
        <v>7169</v>
      </c>
      <c r="C1939" t="s">
        <v>7170</v>
      </c>
      <c r="D1939">
        <v>7</v>
      </c>
      <c r="E1939" t="s">
        <v>7171</v>
      </c>
      <c r="F1939">
        <v>5</v>
      </c>
    </row>
    <row r="1940" spans="2:6" x14ac:dyDescent="0.2">
      <c r="B1940" t="s">
        <v>7172</v>
      </c>
      <c r="C1940" t="s">
        <v>7173</v>
      </c>
      <c r="D1940">
        <v>7</v>
      </c>
      <c r="E1940" t="s">
        <v>7174</v>
      </c>
      <c r="F1940">
        <v>1</v>
      </c>
    </row>
    <row r="1941" spans="2:6" x14ac:dyDescent="0.2">
      <c r="B1941" t="s">
        <v>7175</v>
      </c>
      <c r="C1941" t="s">
        <v>7176</v>
      </c>
      <c r="D1941">
        <v>7</v>
      </c>
      <c r="E1941" t="s">
        <v>3952</v>
      </c>
      <c r="F1941">
        <v>1</v>
      </c>
    </row>
    <row r="1942" spans="2:6" x14ac:dyDescent="0.2">
      <c r="B1942" t="s">
        <v>7177</v>
      </c>
      <c r="C1942" t="s">
        <v>7178</v>
      </c>
      <c r="D1942">
        <v>7</v>
      </c>
      <c r="E1942" t="s">
        <v>4962</v>
      </c>
      <c r="F1942">
        <v>7</v>
      </c>
    </row>
    <row r="1943" spans="2:6" x14ac:dyDescent="0.2">
      <c r="B1943" t="s">
        <v>7179</v>
      </c>
      <c r="C1943" t="s">
        <v>7180</v>
      </c>
      <c r="D1943">
        <v>7</v>
      </c>
      <c r="E1943" t="s">
        <v>5551</v>
      </c>
      <c r="F1943">
        <v>3</v>
      </c>
    </row>
    <row r="1944" spans="2:6" x14ac:dyDescent="0.2">
      <c r="B1944" t="s">
        <v>7181</v>
      </c>
      <c r="C1944" t="s">
        <v>7182</v>
      </c>
      <c r="D1944">
        <v>7</v>
      </c>
      <c r="E1944" t="s">
        <v>4335</v>
      </c>
      <c r="F1944">
        <v>2</v>
      </c>
    </row>
    <row r="1945" spans="2:6" x14ac:dyDescent="0.2">
      <c r="B1945" t="s">
        <v>7183</v>
      </c>
      <c r="C1945" t="s">
        <v>7184</v>
      </c>
      <c r="D1945">
        <v>7</v>
      </c>
      <c r="E1945" t="s">
        <v>2785</v>
      </c>
      <c r="F1945">
        <v>1</v>
      </c>
    </row>
    <row r="1946" spans="2:6" x14ac:dyDescent="0.2">
      <c r="B1946" t="s">
        <v>7185</v>
      </c>
      <c r="C1946" t="s">
        <v>7186</v>
      </c>
      <c r="D1946">
        <v>7</v>
      </c>
      <c r="E1946" t="s">
        <v>7187</v>
      </c>
      <c r="F1946">
        <v>1</v>
      </c>
    </row>
    <row r="1947" spans="2:6" x14ac:dyDescent="0.2">
      <c r="B1947" t="s">
        <v>7188</v>
      </c>
      <c r="C1947" t="s">
        <v>7189</v>
      </c>
      <c r="D1947">
        <v>7</v>
      </c>
      <c r="E1947" t="s">
        <v>7190</v>
      </c>
      <c r="F1947">
        <v>10</v>
      </c>
    </row>
    <row r="1948" spans="2:6" x14ac:dyDescent="0.2">
      <c r="B1948" t="s">
        <v>7191</v>
      </c>
      <c r="C1948" t="s">
        <v>7192</v>
      </c>
      <c r="D1948">
        <v>7</v>
      </c>
      <c r="E1948" t="s">
        <v>3957</v>
      </c>
      <c r="F1948">
        <v>2</v>
      </c>
    </row>
    <row r="1949" spans="2:6" x14ac:dyDescent="0.2">
      <c r="B1949" t="s">
        <v>7193</v>
      </c>
      <c r="C1949" t="s">
        <v>7194</v>
      </c>
      <c r="D1949">
        <v>7</v>
      </c>
      <c r="E1949" t="s">
        <v>7195</v>
      </c>
      <c r="F1949">
        <v>1</v>
      </c>
    </row>
    <row r="1950" spans="2:6" x14ac:dyDescent="0.2">
      <c r="B1950" t="s">
        <v>7196</v>
      </c>
      <c r="C1950" t="s">
        <v>7197</v>
      </c>
      <c r="D1950">
        <v>7</v>
      </c>
      <c r="E1950" t="s">
        <v>3056</v>
      </c>
      <c r="F1950">
        <v>2</v>
      </c>
    </row>
    <row r="1951" spans="2:6" x14ac:dyDescent="0.2">
      <c r="B1951" t="s">
        <v>7198</v>
      </c>
      <c r="C1951" t="s">
        <v>7199</v>
      </c>
      <c r="D1951">
        <v>7</v>
      </c>
      <c r="E1951" t="s">
        <v>2915</v>
      </c>
      <c r="F1951">
        <v>2</v>
      </c>
    </row>
    <row r="1952" spans="2:6" x14ac:dyDescent="0.2">
      <c r="B1952" t="s">
        <v>7200</v>
      </c>
      <c r="C1952" t="s">
        <v>7201</v>
      </c>
      <c r="D1952">
        <v>7</v>
      </c>
      <c r="E1952" t="s">
        <v>7202</v>
      </c>
      <c r="F1952">
        <v>2</v>
      </c>
    </row>
    <row r="1953" spans="2:6" x14ac:dyDescent="0.2">
      <c r="B1953" t="s">
        <v>7203</v>
      </c>
      <c r="C1953" t="s">
        <v>7204</v>
      </c>
      <c r="D1953">
        <v>7</v>
      </c>
      <c r="E1953" t="s">
        <v>4125</v>
      </c>
      <c r="F1953">
        <v>5</v>
      </c>
    </row>
    <row r="1954" spans="2:6" x14ac:dyDescent="0.2">
      <c r="B1954" t="s">
        <v>7205</v>
      </c>
      <c r="C1954" t="s">
        <v>2663</v>
      </c>
      <c r="D1954">
        <v>7</v>
      </c>
      <c r="E1954" t="s">
        <v>7206</v>
      </c>
      <c r="F1954">
        <v>3</v>
      </c>
    </row>
    <row r="1955" spans="2:6" x14ac:dyDescent="0.2">
      <c r="B1955" t="s">
        <v>7207</v>
      </c>
      <c r="C1955" t="s">
        <v>7208</v>
      </c>
      <c r="D1955">
        <v>7</v>
      </c>
      <c r="E1955" t="s">
        <v>3955</v>
      </c>
      <c r="F1955">
        <v>3</v>
      </c>
    </row>
    <row r="1956" spans="2:6" x14ac:dyDescent="0.2">
      <c r="B1956" t="s">
        <v>174</v>
      </c>
      <c r="C1956" t="s">
        <v>7209</v>
      </c>
      <c r="D1956">
        <v>7</v>
      </c>
      <c r="E1956" t="s">
        <v>3321</v>
      </c>
      <c r="F1956">
        <v>2</v>
      </c>
    </row>
    <row r="1957" spans="2:6" x14ac:dyDescent="0.2">
      <c r="B1957" t="s">
        <v>7210</v>
      </c>
      <c r="C1957" t="s">
        <v>7211</v>
      </c>
      <c r="D1957">
        <v>7</v>
      </c>
      <c r="E1957" t="s">
        <v>6284</v>
      </c>
      <c r="F1957">
        <v>7</v>
      </c>
    </row>
    <row r="1958" spans="2:6" x14ac:dyDescent="0.2">
      <c r="B1958" t="s">
        <v>7212</v>
      </c>
      <c r="C1958" t="s">
        <v>7213</v>
      </c>
      <c r="D1958">
        <v>7</v>
      </c>
      <c r="E1958" t="s">
        <v>5121</v>
      </c>
      <c r="F1958">
        <v>2</v>
      </c>
    </row>
    <row r="1959" spans="2:6" x14ac:dyDescent="0.2">
      <c r="B1959" t="s">
        <v>729</v>
      </c>
      <c r="C1959" t="s">
        <v>7214</v>
      </c>
      <c r="D1959">
        <v>7</v>
      </c>
      <c r="E1959" t="s">
        <v>7215</v>
      </c>
      <c r="F1959">
        <v>4</v>
      </c>
    </row>
    <row r="1960" spans="2:6" x14ac:dyDescent="0.2">
      <c r="B1960" t="s">
        <v>7216</v>
      </c>
      <c r="C1960" t="s">
        <v>7217</v>
      </c>
      <c r="D1960">
        <v>7</v>
      </c>
      <c r="E1960" t="s">
        <v>7218</v>
      </c>
      <c r="F1960">
        <v>2</v>
      </c>
    </row>
    <row r="1961" spans="2:6" x14ac:dyDescent="0.2">
      <c r="B1961" t="s">
        <v>7219</v>
      </c>
      <c r="C1961" t="s">
        <v>7220</v>
      </c>
      <c r="D1961">
        <v>7</v>
      </c>
      <c r="E1961" t="s">
        <v>3423</v>
      </c>
      <c r="F1961">
        <v>1</v>
      </c>
    </row>
    <row r="1962" spans="2:6" x14ac:dyDescent="0.2">
      <c r="B1962" t="s">
        <v>7221</v>
      </c>
      <c r="C1962" t="s">
        <v>7222</v>
      </c>
      <c r="D1962">
        <v>7</v>
      </c>
      <c r="E1962" t="s">
        <v>3304</v>
      </c>
      <c r="F1962">
        <v>1</v>
      </c>
    </row>
    <row r="1963" spans="2:6" x14ac:dyDescent="0.2">
      <c r="B1963" t="s">
        <v>7223</v>
      </c>
      <c r="C1963" t="s">
        <v>7224</v>
      </c>
      <c r="D1963">
        <v>7</v>
      </c>
      <c r="E1963" t="s">
        <v>2811</v>
      </c>
      <c r="F1963">
        <v>6</v>
      </c>
    </row>
    <row r="1964" spans="2:6" x14ac:dyDescent="0.2">
      <c r="B1964" t="s">
        <v>7225</v>
      </c>
      <c r="C1964" t="s">
        <v>7226</v>
      </c>
      <c r="D1964">
        <v>7</v>
      </c>
      <c r="E1964" t="s">
        <v>7227</v>
      </c>
      <c r="F1964">
        <v>2</v>
      </c>
    </row>
    <row r="1965" spans="2:6" x14ac:dyDescent="0.2">
      <c r="B1965" t="s">
        <v>7228</v>
      </c>
      <c r="C1965" t="s">
        <v>7229</v>
      </c>
      <c r="D1965">
        <v>7</v>
      </c>
      <c r="E1965" t="s">
        <v>4125</v>
      </c>
      <c r="F1965">
        <v>13</v>
      </c>
    </row>
    <row r="1966" spans="2:6" x14ac:dyDescent="0.2">
      <c r="B1966" t="s">
        <v>7230</v>
      </c>
      <c r="C1966" t="s">
        <v>7231</v>
      </c>
      <c r="D1966">
        <v>7</v>
      </c>
      <c r="E1966" t="s">
        <v>3820</v>
      </c>
      <c r="F1966">
        <v>5</v>
      </c>
    </row>
    <row r="1967" spans="2:6" x14ac:dyDescent="0.2">
      <c r="B1967" t="s">
        <v>7232</v>
      </c>
      <c r="C1967" t="s">
        <v>7233</v>
      </c>
      <c r="D1967">
        <v>7</v>
      </c>
      <c r="E1967" t="s">
        <v>7234</v>
      </c>
      <c r="F1967">
        <v>2</v>
      </c>
    </row>
    <row r="1968" spans="2:6" x14ac:dyDescent="0.2">
      <c r="B1968" t="s">
        <v>7235</v>
      </c>
      <c r="C1968" t="s">
        <v>7236</v>
      </c>
      <c r="D1968">
        <v>7</v>
      </c>
      <c r="E1968" t="s">
        <v>5992</v>
      </c>
      <c r="F1968">
        <v>1</v>
      </c>
    </row>
    <row r="1969" spans="2:6" x14ac:dyDescent="0.2">
      <c r="B1969" t="s">
        <v>7237</v>
      </c>
      <c r="C1969" t="s">
        <v>7238</v>
      </c>
      <c r="D1969">
        <v>7</v>
      </c>
      <c r="E1969" t="s">
        <v>2930</v>
      </c>
      <c r="F1969">
        <v>3</v>
      </c>
    </row>
    <row r="1970" spans="2:6" x14ac:dyDescent="0.2">
      <c r="B1970" t="s">
        <v>7239</v>
      </c>
      <c r="C1970" t="s">
        <v>7240</v>
      </c>
      <c r="D1970">
        <v>7</v>
      </c>
      <c r="E1970" t="s">
        <v>7241</v>
      </c>
      <c r="F1970">
        <v>4</v>
      </c>
    </row>
    <row r="1971" spans="2:6" x14ac:dyDescent="0.2">
      <c r="B1971" t="s">
        <v>7242</v>
      </c>
      <c r="C1971" t="s">
        <v>7243</v>
      </c>
      <c r="D1971">
        <v>7</v>
      </c>
      <c r="E1971" t="s">
        <v>2889</v>
      </c>
      <c r="F1971">
        <v>1</v>
      </c>
    </row>
    <row r="1972" spans="2:6" x14ac:dyDescent="0.2">
      <c r="B1972" t="s">
        <v>7244</v>
      </c>
      <c r="C1972" t="s">
        <v>3828</v>
      </c>
      <c r="D1972">
        <v>7</v>
      </c>
      <c r="E1972" t="s">
        <v>2994</v>
      </c>
      <c r="F1972">
        <v>1</v>
      </c>
    </row>
    <row r="1973" spans="2:6" x14ac:dyDescent="0.2">
      <c r="B1973" t="s">
        <v>7245</v>
      </c>
      <c r="C1973" t="s">
        <v>7246</v>
      </c>
      <c r="D1973">
        <v>7</v>
      </c>
      <c r="E1973" t="s">
        <v>2892</v>
      </c>
      <c r="F1973">
        <v>1</v>
      </c>
    </row>
    <row r="1974" spans="2:6" x14ac:dyDescent="0.2">
      <c r="B1974" t="s">
        <v>7247</v>
      </c>
      <c r="C1974" t="s">
        <v>7248</v>
      </c>
      <c r="D1974">
        <v>7</v>
      </c>
      <c r="E1974" t="s">
        <v>4052</v>
      </c>
      <c r="F1974">
        <v>1</v>
      </c>
    </row>
    <row r="1975" spans="2:6" x14ac:dyDescent="0.2">
      <c r="B1975" t="s">
        <v>7249</v>
      </c>
      <c r="C1975" t="s">
        <v>7250</v>
      </c>
      <c r="D1975">
        <v>7</v>
      </c>
      <c r="E1975" t="s">
        <v>2892</v>
      </c>
      <c r="F1975">
        <v>1</v>
      </c>
    </row>
    <row r="1976" spans="2:6" x14ac:dyDescent="0.2">
      <c r="B1976" t="s">
        <v>7251</v>
      </c>
      <c r="C1976" t="s">
        <v>7252</v>
      </c>
      <c r="D1976">
        <v>7</v>
      </c>
      <c r="E1976" t="s">
        <v>3688</v>
      </c>
      <c r="F1976">
        <v>1</v>
      </c>
    </row>
    <row r="1977" spans="2:6" x14ac:dyDescent="0.2">
      <c r="B1977" t="s">
        <v>1574</v>
      </c>
      <c r="C1977" t="s">
        <v>7253</v>
      </c>
      <c r="D1977">
        <v>7</v>
      </c>
      <c r="E1977" t="s">
        <v>3475</v>
      </c>
      <c r="F1977">
        <v>3</v>
      </c>
    </row>
    <row r="1978" spans="2:6" x14ac:dyDescent="0.2">
      <c r="B1978" t="s">
        <v>7254</v>
      </c>
      <c r="C1978" t="s">
        <v>7255</v>
      </c>
      <c r="D1978">
        <v>7</v>
      </c>
      <c r="E1978" t="s">
        <v>3235</v>
      </c>
      <c r="F1978">
        <v>1</v>
      </c>
    </row>
    <row r="1979" spans="2:6" x14ac:dyDescent="0.2">
      <c r="B1979" t="s">
        <v>7256</v>
      </c>
      <c r="C1979" t="s">
        <v>7257</v>
      </c>
      <c r="D1979">
        <v>7</v>
      </c>
      <c r="E1979" t="s">
        <v>7258</v>
      </c>
      <c r="F1979">
        <v>1</v>
      </c>
    </row>
    <row r="1980" spans="2:6" x14ac:dyDescent="0.2">
      <c r="B1980" t="s">
        <v>7259</v>
      </c>
      <c r="C1980" t="s">
        <v>7260</v>
      </c>
      <c r="D1980">
        <v>7</v>
      </c>
      <c r="E1980" t="s">
        <v>5336</v>
      </c>
      <c r="F1980">
        <v>1</v>
      </c>
    </row>
    <row r="1981" spans="2:6" x14ac:dyDescent="0.2">
      <c r="B1981" t="s">
        <v>7261</v>
      </c>
      <c r="C1981" t="s">
        <v>7262</v>
      </c>
      <c r="D1981">
        <v>7</v>
      </c>
      <c r="E1981" t="s">
        <v>2906</v>
      </c>
      <c r="F1981">
        <v>5</v>
      </c>
    </row>
    <row r="1982" spans="2:6" x14ac:dyDescent="0.2">
      <c r="B1982" t="s">
        <v>480</v>
      </c>
      <c r="C1982" t="s">
        <v>7263</v>
      </c>
      <c r="D1982">
        <v>7</v>
      </c>
      <c r="E1982" t="s">
        <v>2850</v>
      </c>
      <c r="F1982">
        <v>2</v>
      </c>
    </row>
    <row r="1983" spans="2:6" x14ac:dyDescent="0.2">
      <c r="B1983" t="s">
        <v>7264</v>
      </c>
      <c r="C1983" t="s">
        <v>7265</v>
      </c>
      <c r="D1983">
        <v>7</v>
      </c>
      <c r="E1983" t="s">
        <v>3742</v>
      </c>
      <c r="F1983">
        <v>1</v>
      </c>
    </row>
    <row r="1984" spans="2:6" x14ac:dyDescent="0.2">
      <c r="B1984" t="s">
        <v>7266</v>
      </c>
      <c r="C1984" t="s">
        <v>7267</v>
      </c>
      <c r="D1984">
        <v>7</v>
      </c>
      <c r="E1984" t="s">
        <v>7268</v>
      </c>
      <c r="F1984">
        <v>1</v>
      </c>
    </row>
    <row r="1985" spans="2:6" x14ac:dyDescent="0.2">
      <c r="B1985" t="s">
        <v>1614</v>
      </c>
      <c r="C1985" t="s">
        <v>7269</v>
      </c>
      <c r="D1985">
        <v>7</v>
      </c>
      <c r="E1985" t="s">
        <v>4104</v>
      </c>
      <c r="F1985">
        <v>2</v>
      </c>
    </row>
    <row r="1986" spans="2:6" x14ac:dyDescent="0.2">
      <c r="B1986" t="s">
        <v>7270</v>
      </c>
      <c r="C1986" t="s">
        <v>7271</v>
      </c>
      <c r="D1986">
        <v>7</v>
      </c>
      <c r="E1986" t="s">
        <v>4823</v>
      </c>
      <c r="F1986">
        <v>2</v>
      </c>
    </row>
    <row r="1987" spans="2:6" x14ac:dyDescent="0.2">
      <c r="B1987" t="s">
        <v>7272</v>
      </c>
      <c r="C1987" t="s">
        <v>7273</v>
      </c>
      <c r="D1987">
        <v>7</v>
      </c>
      <c r="E1987" t="s">
        <v>3078</v>
      </c>
      <c r="F1987">
        <v>1</v>
      </c>
    </row>
    <row r="1988" spans="2:6" x14ac:dyDescent="0.2">
      <c r="B1988" t="s">
        <v>7274</v>
      </c>
      <c r="C1988" t="s">
        <v>7275</v>
      </c>
      <c r="D1988">
        <v>7</v>
      </c>
      <c r="E1988" t="s">
        <v>3564</v>
      </c>
      <c r="F1988">
        <v>1</v>
      </c>
    </row>
    <row r="1989" spans="2:6" x14ac:dyDescent="0.2">
      <c r="B1989" t="s">
        <v>7276</v>
      </c>
      <c r="C1989" t="s">
        <v>7277</v>
      </c>
      <c r="D1989">
        <v>7</v>
      </c>
      <c r="E1989" t="s">
        <v>6772</v>
      </c>
      <c r="F1989">
        <v>6</v>
      </c>
    </row>
    <row r="1990" spans="2:6" x14ac:dyDescent="0.2">
      <c r="B1990" t="s">
        <v>7278</v>
      </c>
      <c r="C1990" t="s">
        <v>7279</v>
      </c>
      <c r="D1990">
        <v>7</v>
      </c>
      <c r="E1990" t="s">
        <v>2985</v>
      </c>
      <c r="F1990">
        <v>15</v>
      </c>
    </row>
    <row r="1991" spans="2:6" x14ac:dyDescent="0.2">
      <c r="B1991" t="s">
        <v>7280</v>
      </c>
      <c r="C1991" t="s">
        <v>7281</v>
      </c>
      <c r="D1991">
        <v>7</v>
      </c>
      <c r="E1991" t="s">
        <v>2850</v>
      </c>
      <c r="F1991">
        <v>20</v>
      </c>
    </row>
    <row r="1992" spans="2:6" x14ac:dyDescent="0.2">
      <c r="B1992" t="s">
        <v>7282</v>
      </c>
      <c r="C1992" t="s">
        <v>7283</v>
      </c>
      <c r="D1992">
        <v>7</v>
      </c>
      <c r="E1992" t="s">
        <v>7284</v>
      </c>
      <c r="F1992">
        <v>1</v>
      </c>
    </row>
    <row r="1993" spans="2:6" x14ac:dyDescent="0.2">
      <c r="B1993" t="s">
        <v>7285</v>
      </c>
      <c r="C1993" t="s">
        <v>7286</v>
      </c>
      <c r="D1993">
        <v>7</v>
      </c>
      <c r="E1993" t="s">
        <v>7287</v>
      </c>
      <c r="F1993">
        <v>4</v>
      </c>
    </row>
    <row r="1994" spans="2:6" x14ac:dyDescent="0.2">
      <c r="B1994" t="s">
        <v>7288</v>
      </c>
      <c r="C1994" t="s">
        <v>7289</v>
      </c>
      <c r="D1994">
        <v>7</v>
      </c>
      <c r="E1994" t="s">
        <v>7290</v>
      </c>
      <c r="F1994">
        <v>2</v>
      </c>
    </row>
    <row r="1995" spans="2:6" x14ac:dyDescent="0.2">
      <c r="B1995" t="s">
        <v>1950</v>
      </c>
      <c r="C1995" t="s">
        <v>7291</v>
      </c>
      <c r="D1995">
        <v>7</v>
      </c>
      <c r="E1995" t="s">
        <v>3455</v>
      </c>
      <c r="F1995">
        <v>1</v>
      </c>
    </row>
    <row r="1996" spans="2:6" x14ac:dyDescent="0.2">
      <c r="B1996" t="s">
        <v>7292</v>
      </c>
      <c r="C1996" t="s">
        <v>7293</v>
      </c>
      <c r="D1996">
        <v>7</v>
      </c>
      <c r="E1996" t="s">
        <v>3139</v>
      </c>
      <c r="F1996">
        <v>2</v>
      </c>
    </row>
    <row r="1997" spans="2:6" x14ac:dyDescent="0.2">
      <c r="B1997" t="s">
        <v>7294</v>
      </c>
      <c r="C1997" t="s">
        <v>7295</v>
      </c>
      <c r="D1997">
        <v>7</v>
      </c>
      <c r="E1997" t="s">
        <v>3364</v>
      </c>
      <c r="F1997">
        <v>2</v>
      </c>
    </row>
    <row r="1998" spans="2:6" x14ac:dyDescent="0.2">
      <c r="B1998" t="s">
        <v>7296</v>
      </c>
      <c r="C1998" t="s">
        <v>7297</v>
      </c>
      <c r="D1998">
        <v>7</v>
      </c>
      <c r="E1998" t="s">
        <v>4260</v>
      </c>
      <c r="F1998">
        <v>5</v>
      </c>
    </row>
    <row r="1999" spans="2:6" x14ac:dyDescent="0.2">
      <c r="B1999" t="s">
        <v>7298</v>
      </c>
      <c r="C1999" t="s">
        <v>7299</v>
      </c>
      <c r="D1999">
        <v>7</v>
      </c>
      <c r="E1999" t="s">
        <v>3245</v>
      </c>
      <c r="F1999">
        <v>1</v>
      </c>
    </row>
    <row r="2000" spans="2:6" x14ac:dyDescent="0.2">
      <c r="B2000" t="s">
        <v>7300</v>
      </c>
      <c r="C2000" t="s">
        <v>7301</v>
      </c>
      <c r="D2000">
        <v>7</v>
      </c>
      <c r="E2000" t="s">
        <v>3423</v>
      </c>
      <c r="F2000">
        <v>14</v>
      </c>
    </row>
    <row r="2001" spans="2:6" x14ac:dyDescent="0.2">
      <c r="B2001" t="s">
        <v>7302</v>
      </c>
      <c r="C2001" t="s">
        <v>7303</v>
      </c>
      <c r="D2001">
        <v>7</v>
      </c>
      <c r="E2001" t="s">
        <v>3442</v>
      </c>
      <c r="F2001">
        <v>3</v>
      </c>
    </row>
    <row r="2002" spans="2:6" x14ac:dyDescent="0.2">
      <c r="B2002" t="s">
        <v>7304</v>
      </c>
      <c r="C2002" t="s">
        <v>7305</v>
      </c>
      <c r="D2002">
        <v>7</v>
      </c>
      <c r="E2002" t="s">
        <v>7306</v>
      </c>
      <c r="F2002">
        <v>1</v>
      </c>
    </row>
    <row r="2003" spans="2:6" x14ac:dyDescent="0.2">
      <c r="B2003" t="s">
        <v>7307</v>
      </c>
      <c r="C2003" t="s">
        <v>7308</v>
      </c>
      <c r="D2003">
        <v>7</v>
      </c>
      <c r="E2003" t="s">
        <v>7309</v>
      </c>
      <c r="F2003">
        <v>3</v>
      </c>
    </row>
    <row r="2004" spans="2:6" x14ac:dyDescent="0.2">
      <c r="B2004" t="s">
        <v>2037</v>
      </c>
      <c r="C2004" t="s">
        <v>7310</v>
      </c>
      <c r="D2004">
        <v>7</v>
      </c>
      <c r="E2004" t="s">
        <v>3686</v>
      </c>
      <c r="F2004">
        <v>6</v>
      </c>
    </row>
    <row r="2005" spans="2:6" x14ac:dyDescent="0.2">
      <c r="B2005" t="s">
        <v>1982</v>
      </c>
      <c r="C2005" t="s">
        <v>7311</v>
      </c>
      <c r="D2005">
        <v>7</v>
      </c>
      <c r="E2005" t="s">
        <v>3048</v>
      </c>
      <c r="F2005">
        <v>8</v>
      </c>
    </row>
    <row r="2006" spans="2:6" x14ac:dyDescent="0.2">
      <c r="B2006" t="s">
        <v>7312</v>
      </c>
      <c r="C2006" t="s">
        <v>7313</v>
      </c>
      <c r="D2006">
        <v>7</v>
      </c>
      <c r="E2006" t="s">
        <v>7054</v>
      </c>
      <c r="F2006">
        <v>2</v>
      </c>
    </row>
    <row r="2007" spans="2:6" x14ac:dyDescent="0.2">
      <c r="B2007" t="s">
        <v>7314</v>
      </c>
      <c r="C2007" t="s">
        <v>7315</v>
      </c>
      <c r="D2007">
        <v>7</v>
      </c>
      <c r="E2007" t="s">
        <v>2830</v>
      </c>
      <c r="F2007">
        <v>8</v>
      </c>
    </row>
    <row r="2008" spans="2:6" x14ac:dyDescent="0.2">
      <c r="B2008" t="s">
        <v>7316</v>
      </c>
      <c r="C2008" t="s">
        <v>7317</v>
      </c>
      <c r="D2008">
        <v>7</v>
      </c>
      <c r="E2008" t="s">
        <v>2906</v>
      </c>
      <c r="F2008">
        <v>5</v>
      </c>
    </row>
    <row r="2009" spans="2:6" x14ac:dyDescent="0.2">
      <c r="B2009" t="s">
        <v>7318</v>
      </c>
      <c r="C2009" t="s">
        <v>7319</v>
      </c>
      <c r="D2009">
        <v>7</v>
      </c>
      <c r="E2009" t="s">
        <v>2930</v>
      </c>
      <c r="F2009">
        <v>2</v>
      </c>
    </row>
    <row r="2010" spans="2:6" x14ac:dyDescent="0.2">
      <c r="B2010" t="s">
        <v>7320</v>
      </c>
      <c r="C2010" t="s">
        <v>7321</v>
      </c>
      <c r="D2010">
        <v>7</v>
      </c>
      <c r="E2010" t="s">
        <v>2839</v>
      </c>
      <c r="F2010">
        <v>3</v>
      </c>
    </row>
    <row r="2011" spans="2:6" x14ac:dyDescent="0.2">
      <c r="B2011" t="s">
        <v>7322</v>
      </c>
      <c r="C2011" t="s">
        <v>7323</v>
      </c>
      <c r="D2011">
        <v>7</v>
      </c>
      <c r="E2011" t="s">
        <v>4629</v>
      </c>
      <c r="F2011">
        <v>12</v>
      </c>
    </row>
    <row r="2012" spans="2:6" x14ac:dyDescent="0.2">
      <c r="B2012" t="s">
        <v>7324</v>
      </c>
      <c r="C2012" t="s">
        <v>7325</v>
      </c>
      <c r="D2012">
        <v>7</v>
      </c>
      <c r="E2012" t="s">
        <v>3773</v>
      </c>
      <c r="F2012">
        <v>1</v>
      </c>
    </row>
    <row r="2013" spans="2:6" x14ac:dyDescent="0.2">
      <c r="B2013" t="s">
        <v>7326</v>
      </c>
      <c r="C2013" t="s">
        <v>7327</v>
      </c>
      <c r="D2013">
        <v>7</v>
      </c>
      <c r="E2013" t="s">
        <v>6965</v>
      </c>
      <c r="F2013">
        <v>1</v>
      </c>
    </row>
    <row r="2014" spans="2:6" x14ac:dyDescent="0.2">
      <c r="B2014" t="s">
        <v>7328</v>
      </c>
      <c r="C2014" t="s">
        <v>7329</v>
      </c>
      <c r="D2014">
        <v>7</v>
      </c>
      <c r="E2014" t="s">
        <v>2903</v>
      </c>
      <c r="F2014">
        <v>5</v>
      </c>
    </row>
    <row r="2015" spans="2:6" x14ac:dyDescent="0.2">
      <c r="B2015" t="s">
        <v>268</v>
      </c>
      <c r="C2015" t="s">
        <v>7330</v>
      </c>
      <c r="D2015">
        <v>7</v>
      </c>
      <c r="E2015" t="s">
        <v>3036</v>
      </c>
      <c r="F2015">
        <v>4</v>
      </c>
    </row>
    <row r="2016" spans="2:6" x14ac:dyDescent="0.2">
      <c r="B2016" t="s">
        <v>7331</v>
      </c>
      <c r="C2016" t="s">
        <v>7332</v>
      </c>
      <c r="D2016">
        <v>7</v>
      </c>
      <c r="E2016" t="s">
        <v>3466</v>
      </c>
      <c r="F2016">
        <v>1</v>
      </c>
    </row>
    <row r="2017" spans="2:6" x14ac:dyDescent="0.2">
      <c r="B2017" t="s">
        <v>7333</v>
      </c>
      <c r="C2017" t="s">
        <v>2403</v>
      </c>
      <c r="D2017">
        <v>7</v>
      </c>
      <c r="E2017" t="s">
        <v>7334</v>
      </c>
      <c r="F2017">
        <v>3</v>
      </c>
    </row>
    <row r="2018" spans="2:6" x14ac:dyDescent="0.2">
      <c r="B2018" t="s">
        <v>1347</v>
      </c>
      <c r="C2018" t="s">
        <v>7335</v>
      </c>
      <c r="D2018">
        <v>7</v>
      </c>
      <c r="E2018" t="s">
        <v>4299</v>
      </c>
      <c r="F2018">
        <v>4</v>
      </c>
    </row>
    <row r="2019" spans="2:6" x14ac:dyDescent="0.2">
      <c r="B2019" t="s">
        <v>7336</v>
      </c>
      <c r="C2019" t="s">
        <v>7337</v>
      </c>
      <c r="D2019">
        <v>7</v>
      </c>
      <c r="E2019" t="s">
        <v>7338</v>
      </c>
      <c r="F2019">
        <v>4</v>
      </c>
    </row>
    <row r="2020" spans="2:6" x14ac:dyDescent="0.2">
      <c r="B2020" t="s">
        <v>7339</v>
      </c>
      <c r="C2020" t="s">
        <v>7340</v>
      </c>
      <c r="D2020">
        <v>7</v>
      </c>
      <c r="E2020" t="s">
        <v>7341</v>
      </c>
      <c r="F2020">
        <v>2</v>
      </c>
    </row>
    <row r="2021" spans="2:6" x14ac:dyDescent="0.2">
      <c r="B2021" t="s">
        <v>7342</v>
      </c>
      <c r="C2021" t="s">
        <v>7281</v>
      </c>
      <c r="D2021">
        <v>7</v>
      </c>
      <c r="E2021" t="s">
        <v>2850</v>
      </c>
      <c r="F2021">
        <v>4</v>
      </c>
    </row>
    <row r="2022" spans="2:6" x14ac:dyDescent="0.2">
      <c r="B2022" t="s">
        <v>7343</v>
      </c>
      <c r="C2022" t="s">
        <v>7344</v>
      </c>
      <c r="D2022">
        <v>7</v>
      </c>
      <c r="E2022" t="s">
        <v>5551</v>
      </c>
      <c r="F2022">
        <v>18</v>
      </c>
    </row>
    <row r="2023" spans="2:6" x14ac:dyDescent="0.2">
      <c r="B2023" t="s">
        <v>7345</v>
      </c>
      <c r="C2023" t="s">
        <v>7346</v>
      </c>
      <c r="D2023">
        <v>7</v>
      </c>
      <c r="E2023" t="s">
        <v>7347</v>
      </c>
      <c r="F2023">
        <v>1</v>
      </c>
    </row>
    <row r="2024" spans="2:6" x14ac:dyDescent="0.2">
      <c r="B2024" t="s">
        <v>7348</v>
      </c>
      <c r="C2024" t="s">
        <v>7349</v>
      </c>
      <c r="D2024">
        <v>7</v>
      </c>
      <c r="E2024" t="s">
        <v>7350</v>
      </c>
      <c r="F2024">
        <v>9</v>
      </c>
    </row>
    <row r="2025" spans="2:6" x14ac:dyDescent="0.2">
      <c r="B2025" t="s">
        <v>7351</v>
      </c>
      <c r="C2025" t="s">
        <v>6844</v>
      </c>
      <c r="D2025">
        <v>7</v>
      </c>
      <c r="E2025" t="s">
        <v>7352</v>
      </c>
      <c r="F2025">
        <v>1</v>
      </c>
    </row>
    <row r="2026" spans="2:6" x14ac:dyDescent="0.2">
      <c r="B2026" t="s">
        <v>7353</v>
      </c>
      <c r="C2026" t="s">
        <v>4115</v>
      </c>
      <c r="D2026">
        <v>7</v>
      </c>
      <c r="E2026" t="s">
        <v>3789</v>
      </c>
      <c r="F2026">
        <v>4</v>
      </c>
    </row>
    <row r="2027" spans="2:6" x14ac:dyDescent="0.2">
      <c r="B2027" t="s">
        <v>7354</v>
      </c>
      <c r="C2027" t="s">
        <v>7355</v>
      </c>
      <c r="D2027">
        <v>7</v>
      </c>
      <c r="E2027" t="s">
        <v>7356</v>
      </c>
      <c r="F2027">
        <v>1</v>
      </c>
    </row>
    <row r="2028" spans="2:6" x14ac:dyDescent="0.2">
      <c r="B2028" t="s">
        <v>695</v>
      </c>
      <c r="C2028" t="s">
        <v>7357</v>
      </c>
      <c r="D2028">
        <v>7</v>
      </c>
      <c r="E2028" t="s">
        <v>2811</v>
      </c>
      <c r="F2028">
        <v>1</v>
      </c>
    </row>
    <row r="2029" spans="2:6" x14ac:dyDescent="0.2">
      <c r="B2029" t="s">
        <v>7358</v>
      </c>
      <c r="C2029" t="s">
        <v>7359</v>
      </c>
      <c r="D2029">
        <v>7</v>
      </c>
      <c r="E2029" t="s">
        <v>3402</v>
      </c>
      <c r="F2029">
        <v>5</v>
      </c>
    </row>
    <row r="2030" spans="2:6" x14ac:dyDescent="0.2">
      <c r="B2030" t="s">
        <v>7360</v>
      </c>
      <c r="C2030" t="s">
        <v>7361</v>
      </c>
      <c r="D2030">
        <v>7</v>
      </c>
      <c r="E2030" t="s">
        <v>3230</v>
      </c>
      <c r="F2030">
        <v>1</v>
      </c>
    </row>
    <row r="2031" spans="2:6" x14ac:dyDescent="0.2">
      <c r="B2031" t="s">
        <v>2047</v>
      </c>
      <c r="C2031" t="s">
        <v>7362</v>
      </c>
      <c r="D2031">
        <v>7</v>
      </c>
      <c r="E2031" t="s">
        <v>2819</v>
      </c>
      <c r="F2031">
        <v>1</v>
      </c>
    </row>
    <row r="2032" spans="2:6" x14ac:dyDescent="0.2">
      <c r="B2032" t="s">
        <v>7363</v>
      </c>
      <c r="C2032" t="s">
        <v>7364</v>
      </c>
      <c r="D2032">
        <v>7</v>
      </c>
      <c r="E2032" t="s">
        <v>3994</v>
      </c>
      <c r="F2032">
        <v>55</v>
      </c>
    </row>
    <row r="2033" spans="2:6" x14ac:dyDescent="0.2">
      <c r="B2033" t="s">
        <v>7365</v>
      </c>
      <c r="C2033" t="s">
        <v>7366</v>
      </c>
      <c r="D2033">
        <v>7</v>
      </c>
      <c r="E2033" t="s">
        <v>5992</v>
      </c>
      <c r="F2033">
        <v>3</v>
      </c>
    </row>
    <row r="2034" spans="2:6" x14ac:dyDescent="0.2">
      <c r="B2034" t="s">
        <v>7367</v>
      </c>
      <c r="C2034" t="s">
        <v>7368</v>
      </c>
      <c r="D2034">
        <v>7</v>
      </c>
      <c r="E2034" t="s">
        <v>3381</v>
      </c>
      <c r="F2034">
        <v>1</v>
      </c>
    </row>
    <row r="2035" spans="2:6" x14ac:dyDescent="0.2">
      <c r="B2035" t="s">
        <v>884</v>
      </c>
      <c r="C2035" t="s">
        <v>7369</v>
      </c>
      <c r="D2035">
        <v>7</v>
      </c>
      <c r="E2035" t="s">
        <v>3036</v>
      </c>
      <c r="F2035">
        <v>3</v>
      </c>
    </row>
    <row r="2036" spans="2:6" x14ac:dyDescent="0.2">
      <c r="B2036" t="s">
        <v>7370</v>
      </c>
      <c r="C2036" t="s">
        <v>7371</v>
      </c>
      <c r="D2036">
        <v>7</v>
      </c>
      <c r="E2036" t="s">
        <v>3007</v>
      </c>
      <c r="F2036">
        <v>3</v>
      </c>
    </row>
    <row r="2037" spans="2:6" x14ac:dyDescent="0.2">
      <c r="B2037" t="s">
        <v>7372</v>
      </c>
      <c r="C2037" t="s">
        <v>7373</v>
      </c>
      <c r="D2037">
        <v>7</v>
      </c>
      <c r="E2037" t="s">
        <v>3786</v>
      </c>
      <c r="F2037">
        <v>2</v>
      </c>
    </row>
    <row r="2038" spans="2:6" x14ac:dyDescent="0.2">
      <c r="B2038" t="s">
        <v>7374</v>
      </c>
      <c r="C2038" t="s">
        <v>7375</v>
      </c>
      <c r="D2038">
        <v>7</v>
      </c>
      <c r="E2038" t="s">
        <v>3375</v>
      </c>
      <c r="F2038">
        <v>4</v>
      </c>
    </row>
    <row r="2039" spans="2:6" x14ac:dyDescent="0.2">
      <c r="B2039" t="s">
        <v>7376</v>
      </c>
      <c r="C2039" t="s">
        <v>7377</v>
      </c>
      <c r="D2039">
        <v>7</v>
      </c>
      <c r="E2039" t="s">
        <v>2930</v>
      </c>
      <c r="F2039">
        <v>1</v>
      </c>
    </row>
    <row r="2040" spans="2:6" x14ac:dyDescent="0.2">
      <c r="B2040" t="s">
        <v>7378</v>
      </c>
      <c r="C2040" t="s">
        <v>7379</v>
      </c>
      <c r="D2040">
        <v>7</v>
      </c>
      <c r="E2040" t="s">
        <v>7380</v>
      </c>
      <c r="F2040">
        <v>1</v>
      </c>
    </row>
    <row r="2041" spans="2:6" x14ac:dyDescent="0.2">
      <c r="B2041" t="s">
        <v>7381</v>
      </c>
      <c r="C2041" t="s">
        <v>7382</v>
      </c>
      <c r="D2041">
        <v>7</v>
      </c>
      <c r="E2041" t="s">
        <v>7383</v>
      </c>
      <c r="F2041">
        <v>2</v>
      </c>
    </row>
    <row r="2042" spans="2:6" x14ac:dyDescent="0.2">
      <c r="B2042" t="s">
        <v>1704</v>
      </c>
      <c r="C2042" t="s">
        <v>7384</v>
      </c>
      <c r="D2042">
        <v>7</v>
      </c>
      <c r="E2042" t="s">
        <v>3742</v>
      </c>
      <c r="F2042">
        <v>6</v>
      </c>
    </row>
    <row r="2043" spans="2:6" x14ac:dyDescent="0.2">
      <c r="B2043" t="s">
        <v>7385</v>
      </c>
      <c r="C2043" t="s">
        <v>5927</v>
      </c>
      <c r="D2043">
        <v>7</v>
      </c>
      <c r="E2043" t="s">
        <v>7386</v>
      </c>
      <c r="F2043">
        <v>8</v>
      </c>
    </row>
    <row r="2044" spans="2:6" x14ac:dyDescent="0.2">
      <c r="B2044" t="s">
        <v>7387</v>
      </c>
      <c r="C2044" t="s">
        <v>7388</v>
      </c>
      <c r="D2044">
        <v>7</v>
      </c>
      <c r="E2044" t="s">
        <v>7389</v>
      </c>
      <c r="F2044">
        <v>14</v>
      </c>
    </row>
    <row r="2045" spans="2:6" x14ac:dyDescent="0.2">
      <c r="B2045" t="s">
        <v>7390</v>
      </c>
      <c r="C2045" t="s">
        <v>7391</v>
      </c>
      <c r="D2045">
        <v>7</v>
      </c>
      <c r="E2045" t="s">
        <v>3109</v>
      </c>
      <c r="F2045">
        <v>2</v>
      </c>
    </row>
    <row r="2046" spans="2:6" x14ac:dyDescent="0.2">
      <c r="B2046" t="s">
        <v>7392</v>
      </c>
      <c r="C2046" t="s">
        <v>7393</v>
      </c>
      <c r="D2046">
        <v>7</v>
      </c>
      <c r="E2046" t="s">
        <v>2785</v>
      </c>
      <c r="F2046">
        <v>1</v>
      </c>
    </row>
    <row r="2047" spans="2:6" x14ac:dyDescent="0.2">
      <c r="B2047" t="s">
        <v>7394</v>
      </c>
      <c r="C2047" t="s">
        <v>7395</v>
      </c>
      <c r="D2047">
        <v>7</v>
      </c>
      <c r="E2047" t="s">
        <v>3381</v>
      </c>
      <c r="F2047">
        <v>9</v>
      </c>
    </row>
    <row r="2048" spans="2:6" x14ac:dyDescent="0.2">
      <c r="B2048" t="s">
        <v>7396</v>
      </c>
      <c r="C2048" t="s">
        <v>7397</v>
      </c>
      <c r="D2048">
        <v>7</v>
      </c>
      <c r="E2048" t="s">
        <v>7398</v>
      </c>
      <c r="F2048">
        <v>3</v>
      </c>
    </row>
    <row r="2049" spans="2:6" x14ac:dyDescent="0.2">
      <c r="B2049" t="s">
        <v>7399</v>
      </c>
      <c r="C2049" t="s">
        <v>7400</v>
      </c>
      <c r="D2049">
        <v>7</v>
      </c>
      <c r="E2049" t="s">
        <v>3933</v>
      </c>
      <c r="F2049">
        <v>22</v>
      </c>
    </row>
    <row r="2050" spans="2:6" x14ac:dyDescent="0.2">
      <c r="B2050" t="s">
        <v>441</v>
      </c>
      <c r="C2050" t="s">
        <v>7401</v>
      </c>
      <c r="D2050">
        <v>7</v>
      </c>
      <c r="E2050" t="s">
        <v>3261</v>
      </c>
      <c r="F2050">
        <v>6</v>
      </c>
    </row>
    <row r="2051" spans="2:6" x14ac:dyDescent="0.2">
      <c r="B2051" t="s">
        <v>7402</v>
      </c>
      <c r="C2051" t="s">
        <v>7403</v>
      </c>
      <c r="D2051">
        <v>7</v>
      </c>
      <c r="E2051" t="s">
        <v>3232</v>
      </c>
      <c r="F2051">
        <v>1</v>
      </c>
    </row>
    <row r="2052" spans="2:6" x14ac:dyDescent="0.2">
      <c r="B2052" t="s">
        <v>7404</v>
      </c>
      <c r="C2052" t="s">
        <v>7405</v>
      </c>
      <c r="D2052">
        <v>7</v>
      </c>
      <c r="E2052" t="s">
        <v>5352</v>
      </c>
      <c r="F2052">
        <v>5</v>
      </c>
    </row>
    <row r="2053" spans="2:6" x14ac:dyDescent="0.2">
      <c r="B2053" t="s">
        <v>984</v>
      </c>
      <c r="C2053" t="s">
        <v>7406</v>
      </c>
      <c r="D2053">
        <v>7</v>
      </c>
      <c r="E2053" t="s">
        <v>3507</v>
      </c>
      <c r="F2053">
        <v>17</v>
      </c>
    </row>
    <row r="2054" spans="2:6" x14ac:dyDescent="0.2">
      <c r="B2054" t="s">
        <v>7407</v>
      </c>
      <c r="C2054" t="s">
        <v>7408</v>
      </c>
      <c r="D2054">
        <v>7</v>
      </c>
      <c r="E2054" t="s">
        <v>3307</v>
      </c>
      <c r="F2054">
        <v>5</v>
      </c>
    </row>
    <row r="2055" spans="2:6" x14ac:dyDescent="0.2">
      <c r="B2055" t="s">
        <v>7409</v>
      </c>
      <c r="C2055" t="s">
        <v>7410</v>
      </c>
      <c r="D2055">
        <v>7</v>
      </c>
      <c r="E2055" t="s">
        <v>4897</v>
      </c>
      <c r="F2055">
        <v>4</v>
      </c>
    </row>
    <row r="2056" spans="2:6" x14ac:dyDescent="0.2">
      <c r="B2056" t="s">
        <v>7411</v>
      </c>
      <c r="C2056" t="s">
        <v>7412</v>
      </c>
      <c r="D2056">
        <v>7</v>
      </c>
      <c r="E2056" t="s">
        <v>3281</v>
      </c>
      <c r="F2056">
        <v>4</v>
      </c>
    </row>
    <row r="2057" spans="2:6" x14ac:dyDescent="0.2">
      <c r="B2057" t="s">
        <v>7413</v>
      </c>
      <c r="C2057" t="s">
        <v>7414</v>
      </c>
      <c r="D2057">
        <v>7</v>
      </c>
      <c r="E2057" t="s">
        <v>7415</v>
      </c>
      <c r="F2057">
        <v>2</v>
      </c>
    </row>
    <row r="2058" spans="2:6" x14ac:dyDescent="0.2">
      <c r="B2058" t="s">
        <v>7416</v>
      </c>
      <c r="C2058" t="s">
        <v>7417</v>
      </c>
      <c r="D2058">
        <v>7</v>
      </c>
      <c r="E2058" t="s">
        <v>2912</v>
      </c>
      <c r="F2058">
        <v>2</v>
      </c>
    </row>
    <row r="2059" spans="2:6" x14ac:dyDescent="0.2">
      <c r="B2059" t="s">
        <v>7418</v>
      </c>
      <c r="C2059" t="s">
        <v>5987</v>
      </c>
      <c r="D2059">
        <v>7</v>
      </c>
      <c r="E2059" t="s">
        <v>7419</v>
      </c>
      <c r="F2059">
        <v>1</v>
      </c>
    </row>
    <row r="2060" spans="2:6" x14ac:dyDescent="0.2">
      <c r="B2060" t="s">
        <v>7420</v>
      </c>
      <c r="C2060" t="s">
        <v>4457</v>
      </c>
      <c r="D2060">
        <v>7</v>
      </c>
      <c r="E2060" t="s">
        <v>2921</v>
      </c>
      <c r="F2060">
        <v>9</v>
      </c>
    </row>
    <row r="2061" spans="2:6" x14ac:dyDescent="0.2">
      <c r="B2061" t="s">
        <v>7421</v>
      </c>
      <c r="C2061" t="s">
        <v>7422</v>
      </c>
      <c r="D2061">
        <v>7</v>
      </c>
      <c r="E2061" t="s">
        <v>2839</v>
      </c>
      <c r="F2061">
        <v>1</v>
      </c>
    </row>
    <row r="2062" spans="2:6" x14ac:dyDescent="0.2">
      <c r="B2062" t="s">
        <v>7423</v>
      </c>
      <c r="C2062" t="s">
        <v>7424</v>
      </c>
      <c r="D2062">
        <v>7</v>
      </c>
      <c r="E2062" t="s">
        <v>7425</v>
      </c>
      <c r="F2062">
        <v>2</v>
      </c>
    </row>
    <row r="2063" spans="2:6" x14ac:dyDescent="0.2">
      <c r="B2063" t="s">
        <v>368</v>
      </c>
      <c r="C2063" t="s">
        <v>7426</v>
      </c>
      <c r="D2063">
        <v>7</v>
      </c>
      <c r="E2063" t="s">
        <v>7427</v>
      </c>
      <c r="F2063">
        <v>51</v>
      </c>
    </row>
    <row r="2064" spans="2:6" x14ac:dyDescent="0.2">
      <c r="B2064" t="s">
        <v>375</v>
      </c>
      <c r="C2064" t="s">
        <v>7428</v>
      </c>
      <c r="D2064">
        <v>7</v>
      </c>
      <c r="E2064" t="s">
        <v>7429</v>
      </c>
      <c r="F2064">
        <v>33</v>
      </c>
    </row>
    <row r="2065" spans="2:6" x14ac:dyDescent="0.2">
      <c r="B2065" t="s">
        <v>7430</v>
      </c>
      <c r="C2065" t="s">
        <v>7431</v>
      </c>
      <c r="D2065">
        <v>7</v>
      </c>
      <c r="E2065" t="s">
        <v>7432</v>
      </c>
      <c r="F2065">
        <v>5</v>
      </c>
    </row>
    <row r="2066" spans="2:6" x14ac:dyDescent="0.2">
      <c r="B2066" t="s">
        <v>7433</v>
      </c>
      <c r="C2066" t="s">
        <v>7434</v>
      </c>
      <c r="D2066">
        <v>7</v>
      </c>
      <c r="E2066" t="s">
        <v>3407</v>
      </c>
      <c r="F2066">
        <v>3</v>
      </c>
    </row>
    <row r="2067" spans="2:6" x14ac:dyDescent="0.2">
      <c r="B2067" t="s">
        <v>7435</v>
      </c>
      <c r="C2067" t="s">
        <v>7436</v>
      </c>
      <c r="D2067">
        <v>7</v>
      </c>
      <c r="E2067" t="s">
        <v>3901</v>
      </c>
      <c r="F2067">
        <v>2</v>
      </c>
    </row>
    <row r="2068" spans="2:6" x14ac:dyDescent="0.2">
      <c r="B2068" t="s">
        <v>7437</v>
      </c>
      <c r="C2068" t="s">
        <v>4918</v>
      </c>
      <c r="D2068">
        <v>7</v>
      </c>
      <c r="E2068" t="s">
        <v>7438</v>
      </c>
      <c r="F2068">
        <v>8</v>
      </c>
    </row>
    <row r="2069" spans="2:6" x14ac:dyDescent="0.2">
      <c r="B2069" t="s">
        <v>7439</v>
      </c>
      <c r="C2069" t="s">
        <v>5592</v>
      </c>
      <c r="D2069">
        <v>7</v>
      </c>
      <c r="E2069" t="s">
        <v>4050</v>
      </c>
      <c r="F2069">
        <v>2</v>
      </c>
    </row>
    <row r="2070" spans="2:6" x14ac:dyDescent="0.2">
      <c r="B2070" t="s">
        <v>7440</v>
      </c>
      <c r="C2070" t="s">
        <v>7441</v>
      </c>
      <c r="D2070">
        <v>7</v>
      </c>
      <c r="E2070" t="s">
        <v>3109</v>
      </c>
      <c r="F2070">
        <v>1</v>
      </c>
    </row>
    <row r="2071" spans="2:6" x14ac:dyDescent="0.2">
      <c r="B2071" t="s">
        <v>7442</v>
      </c>
      <c r="C2071" t="s">
        <v>7443</v>
      </c>
      <c r="D2071">
        <v>7</v>
      </c>
      <c r="E2071" t="s">
        <v>3321</v>
      </c>
      <c r="F2071">
        <v>2</v>
      </c>
    </row>
    <row r="2072" spans="2:6" x14ac:dyDescent="0.2">
      <c r="B2072" t="s">
        <v>7444</v>
      </c>
      <c r="C2072" t="s">
        <v>7445</v>
      </c>
      <c r="D2072">
        <v>7</v>
      </c>
      <c r="E2072" t="s">
        <v>2906</v>
      </c>
      <c r="F2072">
        <v>2</v>
      </c>
    </row>
    <row r="2073" spans="2:6" x14ac:dyDescent="0.2">
      <c r="B2073" t="s">
        <v>7446</v>
      </c>
      <c r="C2073" t="s">
        <v>7447</v>
      </c>
      <c r="D2073">
        <v>7</v>
      </c>
      <c r="E2073" t="s">
        <v>3036</v>
      </c>
      <c r="F2073">
        <v>2</v>
      </c>
    </row>
    <row r="2074" spans="2:6" x14ac:dyDescent="0.2">
      <c r="B2074" t="s">
        <v>7448</v>
      </c>
      <c r="C2074" t="s">
        <v>7449</v>
      </c>
      <c r="D2074">
        <v>7</v>
      </c>
      <c r="E2074" t="s">
        <v>2958</v>
      </c>
      <c r="F2074">
        <v>1</v>
      </c>
    </row>
    <row r="2075" spans="2:6" x14ac:dyDescent="0.2">
      <c r="B2075" t="s">
        <v>7450</v>
      </c>
      <c r="C2075" t="s">
        <v>7451</v>
      </c>
      <c r="D2075">
        <v>7</v>
      </c>
      <c r="E2075" t="s">
        <v>7452</v>
      </c>
      <c r="F2075">
        <v>1</v>
      </c>
    </row>
    <row r="2076" spans="2:6" x14ac:dyDescent="0.2">
      <c r="B2076" t="s">
        <v>7453</v>
      </c>
      <c r="C2076" t="s">
        <v>7454</v>
      </c>
      <c r="D2076">
        <v>7</v>
      </c>
      <c r="E2076" t="s">
        <v>7455</v>
      </c>
      <c r="F2076">
        <v>1</v>
      </c>
    </row>
    <row r="2077" spans="2:6" x14ac:dyDescent="0.2">
      <c r="B2077" t="s">
        <v>7456</v>
      </c>
      <c r="C2077" t="s">
        <v>7457</v>
      </c>
      <c r="D2077">
        <v>7</v>
      </c>
      <c r="E2077" t="s">
        <v>2918</v>
      </c>
      <c r="F2077">
        <v>1</v>
      </c>
    </row>
    <row r="2078" spans="2:6" x14ac:dyDescent="0.2">
      <c r="B2078" t="s">
        <v>7458</v>
      </c>
      <c r="C2078" t="s">
        <v>7459</v>
      </c>
      <c r="D2078">
        <v>7</v>
      </c>
      <c r="E2078" t="s">
        <v>3442</v>
      </c>
      <c r="F2078">
        <v>1</v>
      </c>
    </row>
    <row r="2079" spans="2:6" x14ac:dyDescent="0.2">
      <c r="B2079" t="s">
        <v>7460</v>
      </c>
      <c r="C2079" t="s">
        <v>7461</v>
      </c>
      <c r="D2079">
        <v>7</v>
      </c>
      <c r="E2079" t="s">
        <v>4125</v>
      </c>
      <c r="F2079">
        <v>2</v>
      </c>
    </row>
    <row r="2080" spans="2:6" x14ac:dyDescent="0.2">
      <c r="B2080" t="s">
        <v>7462</v>
      </c>
      <c r="C2080" t="s">
        <v>7463</v>
      </c>
      <c r="D2080">
        <v>7</v>
      </c>
      <c r="E2080" t="s">
        <v>7464</v>
      </c>
      <c r="F2080">
        <v>8</v>
      </c>
    </row>
    <row r="2081" spans="2:6" x14ac:dyDescent="0.2">
      <c r="B2081" t="s">
        <v>795</v>
      </c>
      <c r="C2081" t="s">
        <v>7465</v>
      </c>
      <c r="D2081">
        <v>7</v>
      </c>
      <c r="E2081" t="s">
        <v>4130</v>
      </c>
      <c r="F2081">
        <v>10</v>
      </c>
    </row>
    <row r="2082" spans="2:6" x14ac:dyDescent="0.2">
      <c r="B2082" t="s">
        <v>7466</v>
      </c>
      <c r="C2082" t="s">
        <v>7467</v>
      </c>
      <c r="D2082">
        <v>7</v>
      </c>
      <c r="E2082" t="s">
        <v>6284</v>
      </c>
      <c r="F2082">
        <v>2</v>
      </c>
    </row>
    <row r="2083" spans="2:6" x14ac:dyDescent="0.2">
      <c r="B2083" t="s">
        <v>7468</v>
      </c>
      <c r="C2083" t="s">
        <v>7469</v>
      </c>
      <c r="D2083">
        <v>7</v>
      </c>
      <c r="E2083" t="s">
        <v>7470</v>
      </c>
      <c r="F2083">
        <v>1</v>
      </c>
    </row>
    <row r="2084" spans="2:6" x14ac:dyDescent="0.2">
      <c r="B2084" t="s">
        <v>7471</v>
      </c>
      <c r="C2084" t="s">
        <v>7472</v>
      </c>
      <c r="D2084">
        <v>7</v>
      </c>
      <c r="E2084" t="s">
        <v>2892</v>
      </c>
      <c r="F2084">
        <v>3</v>
      </c>
    </row>
    <row r="2085" spans="2:6" x14ac:dyDescent="0.2">
      <c r="B2085" t="s">
        <v>7473</v>
      </c>
      <c r="C2085" t="s">
        <v>7474</v>
      </c>
      <c r="D2085">
        <v>7</v>
      </c>
      <c r="E2085" t="s">
        <v>3628</v>
      </c>
      <c r="F2085">
        <v>1</v>
      </c>
    </row>
    <row r="2086" spans="2:6" x14ac:dyDescent="0.2">
      <c r="B2086" t="s">
        <v>7475</v>
      </c>
      <c r="C2086" t="s">
        <v>7476</v>
      </c>
      <c r="D2086">
        <v>7</v>
      </c>
      <c r="E2086" t="s">
        <v>2788</v>
      </c>
      <c r="F2086">
        <v>2</v>
      </c>
    </row>
    <row r="2087" spans="2:6" x14ac:dyDescent="0.2">
      <c r="B2087" t="s">
        <v>7477</v>
      </c>
      <c r="C2087" t="s">
        <v>5521</v>
      </c>
      <c r="D2087">
        <v>7</v>
      </c>
      <c r="E2087" t="s">
        <v>7478</v>
      </c>
      <c r="F2087">
        <v>1</v>
      </c>
    </row>
    <row r="2088" spans="2:6" x14ac:dyDescent="0.2">
      <c r="B2088" t="s">
        <v>7479</v>
      </c>
      <c r="C2088" t="s">
        <v>7480</v>
      </c>
      <c r="D2088">
        <v>7</v>
      </c>
      <c r="E2088" t="s">
        <v>7481</v>
      </c>
      <c r="F2088">
        <v>1</v>
      </c>
    </row>
    <row r="2089" spans="2:6" x14ac:dyDescent="0.2">
      <c r="B2089" t="s">
        <v>7482</v>
      </c>
      <c r="C2089" t="s">
        <v>7483</v>
      </c>
      <c r="D2089">
        <v>7</v>
      </c>
      <c r="E2089" t="s">
        <v>3109</v>
      </c>
      <c r="F2089">
        <v>2</v>
      </c>
    </row>
    <row r="2090" spans="2:6" x14ac:dyDescent="0.2">
      <c r="B2090" t="s">
        <v>7484</v>
      </c>
      <c r="C2090" t="s">
        <v>7485</v>
      </c>
      <c r="D2090">
        <v>7</v>
      </c>
      <c r="E2090" t="s">
        <v>7486</v>
      </c>
      <c r="F2090">
        <v>3</v>
      </c>
    </row>
    <row r="2091" spans="2:6" x14ac:dyDescent="0.2">
      <c r="B2091" t="s">
        <v>7487</v>
      </c>
      <c r="C2091" t="s">
        <v>7488</v>
      </c>
      <c r="D2091">
        <v>7</v>
      </c>
      <c r="E2091" t="s">
        <v>3529</v>
      </c>
      <c r="F2091">
        <v>1</v>
      </c>
    </row>
    <row r="2092" spans="2:6" x14ac:dyDescent="0.2">
      <c r="B2092" t="s">
        <v>7489</v>
      </c>
      <c r="C2092" t="s">
        <v>7490</v>
      </c>
      <c r="D2092">
        <v>7</v>
      </c>
      <c r="E2092" t="s">
        <v>2819</v>
      </c>
      <c r="F2092">
        <v>1</v>
      </c>
    </row>
    <row r="2093" spans="2:6" x14ac:dyDescent="0.2">
      <c r="B2093" t="s">
        <v>7491</v>
      </c>
      <c r="C2093" t="s">
        <v>7492</v>
      </c>
      <c r="D2093">
        <v>7</v>
      </c>
      <c r="E2093" t="s">
        <v>7493</v>
      </c>
      <c r="F2093">
        <v>1</v>
      </c>
    </row>
    <row r="2094" spans="2:6" x14ac:dyDescent="0.2">
      <c r="B2094" t="s">
        <v>7494</v>
      </c>
      <c r="C2094" t="s">
        <v>7495</v>
      </c>
      <c r="D2094">
        <v>7</v>
      </c>
      <c r="E2094" t="s">
        <v>3028</v>
      </c>
      <c r="F2094">
        <v>3</v>
      </c>
    </row>
    <row r="2095" spans="2:6" x14ac:dyDescent="0.2">
      <c r="B2095" t="s">
        <v>7496</v>
      </c>
      <c r="C2095" t="s">
        <v>7497</v>
      </c>
      <c r="D2095">
        <v>7</v>
      </c>
      <c r="E2095" t="s">
        <v>3213</v>
      </c>
      <c r="F2095">
        <v>1</v>
      </c>
    </row>
    <row r="2096" spans="2:6" x14ac:dyDescent="0.2">
      <c r="B2096" t="s">
        <v>7498</v>
      </c>
      <c r="C2096" t="s">
        <v>7499</v>
      </c>
      <c r="D2096">
        <v>7</v>
      </c>
      <c r="E2096" t="s">
        <v>2847</v>
      </c>
      <c r="F2096">
        <v>5</v>
      </c>
    </row>
    <row r="2097" spans="2:6" x14ac:dyDescent="0.2">
      <c r="B2097" t="s">
        <v>232</v>
      </c>
      <c r="C2097" t="s">
        <v>7500</v>
      </c>
      <c r="D2097">
        <v>7</v>
      </c>
      <c r="E2097" t="s">
        <v>4823</v>
      </c>
      <c r="F2097">
        <v>2</v>
      </c>
    </row>
    <row r="2098" spans="2:6" x14ac:dyDescent="0.2">
      <c r="B2098" t="s">
        <v>7501</v>
      </c>
      <c r="C2098" t="s">
        <v>7502</v>
      </c>
      <c r="D2098">
        <v>7</v>
      </c>
      <c r="E2098" t="s">
        <v>3742</v>
      </c>
      <c r="F2098">
        <v>5</v>
      </c>
    </row>
    <row r="2099" spans="2:6" x14ac:dyDescent="0.2">
      <c r="B2099" t="s">
        <v>1066</v>
      </c>
      <c r="C2099" t="s">
        <v>7503</v>
      </c>
      <c r="D2099">
        <v>7</v>
      </c>
      <c r="E2099" t="s">
        <v>7504</v>
      </c>
      <c r="F2099">
        <v>2</v>
      </c>
    </row>
    <row r="2100" spans="2:6" x14ac:dyDescent="0.2">
      <c r="B2100" t="s">
        <v>7505</v>
      </c>
      <c r="C2100" t="s">
        <v>7506</v>
      </c>
      <c r="D2100">
        <v>7</v>
      </c>
      <c r="E2100" t="s">
        <v>3213</v>
      </c>
      <c r="F2100">
        <v>1</v>
      </c>
    </row>
    <row r="2101" spans="2:6" x14ac:dyDescent="0.2">
      <c r="B2101" t="s">
        <v>7507</v>
      </c>
      <c r="C2101" t="s">
        <v>7508</v>
      </c>
      <c r="D2101">
        <v>7</v>
      </c>
      <c r="E2101" t="s">
        <v>7509</v>
      </c>
      <c r="F2101">
        <v>1</v>
      </c>
    </row>
    <row r="2102" spans="2:6" x14ac:dyDescent="0.2">
      <c r="B2102" t="s">
        <v>7510</v>
      </c>
      <c r="C2102" t="s">
        <v>7511</v>
      </c>
      <c r="D2102">
        <v>7</v>
      </c>
      <c r="E2102" t="s">
        <v>7512</v>
      </c>
      <c r="F2102">
        <v>1</v>
      </c>
    </row>
    <row r="2103" spans="2:6" x14ac:dyDescent="0.2">
      <c r="B2103" t="s">
        <v>2132</v>
      </c>
      <c r="C2103" t="s">
        <v>7513</v>
      </c>
      <c r="D2103">
        <v>7</v>
      </c>
      <c r="E2103" t="s">
        <v>3245</v>
      </c>
      <c r="F2103">
        <v>3</v>
      </c>
    </row>
    <row r="2104" spans="2:6" x14ac:dyDescent="0.2">
      <c r="B2104" t="s">
        <v>7514</v>
      </c>
      <c r="C2104" t="s">
        <v>7515</v>
      </c>
      <c r="D2104">
        <v>7</v>
      </c>
      <c r="E2104" t="s">
        <v>7516</v>
      </c>
      <c r="F2104">
        <v>19</v>
      </c>
    </row>
    <row r="2105" spans="2:6" x14ac:dyDescent="0.2">
      <c r="B2105" t="s">
        <v>7517</v>
      </c>
      <c r="C2105" t="s">
        <v>7518</v>
      </c>
      <c r="D2105">
        <v>7</v>
      </c>
      <c r="E2105" t="s">
        <v>3933</v>
      </c>
      <c r="F2105">
        <v>9</v>
      </c>
    </row>
    <row r="2106" spans="2:6" x14ac:dyDescent="0.2">
      <c r="B2106" t="s">
        <v>7519</v>
      </c>
      <c r="C2106" t="s">
        <v>7520</v>
      </c>
      <c r="D2106">
        <v>7</v>
      </c>
      <c r="E2106" t="s">
        <v>7521</v>
      </c>
      <c r="F2106">
        <v>1</v>
      </c>
    </row>
    <row r="2107" spans="2:6" x14ac:dyDescent="0.2">
      <c r="B2107" t="s">
        <v>499</v>
      </c>
      <c r="C2107" t="s">
        <v>4743</v>
      </c>
      <c r="D2107">
        <v>7</v>
      </c>
      <c r="E2107" t="s">
        <v>3067</v>
      </c>
      <c r="F2107">
        <v>1</v>
      </c>
    </row>
    <row r="2108" spans="2:6" x14ac:dyDescent="0.2">
      <c r="B2108" t="s">
        <v>7522</v>
      </c>
      <c r="C2108" t="s">
        <v>7523</v>
      </c>
      <c r="D2108">
        <v>7</v>
      </c>
      <c r="E2108" t="s">
        <v>3933</v>
      </c>
      <c r="F2108">
        <v>5</v>
      </c>
    </row>
    <row r="2109" spans="2:6" x14ac:dyDescent="0.2">
      <c r="B2109" t="s">
        <v>7524</v>
      </c>
      <c r="C2109" t="s">
        <v>7525</v>
      </c>
      <c r="D2109">
        <v>7</v>
      </c>
      <c r="E2109" t="s">
        <v>6236</v>
      </c>
      <c r="F2109">
        <v>5</v>
      </c>
    </row>
    <row r="2110" spans="2:6" x14ac:dyDescent="0.2">
      <c r="B2110" t="s">
        <v>7526</v>
      </c>
      <c r="C2110" t="s">
        <v>7527</v>
      </c>
      <c r="D2110">
        <v>7</v>
      </c>
      <c r="E2110" t="s">
        <v>7528</v>
      </c>
      <c r="F2110">
        <v>5</v>
      </c>
    </row>
    <row r="2111" spans="2:6" x14ac:dyDescent="0.2">
      <c r="B2111">
        <v>3110080</v>
      </c>
      <c r="C2111" t="s">
        <v>7529</v>
      </c>
      <c r="D2111">
        <v>7</v>
      </c>
      <c r="E2111" t="s">
        <v>3084</v>
      </c>
      <c r="F2111">
        <v>2</v>
      </c>
    </row>
    <row r="2112" spans="2:6" x14ac:dyDescent="0.2">
      <c r="B2112" t="s">
        <v>7530</v>
      </c>
      <c r="C2112" t="s">
        <v>7531</v>
      </c>
      <c r="D2112">
        <v>7</v>
      </c>
      <c r="E2112" t="s">
        <v>3490</v>
      </c>
      <c r="F2112">
        <v>3</v>
      </c>
    </row>
    <row r="2113" spans="2:6" x14ac:dyDescent="0.2">
      <c r="B2113" t="s">
        <v>1953</v>
      </c>
      <c r="C2113" t="s">
        <v>7532</v>
      </c>
      <c r="D2113">
        <v>7</v>
      </c>
      <c r="E2113" t="s">
        <v>2785</v>
      </c>
      <c r="F2113">
        <v>1</v>
      </c>
    </row>
    <row r="2114" spans="2:6" x14ac:dyDescent="0.2">
      <c r="B2114" t="s">
        <v>7533</v>
      </c>
      <c r="C2114" t="s">
        <v>7534</v>
      </c>
      <c r="D2114">
        <v>7</v>
      </c>
      <c r="E2114" t="s">
        <v>6073</v>
      </c>
      <c r="F2114">
        <v>1</v>
      </c>
    </row>
    <row r="2115" spans="2:6" x14ac:dyDescent="0.2">
      <c r="B2115" t="s">
        <v>1540</v>
      </c>
      <c r="C2115" t="s">
        <v>7535</v>
      </c>
      <c r="D2115">
        <v>7</v>
      </c>
      <c r="E2115" t="s">
        <v>3036</v>
      </c>
      <c r="F2115">
        <v>1</v>
      </c>
    </row>
    <row r="2116" spans="2:6" x14ac:dyDescent="0.2">
      <c r="B2116" t="s">
        <v>7536</v>
      </c>
      <c r="C2116" t="s">
        <v>7537</v>
      </c>
      <c r="D2116">
        <v>7</v>
      </c>
      <c r="E2116" t="s">
        <v>7538</v>
      </c>
      <c r="F2116">
        <v>2</v>
      </c>
    </row>
    <row r="2117" spans="2:6" x14ac:dyDescent="0.2">
      <c r="B2117" t="s">
        <v>7539</v>
      </c>
      <c r="C2117" t="s">
        <v>7540</v>
      </c>
      <c r="D2117">
        <v>7</v>
      </c>
      <c r="E2117" t="s">
        <v>5631</v>
      </c>
      <c r="F2117">
        <v>2</v>
      </c>
    </row>
    <row r="2118" spans="2:6" x14ac:dyDescent="0.2">
      <c r="B2118" t="s">
        <v>7541</v>
      </c>
      <c r="C2118" t="s">
        <v>7542</v>
      </c>
      <c r="D2118">
        <v>7</v>
      </c>
      <c r="E2118" t="s">
        <v>3106</v>
      </c>
      <c r="F2118">
        <v>5</v>
      </c>
    </row>
    <row r="2119" spans="2:6" x14ac:dyDescent="0.2">
      <c r="B2119" t="s">
        <v>7543</v>
      </c>
      <c r="C2119" t="s">
        <v>7544</v>
      </c>
      <c r="D2119">
        <v>7</v>
      </c>
      <c r="E2119" t="s">
        <v>3153</v>
      </c>
      <c r="F2119">
        <v>4</v>
      </c>
    </row>
    <row r="2120" spans="2:6" x14ac:dyDescent="0.2">
      <c r="B2120" t="s">
        <v>7545</v>
      </c>
      <c r="C2120" t="s">
        <v>7546</v>
      </c>
      <c r="D2120">
        <v>7</v>
      </c>
      <c r="E2120" t="s">
        <v>6265</v>
      </c>
      <c r="F2120">
        <v>1</v>
      </c>
    </row>
    <row r="2121" spans="2:6" x14ac:dyDescent="0.2">
      <c r="B2121" t="s">
        <v>198</v>
      </c>
      <c r="C2121" t="s">
        <v>7547</v>
      </c>
      <c r="D2121">
        <v>7</v>
      </c>
      <c r="E2121" t="s">
        <v>5201</v>
      </c>
      <c r="F2121">
        <v>6</v>
      </c>
    </row>
    <row r="2122" spans="2:6" x14ac:dyDescent="0.2">
      <c r="B2122" t="s">
        <v>1412</v>
      </c>
      <c r="C2122" t="s">
        <v>7548</v>
      </c>
      <c r="D2122">
        <v>7</v>
      </c>
      <c r="E2122" t="s">
        <v>7549</v>
      </c>
      <c r="F2122">
        <v>2</v>
      </c>
    </row>
    <row r="2123" spans="2:6" x14ac:dyDescent="0.2">
      <c r="B2123" t="s">
        <v>7550</v>
      </c>
      <c r="C2123" t="s">
        <v>7551</v>
      </c>
      <c r="D2123">
        <v>7</v>
      </c>
      <c r="E2123" t="s">
        <v>2833</v>
      </c>
      <c r="F2123">
        <v>1</v>
      </c>
    </row>
    <row r="2124" spans="2:6" x14ac:dyDescent="0.2">
      <c r="B2124" t="s">
        <v>7552</v>
      </c>
      <c r="C2124" t="s">
        <v>7553</v>
      </c>
      <c r="D2124">
        <v>7</v>
      </c>
      <c r="E2124" t="s">
        <v>3839</v>
      </c>
      <c r="F2124">
        <v>7</v>
      </c>
    </row>
    <row r="2125" spans="2:6" x14ac:dyDescent="0.2">
      <c r="B2125" t="s">
        <v>7554</v>
      </c>
      <c r="C2125" t="s">
        <v>7555</v>
      </c>
      <c r="D2125">
        <v>7</v>
      </c>
      <c r="E2125" t="s">
        <v>6566</v>
      </c>
      <c r="F2125">
        <v>2</v>
      </c>
    </row>
    <row r="2126" spans="2:6" x14ac:dyDescent="0.2">
      <c r="B2126" t="s">
        <v>7556</v>
      </c>
      <c r="C2126" t="s">
        <v>7557</v>
      </c>
      <c r="D2126">
        <v>7</v>
      </c>
      <c r="E2126" t="s">
        <v>7558</v>
      </c>
      <c r="F2126">
        <v>4</v>
      </c>
    </row>
    <row r="2127" spans="2:6" x14ac:dyDescent="0.2">
      <c r="B2127" t="s">
        <v>7559</v>
      </c>
      <c r="C2127" t="s">
        <v>7560</v>
      </c>
      <c r="D2127">
        <v>7</v>
      </c>
      <c r="E2127" t="s">
        <v>7561</v>
      </c>
      <c r="F2127">
        <v>5</v>
      </c>
    </row>
    <row r="2128" spans="2:6" x14ac:dyDescent="0.2">
      <c r="B2128" t="s">
        <v>7562</v>
      </c>
      <c r="C2128" t="s">
        <v>7563</v>
      </c>
      <c r="D2128">
        <v>7</v>
      </c>
      <c r="E2128" t="s">
        <v>3036</v>
      </c>
      <c r="F2128">
        <v>1</v>
      </c>
    </row>
    <row r="2129" spans="2:6" x14ac:dyDescent="0.2">
      <c r="B2129" t="s">
        <v>7564</v>
      </c>
      <c r="C2129" t="s">
        <v>7565</v>
      </c>
      <c r="D2129">
        <v>7</v>
      </c>
      <c r="E2129" t="s">
        <v>3713</v>
      </c>
      <c r="F2129">
        <v>4</v>
      </c>
    </row>
    <row r="2130" spans="2:6" x14ac:dyDescent="0.2">
      <c r="B2130" t="s">
        <v>7566</v>
      </c>
      <c r="C2130" t="s">
        <v>7567</v>
      </c>
      <c r="D2130">
        <v>7</v>
      </c>
      <c r="E2130" t="s">
        <v>3213</v>
      </c>
      <c r="F2130">
        <v>1</v>
      </c>
    </row>
    <row r="2131" spans="2:6" x14ac:dyDescent="0.2">
      <c r="B2131" t="s">
        <v>1689</v>
      </c>
      <c r="C2131" t="s">
        <v>7568</v>
      </c>
      <c r="D2131">
        <v>7</v>
      </c>
      <c r="E2131" t="s">
        <v>7190</v>
      </c>
      <c r="F2131">
        <v>3</v>
      </c>
    </row>
    <row r="2132" spans="2:6" x14ac:dyDescent="0.2">
      <c r="B2132" t="s">
        <v>7569</v>
      </c>
      <c r="C2132" t="s">
        <v>7570</v>
      </c>
      <c r="D2132">
        <v>7</v>
      </c>
      <c r="E2132" t="s">
        <v>7571</v>
      </c>
      <c r="F2132">
        <v>10</v>
      </c>
    </row>
    <row r="2133" spans="2:6" x14ac:dyDescent="0.2">
      <c r="B2133" t="s">
        <v>385</v>
      </c>
      <c r="C2133" t="s">
        <v>7572</v>
      </c>
      <c r="D2133">
        <v>7</v>
      </c>
      <c r="E2133" t="s">
        <v>3495</v>
      </c>
      <c r="F2133">
        <v>3</v>
      </c>
    </row>
    <row r="2134" spans="2:6" x14ac:dyDescent="0.2">
      <c r="B2134" t="s">
        <v>7573</v>
      </c>
      <c r="C2134" t="s">
        <v>7574</v>
      </c>
      <c r="D2134">
        <v>7</v>
      </c>
      <c r="E2134" t="s">
        <v>3773</v>
      </c>
      <c r="F2134">
        <v>3</v>
      </c>
    </row>
    <row r="2135" spans="2:6" x14ac:dyDescent="0.2">
      <c r="B2135" t="s">
        <v>7575</v>
      </c>
      <c r="C2135" t="s">
        <v>7576</v>
      </c>
      <c r="D2135">
        <v>7</v>
      </c>
      <c r="E2135" t="s">
        <v>7577</v>
      </c>
      <c r="F2135">
        <v>1</v>
      </c>
    </row>
    <row r="2136" spans="2:6" x14ac:dyDescent="0.2">
      <c r="B2136" t="s">
        <v>1828</v>
      </c>
      <c r="C2136" t="s">
        <v>7578</v>
      </c>
      <c r="D2136">
        <v>7</v>
      </c>
      <c r="E2136" t="s">
        <v>3455</v>
      </c>
      <c r="F2136">
        <v>1</v>
      </c>
    </row>
    <row r="2137" spans="2:6" x14ac:dyDescent="0.2">
      <c r="B2137" t="s">
        <v>7579</v>
      </c>
      <c r="C2137" t="s">
        <v>7580</v>
      </c>
      <c r="D2137">
        <v>7</v>
      </c>
      <c r="E2137" t="s">
        <v>7581</v>
      </c>
      <c r="F2137">
        <v>28</v>
      </c>
    </row>
    <row r="2138" spans="2:6" x14ac:dyDescent="0.2">
      <c r="B2138" t="s">
        <v>1242</v>
      </c>
      <c r="C2138" t="s">
        <v>7582</v>
      </c>
      <c r="D2138">
        <v>7</v>
      </c>
      <c r="E2138" t="s">
        <v>7583</v>
      </c>
      <c r="F2138">
        <v>1</v>
      </c>
    </row>
    <row r="2139" spans="2:6" x14ac:dyDescent="0.2">
      <c r="B2139" t="s">
        <v>7584</v>
      </c>
      <c r="C2139" t="s">
        <v>7585</v>
      </c>
      <c r="D2139">
        <v>7</v>
      </c>
      <c r="E2139" t="s">
        <v>2788</v>
      </c>
      <c r="F2139">
        <v>1</v>
      </c>
    </row>
    <row r="2140" spans="2:6" x14ac:dyDescent="0.2">
      <c r="B2140" t="s">
        <v>7586</v>
      </c>
      <c r="C2140" t="s">
        <v>7587</v>
      </c>
      <c r="D2140">
        <v>7</v>
      </c>
      <c r="E2140" t="s">
        <v>7588</v>
      </c>
      <c r="F2140">
        <v>1</v>
      </c>
    </row>
    <row r="2141" spans="2:6" x14ac:dyDescent="0.2">
      <c r="B2141" t="s">
        <v>7589</v>
      </c>
      <c r="C2141" t="s">
        <v>7590</v>
      </c>
      <c r="D2141">
        <v>7</v>
      </c>
      <c r="E2141" t="s">
        <v>7591</v>
      </c>
      <c r="F2141">
        <v>9</v>
      </c>
    </row>
    <row r="2142" spans="2:6" x14ac:dyDescent="0.2">
      <c r="B2142" t="s">
        <v>558</v>
      </c>
      <c r="C2142" t="s">
        <v>7592</v>
      </c>
      <c r="D2142">
        <v>7</v>
      </c>
      <c r="E2142" t="s">
        <v>2958</v>
      </c>
      <c r="F2142">
        <v>3</v>
      </c>
    </row>
    <row r="2143" spans="2:6" x14ac:dyDescent="0.2">
      <c r="B2143" t="s">
        <v>7593</v>
      </c>
      <c r="C2143" t="s">
        <v>7594</v>
      </c>
      <c r="D2143">
        <v>7</v>
      </c>
      <c r="E2143" t="s">
        <v>3081</v>
      </c>
      <c r="F2143">
        <v>3</v>
      </c>
    </row>
    <row r="2144" spans="2:6" x14ac:dyDescent="0.2">
      <c r="B2144" t="s">
        <v>1426</v>
      </c>
      <c r="C2144" t="s">
        <v>7595</v>
      </c>
      <c r="D2144">
        <v>7</v>
      </c>
      <c r="E2144" t="s">
        <v>5358</v>
      </c>
      <c r="F2144">
        <v>2</v>
      </c>
    </row>
    <row r="2145" spans="2:6" x14ac:dyDescent="0.2">
      <c r="B2145" t="s">
        <v>7596</v>
      </c>
      <c r="C2145" t="s">
        <v>7597</v>
      </c>
      <c r="D2145">
        <v>7</v>
      </c>
      <c r="E2145" t="s">
        <v>3643</v>
      </c>
      <c r="F2145">
        <v>2</v>
      </c>
    </row>
    <row r="2146" spans="2:6" x14ac:dyDescent="0.2">
      <c r="B2146" t="s">
        <v>7598</v>
      </c>
      <c r="C2146" t="s">
        <v>7599</v>
      </c>
      <c r="D2146">
        <v>7</v>
      </c>
      <c r="E2146" t="s">
        <v>3746</v>
      </c>
      <c r="F2146">
        <v>1</v>
      </c>
    </row>
    <row r="2147" spans="2:6" x14ac:dyDescent="0.2">
      <c r="B2147" t="s">
        <v>7600</v>
      </c>
      <c r="C2147" t="s">
        <v>7601</v>
      </c>
      <c r="D2147">
        <v>7</v>
      </c>
      <c r="E2147" t="s">
        <v>7602</v>
      </c>
      <c r="F2147">
        <v>2</v>
      </c>
    </row>
    <row r="2148" spans="2:6" x14ac:dyDescent="0.2">
      <c r="B2148" t="s">
        <v>1603</v>
      </c>
      <c r="C2148" t="s">
        <v>7603</v>
      </c>
      <c r="D2148">
        <v>7</v>
      </c>
      <c r="E2148" t="s">
        <v>2949</v>
      </c>
      <c r="F2148">
        <v>2</v>
      </c>
    </row>
    <row r="2149" spans="2:6" x14ac:dyDescent="0.2">
      <c r="B2149" t="s">
        <v>7604</v>
      </c>
      <c r="C2149" t="s">
        <v>7605</v>
      </c>
      <c r="D2149">
        <v>7</v>
      </c>
      <c r="E2149" t="s">
        <v>3957</v>
      </c>
      <c r="F2149">
        <v>1</v>
      </c>
    </row>
    <row r="2150" spans="2:6" x14ac:dyDescent="0.2">
      <c r="B2150" t="s">
        <v>7606</v>
      </c>
      <c r="C2150" t="s">
        <v>7607</v>
      </c>
      <c r="D2150">
        <v>7</v>
      </c>
      <c r="E2150" t="s">
        <v>3375</v>
      </c>
      <c r="F2150">
        <v>96</v>
      </c>
    </row>
    <row r="2151" spans="2:6" x14ac:dyDescent="0.2">
      <c r="B2151" t="s">
        <v>7608</v>
      </c>
      <c r="C2151" t="s">
        <v>7609</v>
      </c>
      <c r="D2151">
        <v>7</v>
      </c>
      <c r="E2151" t="s">
        <v>4972</v>
      </c>
      <c r="F2151">
        <v>1</v>
      </c>
    </row>
    <row r="2152" spans="2:6" x14ac:dyDescent="0.2">
      <c r="B2152" t="s">
        <v>7610</v>
      </c>
      <c r="C2152" t="s">
        <v>5521</v>
      </c>
      <c r="D2152">
        <v>7</v>
      </c>
      <c r="E2152" t="s">
        <v>7611</v>
      </c>
      <c r="F2152">
        <v>34</v>
      </c>
    </row>
    <row r="2153" spans="2:6" x14ac:dyDescent="0.2">
      <c r="B2153" t="s">
        <v>7612</v>
      </c>
      <c r="C2153" t="s">
        <v>7613</v>
      </c>
      <c r="D2153">
        <v>7</v>
      </c>
      <c r="E2153" t="s">
        <v>7614</v>
      </c>
      <c r="F2153">
        <v>2</v>
      </c>
    </row>
    <row r="2154" spans="2:6" x14ac:dyDescent="0.2">
      <c r="B2154" t="s">
        <v>7615</v>
      </c>
      <c r="C2154" t="s">
        <v>2418</v>
      </c>
      <c r="D2154">
        <v>7</v>
      </c>
      <c r="E2154" t="s">
        <v>7616</v>
      </c>
      <c r="F2154">
        <v>1</v>
      </c>
    </row>
    <row r="2155" spans="2:6" x14ac:dyDescent="0.2">
      <c r="B2155" t="s">
        <v>7617</v>
      </c>
      <c r="C2155" t="s">
        <v>7618</v>
      </c>
      <c r="D2155">
        <v>7</v>
      </c>
      <c r="E2155" t="s">
        <v>7619</v>
      </c>
      <c r="F2155">
        <v>1</v>
      </c>
    </row>
    <row r="2156" spans="2:6" x14ac:dyDescent="0.2">
      <c r="B2156" t="s">
        <v>7620</v>
      </c>
      <c r="C2156" t="s">
        <v>7621</v>
      </c>
      <c r="D2156">
        <v>7</v>
      </c>
      <c r="E2156" t="s">
        <v>2895</v>
      </c>
      <c r="F2156">
        <v>1</v>
      </c>
    </row>
    <row r="2157" spans="2:6" x14ac:dyDescent="0.2">
      <c r="B2157" t="s">
        <v>7622</v>
      </c>
      <c r="C2157" t="s">
        <v>7623</v>
      </c>
      <c r="D2157">
        <v>7</v>
      </c>
      <c r="E2157" t="s">
        <v>3261</v>
      </c>
      <c r="F2157">
        <v>2</v>
      </c>
    </row>
    <row r="2158" spans="2:6" x14ac:dyDescent="0.2">
      <c r="B2158" t="s">
        <v>7624</v>
      </c>
      <c r="C2158" t="s">
        <v>7625</v>
      </c>
      <c r="D2158">
        <v>7</v>
      </c>
      <c r="E2158" t="s">
        <v>3084</v>
      </c>
      <c r="F2158">
        <v>1</v>
      </c>
    </row>
    <row r="2159" spans="2:6" x14ac:dyDescent="0.2">
      <c r="B2159" t="s">
        <v>7626</v>
      </c>
      <c r="C2159" t="s">
        <v>7627</v>
      </c>
      <c r="D2159">
        <v>7</v>
      </c>
      <c r="E2159" t="s">
        <v>7215</v>
      </c>
      <c r="F2159">
        <v>5</v>
      </c>
    </row>
    <row r="2160" spans="2:6" x14ac:dyDescent="0.2">
      <c r="B2160" t="s">
        <v>7628</v>
      </c>
      <c r="C2160" t="s">
        <v>7629</v>
      </c>
      <c r="D2160">
        <v>7</v>
      </c>
      <c r="E2160" t="s">
        <v>7630</v>
      </c>
      <c r="F2160">
        <v>94</v>
      </c>
    </row>
    <row r="2161" spans="2:6" x14ac:dyDescent="0.2">
      <c r="B2161" t="s">
        <v>7631</v>
      </c>
      <c r="C2161" t="s">
        <v>7632</v>
      </c>
      <c r="D2161">
        <v>7</v>
      </c>
      <c r="E2161" t="s">
        <v>3190</v>
      </c>
      <c r="F2161">
        <v>1</v>
      </c>
    </row>
    <row r="2162" spans="2:6" x14ac:dyDescent="0.2">
      <c r="B2162" t="s">
        <v>7633</v>
      </c>
      <c r="C2162" t="s">
        <v>4743</v>
      </c>
      <c r="D2162">
        <v>7</v>
      </c>
      <c r="E2162" t="s">
        <v>3111</v>
      </c>
      <c r="F2162">
        <v>2</v>
      </c>
    </row>
    <row r="2163" spans="2:6" x14ac:dyDescent="0.2">
      <c r="B2163" t="s">
        <v>270</v>
      </c>
      <c r="C2163" t="s">
        <v>7634</v>
      </c>
      <c r="D2163">
        <v>7</v>
      </c>
      <c r="E2163" t="s">
        <v>3007</v>
      </c>
      <c r="F2163">
        <v>4</v>
      </c>
    </row>
    <row r="2164" spans="2:6" x14ac:dyDescent="0.2">
      <c r="B2164" t="s">
        <v>1046</v>
      </c>
      <c r="C2164" t="s">
        <v>7635</v>
      </c>
      <c r="D2164">
        <v>7</v>
      </c>
      <c r="E2164" t="s">
        <v>2788</v>
      </c>
      <c r="F2164">
        <v>2</v>
      </c>
    </row>
    <row r="2165" spans="2:6" x14ac:dyDescent="0.2">
      <c r="B2165" t="s">
        <v>915</v>
      </c>
      <c r="C2165" t="s">
        <v>7636</v>
      </c>
      <c r="D2165">
        <v>7</v>
      </c>
      <c r="E2165" t="s">
        <v>7637</v>
      </c>
      <c r="F2165">
        <v>101</v>
      </c>
    </row>
    <row r="2166" spans="2:6" x14ac:dyDescent="0.2">
      <c r="B2166" t="s">
        <v>7638</v>
      </c>
      <c r="C2166" t="s">
        <v>7639</v>
      </c>
      <c r="D2166">
        <v>7</v>
      </c>
      <c r="E2166" t="s">
        <v>2930</v>
      </c>
      <c r="F2166">
        <v>2</v>
      </c>
    </row>
    <row r="2167" spans="2:6" x14ac:dyDescent="0.2">
      <c r="B2167" t="s">
        <v>7640</v>
      </c>
      <c r="C2167" t="s">
        <v>7641</v>
      </c>
      <c r="D2167">
        <v>7</v>
      </c>
      <c r="E2167" t="s">
        <v>7642</v>
      </c>
      <c r="F2167">
        <v>1</v>
      </c>
    </row>
    <row r="2168" spans="2:6" x14ac:dyDescent="0.2">
      <c r="B2168" t="s">
        <v>7643</v>
      </c>
      <c r="C2168" t="s">
        <v>7644</v>
      </c>
      <c r="D2168">
        <v>7</v>
      </c>
      <c r="E2168" t="s">
        <v>7642</v>
      </c>
      <c r="F2168">
        <v>1</v>
      </c>
    </row>
    <row r="2169" spans="2:6" x14ac:dyDescent="0.2">
      <c r="B2169" t="s">
        <v>7645</v>
      </c>
      <c r="C2169" t="s">
        <v>7646</v>
      </c>
      <c r="D2169">
        <v>7</v>
      </c>
      <c r="E2169" t="s">
        <v>6050</v>
      </c>
      <c r="F2169">
        <v>1</v>
      </c>
    </row>
    <row r="2170" spans="2:6" x14ac:dyDescent="0.2">
      <c r="B2170" t="s">
        <v>7647</v>
      </c>
      <c r="C2170" t="s">
        <v>7648</v>
      </c>
      <c r="D2170">
        <v>7</v>
      </c>
      <c r="E2170" t="s">
        <v>6455</v>
      </c>
      <c r="F2170">
        <v>27</v>
      </c>
    </row>
    <row r="2171" spans="2:6" x14ac:dyDescent="0.2">
      <c r="B2171" t="s">
        <v>7649</v>
      </c>
      <c r="C2171" t="s">
        <v>7650</v>
      </c>
      <c r="D2171">
        <v>7</v>
      </c>
      <c r="E2171" t="s">
        <v>3773</v>
      </c>
      <c r="F2171">
        <v>1</v>
      </c>
    </row>
    <row r="2172" spans="2:6" x14ac:dyDescent="0.2">
      <c r="B2172" t="s">
        <v>7651</v>
      </c>
      <c r="C2172" t="s">
        <v>7652</v>
      </c>
      <c r="D2172">
        <v>7</v>
      </c>
      <c r="E2172" t="s">
        <v>7653</v>
      </c>
      <c r="F2172">
        <v>1</v>
      </c>
    </row>
    <row r="2173" spans="2:6" x14ac:dyDescent="0.2">
      <c r="B2173" t="s">
        <v>7654</v>
      </c>
      <c r="C2173" t="s">
        <v>7655</v>
      </c>
      <c r="D2173">
        <v>7</v>
      </c>
      <c r="E2173" t="s">
        <v>7656</v>
      </c>
      <c r="F2173">
        <v>1</v>
      </c>
    </row>
    <row r="2174" spans="2:6" x14ac:dyDescent="0.2">
      <c r="B2174" t="s">
        <v>7657</v>
      </c>
      <c r="C2174" t="s">
        <v>7658</v>
      </c>
      <c r="D2174">
        <v>7</v>
      </c>
      <c r="E2174" t="s">
        <v>3702</v>
      </c>
      <c r="F2174">
        <v>1</v>
      </c>
    </row>
    <row r="2175" spans="2:6" x14ac:dyDescent="0.2">
      <c r="B2175" t="s">
        <v>7659</v>
      </c>
      <c r="C2175" t="s">
        <v>7660</v>
      </c>
      <c r="D2175">
        <v>7</v>
      </c>
      <c r="E2175" t="s">
        <v>3455</v>
      </c>
      <c r="F2175">
        <v>3</v>
      </c>
    </row>
    <row r="2176" spans="2:6" x14ac:dyDescent="0.2">
      <c r="B2176" t="s">
        <v>1972</v>
      </c>
      <c r="C2176" t="s">
        <v>7661</v>
      </c>
      <c r="D2176">
        <v>7</v>
      </c>
      <c r="E2176" t="s">
        <v>6170</v>
      </c>
      <c r="F2176">
        <v>3</v>
      </c>
    </row>
    <row r="2177" spans="2:6" x14ac:dyDescent="0.2">
      <c r="B2177" t="s">
        <v>7662</v>
      </c>
      <c r="C2177" t="s">
        <v>7663</v>
      </c>
      <c r="D2177">
        <v>7</v>
      </c>
      <c r="E2177" t="s">
        <v>7664</v>
      </c>
      <c r="F2177">
        <v>2</v>
      </c>
    </row>
    <row r="2178" spans="2:6" x14ac:dyDescent="0.2">
      <c r="B2178" t="s">
        <v>7665</v>
      </c>
      <c r="C2178" t="s">
        <v>7666</v>
      </c>
      <c r="D2178">
        <v>7</v>
      </c>
      <c r="E2178" t="s">
        <v>2850</v>
      </c>
      <c r="F2178">
        <v>3</v>
      </c>
    </row>
    <row r="2179" spans="2:6" x14ac:dyDescent="0.2">
      <c r="B2179" t="s">
        <v>7667</v>
      </c>
      <c r="C2179" t="s">
        <v>4202</v>
      </c>
      <c r="D2179">
        <v>7</v>
      </c>
      <c r="E2179" t="s">
        <v>7668</v>
      </c>
      <c r="F2179">
        <v>4</v>
      </c>
    </row>
    <row r="2180" spans="2:6" x14ac:dyDescent="0.2">
      <c r="B2180" t="s">
        <v>7669</v>
      </c>
      <c r="C2180" t="s">
        <v>7670</v>
      </c>
      <c r="D2180">
        <v>7</v>
      </c>
      <c r="E2180" t="s">
        <v>2889</v>
      </c>
      <c r="F2180">
        <v>1</v>
      </c>
    </row>
    <row r="2181" spans="2:6" x14ac:dyDescent="0.2">
      <c r="B2181" t="s">
        <v>7671</v>
      </c>
      <c r="C2181" t="s">
        <v>7672</v>
      </c>
      <c r="D2181">
        <v>7</v>
      </c>
      <c r="E2181" t="s">
        <v>5474</v>
      </c>
      <c r="F2181">
        <v>1</v>
      </c>
    </row>
    <row r="2182" spans="2:6" x14ac:dyDescent="0.2">
      <c r="B2182" t="s">
        <v>539</v>
      </c>
      <c r="C2182" t="s">
        <v>7673</v>
      </c>
      <c r="D2182">
        <v>7</v>
      </c>
      <c r="E2182" t="s">
        <v>7674</v>
      </c>
      <c r="F2182">
        <v>1</v>
      </c>
    </row>
    <row r="2183" spans="2:6" x14ac:dyDescent="0.2">
      <c r="B2183" t="s">
        <v>7675</v>
      </c>
      <c r="C2183" t="s">
        <v>5521</v>
      </c>
      <c r="D2183">
        <v>7</v>
      </c>
      <c r="E2183" t="s">
        <v>7676</v>
      </c>
      <c r="F2183">
        <v>13</v>
      </c>
    </row>
    <row r="2184" spans="2:6" x14ac:dyDescent="0.2">
      <c r="B2184" t="s">
        <v>7677</v>
      </c>
      <c r="C2184" t="s">
        <v>7678</v>
      </c>
      <c r="D2184">
        <v>7</v>
      </c>
      <c r="E2184" t="s">
        <v>6500</v>
      </c>
      <c r="F2184">
        <v>2</v>
      </c>
    </row>
    <row r="2185" spans="2:6" x14ac:dyDescent="0.2">
      <c r="B2185" t="s">
        <v>7679</v>
      </c>
      <c r="C2185" t="s">
        <v>7680</v>
      </c>
      <c r="D2185">
        <v>7</v>
      </c>
      <c r="E2185" t="s">
        <v>7681</v>
      </c>
      <c r="F2185">
        <v>1</v>
      </c>
    </row>
    <row r="2186" spans="2:6" x14ac:dyDescent="0.2">
      <c r="B2186" t="s">
        <v>7682</v>
      </c>
      <c r="C2186" t="s">
        <v>7683</v>
      </c>
      <c r="D2186">
        <v>7</v>
      </c>
      <c r="E2186" t="s">
        <v>4403</v>
      </c>
      <c r="F2186">
        <v>3</v>
      </c>
    </row>
    <row r="2187" spans="2:6" x14ac:dyDescent="0.2">
      <c r="B2187" t="s">
        <v>7684</v>
      </c>
      <c r="C2187" t="s">
        <v>7685</v>
      </c>
      <c r="D2187">
        <v>7</v>
      </c>
      <c r="E2187" t="s">
        <v>7686</v>
      </c>
      <c r="F2187">
        <v>1</v>
      </c>
    </row>
    <row r="2188" spans="2:6" x14ac:dyDescent="0.2">
      <c r="B2188" t="s">
        <v>7687</v>
      </c>
      <c r="C2188" t="s">
        <v>7688</v>
      </c>
      <c r="D2188">
        <v>7</v>
      </c>
      <c r="E2188" t="s">
        <v>2839</v>
      </c>
      <c r="F2188">
        <v>1</v>
      </c>
    </row>
    <row r="2189" spans="2:6" x14ac:dyDescent="0.2">
      <c r="B2189" t="s">
        <v>1103</v>
      </c>
      <c r="C2189" t="s">
        <v>7689</v>
      </c>
      <c r="D2189">
        <v>7</v>
      </c>
      <c r="E2189" t="s">
        <v>4151</v>
      </c>
      <c r="F2189">
        <v>2</v>
      </c>
    </row>
    <row r="2190" spans="2:6" x14ac:dyDescent="0.2">
      <c r="B2190" t="s">
        <v>7690</v>
      </c>
      <c r="C2190" t="s">
        <v>7691</v>
      </c>
      <c r="D2190">
        <v>7</v>
      </c>
      <c r="E2190" t="s">
        <v>7692</v>
      </c>
      <c r="F2190">
        <v>3</v>
      </c>
    </row>
    <row r="2191" spans="2:6" x14ac:dyDescent="0.2">
      <c r="B2191" t="s">
        <v>7693</v>
      </c>
      <c r="C2191" t="s">
        <v>7694</v>
      </c>
      <c r="D2191">
        <v>7</v>
      </c>
      <c r="E2191" t="s">
        <v>3901</v>
      </c>
      <c r="F2191">
        <v>1</v>
      </c>
    </row>
    <row r="2192" spans="2:6" x14ac:dyDescent="0.2">
      <c r="B2192" t="s">
        <v>7695</v>
      </c>
      <c r="C2192" t="s">
        <v>7696</v>
      </c>
      <c r="D2192">
        <v>7</v>
      </c>
      <c r="E2192" t="s">
        <v>3307</v>
      </c>
      <c r="F2192">
        <v>3</v>
      </c>
    </row>
    <row r="2193" spans="2:6" x14ac:dyDescent="0.2">
      <c r="B2193" t="s">
        <v>7697</v>
      </c>
      <c r="C2193" t="s">
        <v>7698</v>
      </c>
      <c r="D2193">
        <v>7</v>
      </c>
      <c r="E2193" t="s">
        <v>3960</v>
      </c>
      <c r="F2193">
        <v>1</v>
      </c>
    </row>
    <row r="2194" spans="2:6" x14ac:dyDescent="0.2">
      <c r="B2194" t="s">
        <v>7699</v>
      </c>
      <c r="C2194" t="s">
        <v>7700</v>
      </c>
      <c r="D2194">
        <v>7</v>
      </c>
      <c r="E2194" t="s">
        <v>2915</v>
      </c>
      <c r="F2194">
        <v>1</v>
      </c>
    </row>
    <row r="2195" spans="2:6" x14ac:dyDescent="0.2">
      <c r="B2195" t="s">
        <v>570</v>
      </c>
      <c r="C2195" t="s">
        <v>7701</v>
      </c>
      <c r="D2195">
        <v>7</v>
      </c>
      <c r="E2195" t="s">
        <v>2836</v>
      </c>
      <c r="F2195">
        <v>1</v>
      </c>
    </row>
    <row r="2196" spans="2:6" x14ac:dyDescent="0.2">
      <c r="B2196" t="s">
        <v>7702</v>
      </c>
      <c r="C2196" t="s">
        <v>7703</v>
      </c>
      <c r="D2196">
        <v>7</v>
      </c>
      <c r="E2196" t="s">
        <v>7704</v>
      </c>
      <c r="F2196">
        <v>3</v>
      </c>
    </row>
    <row r="2197" spans="2:6" x14ac:dyDescent="0.2">
      <c r="B2197" t="s">
        <v>7705</v>
      </c>
      <c r="C2197" t="s">
        <v>7706</v>
      </c>
      <c r="D2197">
        <v>7</v>
      </c>
      <c r="E2197" t="s">
        <v>7707</v>
      </c>
      <c r="F2197">
        <v>1</v>
      </c>
    </row>
    <row r="2198" spans="2:6" x14ac:dyDescent="0.2">
      <c r="B2198" t="s">
        <v>2074</v>
      </c>
      <c r="C2198" t="s">
        <v>7708</v>
      </c>
      <c r="D2198">
        <v>7</v>
      </c>
      <c r="E2198" t="s">
        <v>4081</v>
      </c>
      <c r="F2198">
        <v>1</v>
      </c>
    </row>
    <row r="2199" spans="2:6" x14ac:dyDescent="0.2">
      <c r="B2199" t="s">
        <v>7709</v>
      </c>
      <c r="C2199" t="s">
        <v>7710</v>
      </c>
      <c r="D2199">
        <v>7</v>
      </c>
      <c r="E2199" t="s">
        <v>7711</v>
      </c>
      <c r="F2199">
        <v>3</v>
      </c>
    </row>
    <row r="2200" spans="2:6" x14ac:dyDescent="0.2">
      <c r="B2200" t="s">
        <v>7712</v>
      </c>
      <c r="C2200" t="s">
        <v>7713</v>
      </c>
      <c r="D2200">
        <v>7</v>
      </c>
      <c r="E2200" t="s">
        <v>7714</v>
      </c>
      <c r="F2200">
        <v>3</v>
      </c>
    </row>
    <row r="2201" spans="2:6" x14ac:dyDescent="0.2">
      <c r="B2201" t="s">
        <v>7715</v>
      </c>
      <c r="C2201" t="s">
        <v>7716</v>
      </c>
      <c r="D2201">
        <v>7</v>
      </c>
      <c r="E2201" t="s">
        <v>3106</v>
      </c>
      <c r="F2201">
        <v>2</v>
      </c>
    </row>
    <row r="2202" spans="2:6" x14ac:dyDescent="0.2">
      <c r="B2202" t="s">
        <v>7717</v>
      </c>
      <c r="C2202" t="s">
        <v>7718</v>
      </c>
      <c r="D2202">
        <v>7</v>
      </c>
      <c r="E2202" t="s">
        <v>7719</v>
      </c>
      <c r="F2202">
        <v>12</v>
      </c>
    </row>
    <row r="2203" spans="2:6" x14ac:dyDescent="0.2">
      <c r="B2203" t="s">
        <v>7720</v>
      </c>
      <c r="C2203" t="s">
        <v>7721</v>
      </c>
      <c r="D2203">
        <v>7</v>
      </c>
      <c r="E2203" t="s">
        <v>7722</v>
      </c>
      <c r="F2203">
        <v>11</v>
      </c>
    </row>
    <row r="2204" spans="2:6" x14ac:dyDescent="0.2">
      <c r="B2204" t="s">
        <v>7723</v>
      </c>
      <c r="C2204" t="s">
        <v>7724</v>
      </c>
      <c r="D2204">
        <v>7</v>
      </c>
      <c r="E2204" t="s">
        <v>6566</v>
      </c>
      <c r="F2204">
        <v>29</v>
      </c>
    </row>
    <row r="2205" spans="2:6" x14ac:dyDescent="0.2">
      <c r="B2205" t="s">
        <v>7725</v>
      </c>
      <c r="C2205" t="s">
        <v>7726</v>
      </c>
      <c r="D2205">
        <v>7</v>
      </c>
      <c r="E2205" t="s">
        <v>7727</v>
      </c>
      <c r="F2205">
        <v>4</v>
      </c>
    </row>
    <row r="2206" spans="2:6" x14ac:dyDescent="0.2">
      <c r="B2206" t="s">
        <v>7728</v>
      </c>
      <c r="C2206" t="s">
        <v>3977</v>
      </c>
      <c r="D2206">
        <v>7</v>
      </c>
      <c r="E2206" t="s">
        <v>2915</v>
      </c>
      <c r="F2206">
        <v>3</v>
      </c>
    </row>
    <row r="2207" spans="2:6" x14ac:dyDescent="0.2">
      <c r="B2207" t="s">
        <v>7729</v>
      </c>
      <c r="C2207" t="s">
        <v>7730</v>
      </c>
      <c r="D2207">
        <v>7</v>
      </c>
      <c r="E2207" t="s">
        <v>3375</v>
      </c>
      <c r="F2207">
        <v>12</v>
      </c>
    </row>
    <row r="2208" spans="2:6" x14ac:dyDescent="0.2">
      <c r="B2208" t="s">
        <v>7731</v>
      </c>
      <c r="C2208" t="s">
        <v>7732</v>
      </c>
      <c r="D2208">
        <v>7</v>
      </c>
      <c r="E2208" t="s">
        <v>2788</v>
      </c>
      <c r="F2208">
        <v>1</v>
      </c>
    </row>
    <row r="2209" spans="2:6" x14ac:dyDescent="0.2">
      <c r="B2209" t="s">
        <v>7733</v>
      </c>
      <c r="C2209" t="s">
        <v>7734</v>
      </c>
      <c r="D2209">
        <v>7</v>
      </c>
      <c r="E2209" t="s">
        <v>3031</v>
      </c>
      <c r="F2209">
        <v>6</v>
      </c>
    </row>
    <row r="2210" spans="2:6" x14ac:dyDescent="0.2">
      <c r="B2210" t="s">
        <v>7735</v>
      </c>
      <c r="C2210" t="s">
        <v>7736</v>
      </c>
      <c r="D2210">
        <v>7</v>
      </c>
      <c r="E2210" t="s">
        <v>2985</v>
      </c>
      <c r="F2210">
        <v>2</v>
      </c>
    </row>
    <row r="2211" spans="2:6" x14ac:dyDescent="0.2">
      <c r="B2211" t="s">
        <v>7737</v>
      </c>
      <c r="C2211" t="s">
        <v>7738</v>
      </c>
      <c r="D2211">
        <v>7</v>
      </c>
      <c r="E2211" t="s">
        <v>3213</v>
      </c>
      <c r="F2211">
        <v>3</v>
      </c>
    </row>
    <row r="2212" spans="2:6" x14ac:dyDescent="0.2">
      <c r="B2212" t="s">
        <v>7739</v>
      </c>
      <c r="C2212" t="s">
        <v>7740</v>
      </c>
      <c r="D2212">
        <v>7</v>
      </c>
      <c r="E2212" t="s">
        <v>3955</v>
      </c>
      <c r="F2212">
        <v>4</v>
      </c>
    </row>
    <row r="2213" spans="2:6" x14ac:dyDescent="0.2">
      <c r="B2213" t="s">
        <v>355</v>
      </c>
      <c r="C2213" t="s">
        <v>7741</v>
      </c>
      <c r="D2213">
        <v>7</v>
      </c>
      <c r="E2213" t="s">
        <v>7742</v>
      </c>
      <c r="F2213">
        <v>5</v>
      </c>
    </row>
    <row r="2214" spans="2:6" x14ac:dyDescent="0.2">
      <c r="B2214" t="s">
        <v>450</v>
      </c>
      <c r="C2214" t="s">
        <v>7743</v>
      </c>
      <c r="D2214">
        <v>7</v>
      </c>
      <c r="E2214" t="s">
        <v>4836</v>
      </c>
      <c r="F2214">
        <v>2</v>
      </c>
    </row>
    <row r="2215" spans="2:6" x14ac:dyDescent="0.2">
      <c r="B2215" t="s">
        <v>7744</v>
      </c>
      <c r="C2215" t="s">
        <v>7745</v>
      </c>
      <c r="D2215">
        <v>7</v>
      </c>
      <c r="E2215" t="s">
        <v>3095</v>
      </c>
      <c r="F2215">
        <v>2</v>
      </c>
    </row>
    <row r="2216" spans="2:6" x14ac:dyDescent="0.2">
      <c r="B2216" t="s">
        <v>1506</v>
      </c>
      <c r="C2216" t="s">
        <v>7746</v>
      </c>
      <c r="D2216">
        <v>7</v>
      </c>
      <c r="E2216" t="s">
        <v>7747</v>
      </c>
      <c r="F2216">
        <v>1</v>
      </c>
    </row>
    <row r="2217" spans="2:6" x14ac:dyDescent="0.2">
      <c r="B2217" t="s">
        <v>7748</v>
      </c>
      <c r="C2217" t="s">
        <v>7749</v>
      </c>
      <c r="D2217">
        <v>7</v>
      </c>
      <c r="E2217" t="s">
        <v>7750</v>
      </c>
      <c r="F2217">
        <v>5</v>
      </c>
    </row>
    <row r="2218" spans="2:6" x14ac:dyDescent="0.2">
      <c r="B2218" t="s">
        <v>745</v>
      </c>
      <c r="C2218" t="s">
        <v>7751</v>
      </c>
      <c r="D2218">
        <v>7</v>
      </c>
      <c r="E2218" t="s">
        <v>3452</v>
      </c>
      <c r="F2218">
        <v>2</v>
      </c>
    </row>
    <row r="2219" spans="2:6" x14ac:dyDescent="0.2">
      <c r="B2219" t="s">
        <v>7752</v>
      </c>
      <c r="C2219" t="s">
        <v>7753</v>
      </c>
      <c r="D2219">
        <v>7</v>
      </c>
      <c r="E2219" t="s">
        <v>3031</v>
      </c>
      <c r="F2219">
        <v>4</v>
      </c>
    </row>
    <row r="2220" spans="2:6" x14ac:dyDescent="0.2">
      <c r="B2220" t="s">
        <v>957</v>
      </c>
      <c r="C2220" t="s">
        <v>7754</v>
      </c>
      <c r="D2220">
        <v>7</v>
      </c>
      <c r="E2220" t="s">
        <v>7755</v>
      </c>
      <c r="F2220">
        <v>2</v>
      </c>
    </row>
    <row r="2221" spans="2:6" x14ac:dyDescent="0.2">
      <c r="B2221" t="s">
        <v>7756</v>
      </c>
      <c r="C2221" t="s">
        <v>7757</v>
      </c>
      <c r="D2221">
        <v>7</v>
      </c>
      <c r="E2221" t="s">
        <v>3960</v>
      </c>
      <c r="F2221">
        <v>5</v>
      </c>
    </row>
    <row r="2222" spans="2:6" x14ac:dyDescent="0.2">
      <c r="B2222" t="s">
        <v>7758</v>
      </c>
      <c r="C2222" t="s">
        <v>7759</v>
      </c>
      <c r="D2222">
        <v>7</v>
      </c>
      <c r="E2222" t="s">
        <v>3067</v>
      </c>
      <c r="F2222">
        <v>1</v>
      </c>
    </row>
    <row r="2223" spans="2:6" x14ac:dyDescent="0.2">
      <c r="B2223" t="s">
        <v>7760</v>
      </c>
      <c r="C2223" t="s">
        <v>7761</v>
      </c>
      <c r="D2223">
        <v>7</v>
      </c>
      <c r="E2223" t="s">
        <v>3078</v>
      </c>
      <c r="F2223">
        <v>6</v>
      </c>
    </row>
    <row r="2224" spans="2:6" x14ac:dyDescent="0.2">
      <c r="B2224" t="s">
        <v>7762</v>
      </c>
      <c r="C2224" t="s">
        <v>7763</v>
      </c>
      <c r="D2224">
        <v>7</v>
      </c>
      <c r="E2224" t="s">
        <v>7215</v>
      </c>
      <c r="F2224">
        <v>1</v>
      </c>
    </row>
    <row r="2225" spans="2:6" x14ac:dyDescent="0.2">
      <c r="B2225" t="s">
        <v>1879</v>
      </c>
      <c r="C2225" t="s">
        <v>7764</v>
      </c>
      <c r="D2225">
        <v>7</v>
      </c>
      <c r="E2225" t="s">
        <v>2949</v>
      </c>
      <c r="F2225">
        <v>2</v>
      </c>
    </row>
    <row r="2226" spans="2:6" x14ac:dyDescent="0.2">
      <c r="B2226" t="s">
        <v>7765</v>
      </c>
      <c r="C2226" t="s">
        <v>2563</v>
      </c>
      <c r="D2226">
        <v>7</v>
      </c>
      <c r="E2226" t="s">
        <v>2974</v>
      </c>
      <c r="F2226">
        <v>2</v>
      </c>
    </row>
    <row r="2227" spans="2:6" x14ac:dyDescent="0.2">
      <c r="B2227" t="s">
        <v>7766</v>
      </c>
      <c r="C2227" t="s">
        <v>7767</v>
      </c>
      <c r="D2227">
        <v>7</v>
      </c>
      <c r="E2227" t="s">
        <v>3139</v>
      </c>
      <c r="F2227">
        <v>1</v>
      </c>
    </row>
    <row r="2228" spans="2:6" x14ac:dyDescent="0.2">
      <c r="B2228" t="s">
        <v>7768</v>
      </c>
      <c r="C2228" t="s">
        <v>7769</v>
      </c>
      <c r="D2228">
        <v>7</v>
      </c>
      <c r="E2228" t="s">
        <v>3213</v>
      </c>
      <c r="F2228">
        <v>3</v>
      </c>
    </row>
    <row r="2229" spans="2:6" x14ac:dyDescent="0.2">
      <c r="B2229" t="s">
        <v>1918</v>
      </c>
      <c r="C2229" t="s">
        <v>7770</v>
      </c>
      <c r="D2229">
        <v>7</v>
      </c>
      <c r="E2229" t="s">
        <v>4084</v>
      </c>
      <c r="F2229">
        <v>2</v>
      </c>
    </row>
    <row r="2230" spans="2:6" x14ac:dyDescent="0.2">
      <c r="B2230" t="s">
        <v>737</v>
      </c>
      <c r="C2230" t="s">
        <v>7771</v>
      </c>
      <c r="D2230">
        <v>7</v>
      </c>
      <c r="E2230" t="s">
        <v>5020</v>
      </c>
      <c r="F2230">
        <v>7</v>
      </c>
    </row>
    <row r="2231" spans="2:6" x14ac:dyDescent="0.2">
      <c r="B2231" t="s">
        <v>7772</v>
      </c>
      <c r="C2231" t="s">
        <v>7773</v>
      </c>
      <c r="D2231">
        <v>7</v>
      </c>
      <c r="E2231" t="s">
        <v>3386</v>
      </c>
      <c r="F2231">
        <v>1</v>
      </c>
    </row>
    <row r="2232" spans="2:6" x14ac:dyDescent="0.2">
      <c r="B2232" t="s">
        <v>7774</v>
      </c>
      <c r="C2232" t="s">
        <v>7775</v>
      </c>
      <c r="D2232">
        <v>7</v>
      </c>
      <c r="E2232" t="s">
        <v>4590</v>
      </c>
      <c r="F2232">
        <v>22</v>
      </c>
    </row>
    <row r="2233" spans="2:6" x14ac:dyDescent="0.2">
      <c r="B2233" t="s">
        <v>7776</v>
      </c>
      <c r="C2233" t="s">
        <v>7777</v>
      </c>
      <c r="D2233">
        <v>7</v>
      </c>
      <c r="E2233" t="s">
        <v>7778</v>
      </c>
      <c r="F2233">
        <v>5</v>
      </c>
    </row>
    <row r="2234" spans="2:6" x14ac:dyDescent="0.2">
      <c r="B2234" t="s">
        <v>7779</v>
      </c>
      <c r="C2234" t="s">
        <v>7780</v>
      </c>
      <c r="D2234">
        <v>7</v>
      </c>
      <c r="E2234" t="s">
        <v>3375</v>
      </c>
      <c r="F2234">
        <v>48</v>
      </c>
    </row>
    <row r="2235" spans="2:6" x14ac:dyDescent="0.2">
      <c r="B2235" t="s">
        <v>7781</v>
      </c>
      <c r="C2235" t="s">
        <v>7782</v>
      </c>
      <c r="D2235">
        <v>7</v>
      </c>
      <c r="E2235" t="s">
        <v>3095</v>
      </c>
      <c r="F2235">
        <v>4</v>
      </c>
    </row>
    <row r="2236" spans="2:6" x14ac:dyDescent="0.2">
      <c r="B2236" t="s">
        <v>1557</v>
      </c>
      <c r="C2236" t="s">
        <v>7783</v>
      </c>
      <c r="D2236">
        <v>7</v>
      </c>
      <c r="E2236" t="s">
        <v>3957</v>
      </c>
      <c r="F2236">
        <v>4</v>
      </c>
    </row>
    <row r="2237" spans="2:6" x14ac:dyDescent="0.2">
      <c r="B2237" t="s">
        <v>7784</v>
      </c>
      <c r="C2237" t="s">
        <v>7785</v>
      </c>
      <c r="D2237">
        <v>7</v>
      </c>
      <c r="E2237" t="s">
        <v>7786</v>
      </c>
      <c r="F2237">
        <v>12</v>
      </c>
    </row>
    <row r="2238" spans="2:6" x14ac:dyDescent="0.2">
      <c r="B2238" t="s">
        <v>7787</v>
      </c>
      <c r="C2238" t="s">
        <v>7788</v>
      </c>
      <c r="D2238">
        <v>7</v>
      </c>
      <c r="E2238" t="s">
        <v>7789</v>
      </c>
      <c r="F2238">
        <v>2</v>
      </c>
    </row>
    <row r="2239" spans="2:6" x14ac:dyDescent="0.2">
      <c r="B2239" t="s">
        <v>7790</v>
      </c>
      <c r="C2239" t="s">
        <v>7791</v>
      </c>
      <c r="D2239">
        <v>7</v>
      </c>
      <c r="E2239" t="s">
        <v>3153</v>
      </c>
      <c r="F2239">
        <v>1</v>
      </c>
    </row>
    <row r="2240" spans="2:6" x14ac:dyDescent="0.2">
      <c r="B2240" t="s">
        <v>7792</v>
      </c>
      <c r="C2240" t="s">
        <v>7793</v>
      </c>
      <c r="D2240">
        <v>7</v>
      </c>
      <c r="E2240" t="s">
        <v>3423</v>
      </c>
      <c r="F2240">
        <v>10</v>
      </c>
    </row>
    <row r="2241" spans="2:6" x14ac:dyDescent="0.2">
      <c r="B2241" t="s">
        <v>7794</v>
      </c>
      <c r="C2241" t="s">
        <v>7795</v>
      </c>
      <c r="D2241">
        <v>7</v>
      </c>
      <c r="E2241" t="s">
        <v>7796</v>
      </c>
      <c r="F2241">
        <v>2</v>
      </c>
    </row>
    <row r="2242" spans="2:6" x14ac:dyDescent="0.2">
      <c r="B2242" t="s">
        <v>7797</v>
      </c>
      <c r="C2242" t="s">
        <v>7798</v>
      </c>
      <c r="D2242">
        <v>7</v>
      </c>
      <c r="E2242" t="s">
        <v>3201</v>
      </c>
      <c r="F2242">
        <v>1</v>
      </c>
    </row>
    <row r="2243" spans="2:6" x14ac:dyDescent="0.2">
      <c r="B2243" t="s">
        <v>7799</v>
      </c>
      <c r="C2243" t="s">
        <v>7800</v>
      </c>
      <c r="D2243">
        <v>7</v>
      </c>
      <c r="E2243" t="s">
        <v>3004</v>
      </c>
      <c r="F2243">
        <v>5</v>
      </c>
    </row>
    <row r="2244" spans="2:6" x14ac:dyDescent="0.2">
      <c r="B2244" t="s">
        <v>7801</v>
      </c>
      <c r="C2244" t="s">
        <v>7802</v>
      </c>
      <c r="D2244">
        <v>7</v>
      </c>
      <c r="E2244" t="s">
        <v>5185</v>
      </c>
      <c r="F2244">
        <v>5</v>
      </c>
    </row>
    <row r="2245" spans="2:6" x14ac:dyDescent="0.2">
      <c r="B2245" t="s">
        <v>7803</v>
      </c>
      <c r="C2245" t="s">
        <v>7804</v>
      </c>
      <c r="D2245">
        <v>7</v>
      </c>
      <c r="E2245" t="s">
        <v>7805</v>
      </c>
      <c r="F2245">
        <v>2</v>
      </c>
    </row>
    <row r="2246" spans="2:6" x14ac:dyDescent="0.2">
      <c r="B2246" t="s">
        <v>7806</v>
      </c>
      <c r="C2246" t="s">
        <v>7807</v>
      </c>
      <c r="D2246">
        <v>7</v>
      </c>
      <c r="E2246" t="s">
        <v>4590</v>
      </c>
      <c r="F2246">
        <v>3</v>
      </c>
    </row>
    <row r="2247" spans="2:6" x14ac:dyDescent="0.2">
      <c r="B2247" t="s">
        <v>932</v>
      </c>
      <c r="C2247" t="s">
        <v>7808</v>
      </c>
      <c r="D2247">
        <v>7</v>
      </c>
      <c r="E2247" t="s">
        <v>7809</v>
      </c>
      <c r="F2247">
        <v>1</v>
      </c>
    </row>
    <row r="2248" spans="2:6" x14ac:dyDescent="0.2">
      <c r="B2248" t="s">
        <v>7810</v>
      </c>
      <c r="C2248" t="s">
        <v>7811</v>
      </c>
      <c r="D2248">
        <v>7</v>
      </c>
      <c r="E2248" t="s">
        <v>3532</v>
      </c>
      <c r="F2248">
        <v>1</v>
      </c>
    </row>
    <row r="2249" spans="2:6" x14ac:dyDescent="0.2">
      <c r="B2249" t="s">
        <v>7812</v>
      </c>
      <c r="C2249" t="s">
        <v>7813</v>
      </c>
      <c r="D2249">
        <v>7</v>
      </c>
      <c r="E2249" t="s">
        <v>7814</v>
      </c>
      <c r="F2249">
        <v>12</v>
      </c>
    </row>
    <row r="2250" spans="2:6" x14ac:dyDescent="0.2">
      <c r="B2250" t="s">
        <v>7815</v>
      </c>
      <c r="C2250" t="s">
        <v>7816</v>
      </c>
      <c r="D2250">
        <v>7</v>
      </c>
      <c r="E2250" t="s">
        <v>4823</v>
      </c>
      <c r="F2250">
        <v>4</v>
      </c>
    </row>
    <row r="2251" spans="2:6" x14ac:dyDescent="0.2">
      <c r="B2251" t="s">
        <v>7817</v>
      </c>
      <c r="C2251" t="s">
        <v>7818</v>
      </c>
      <c r="D2251">
        <v>7</v>
      </c>
      <c r="E2251" t="s">
        <v>7819</v>
      </c>
      <c r="F2251">
        <v>4</v>
      </c>
    </row>
    <row r="2252" spans="2:6" x14ac:dyDescent="0.2">
      <c r="B2252" t="s">
        <v>7820</v>
      </c>
      <c r="C2252" t="s">
        <v>7821</v>
      </c>
      <c r="D2252">
        <v>7</v>
      </c>
      <c r="E2252" t="s">
        <v>7822</v>
      </c>
      <c r="F2252">
        <v>10</v>
      </c>
    </row>
    <row r="2253" spans="2:6" x14ac:dyDescent="0.2">
      <c r="B2253" t="s">
        <v>237</v>
      </c>
      <c r="C2253" t="s">
        <v>7823</v>
      </c>
      <c r="D2253">
        <v>7</v>
      </c>
      <c r="E2253" t="s">
        <v>4104</v>
      </c>
      <c r="F2253">
        <v>6</v>
      </c>
    </row>
    <row r="2254" spans="2:6" x14ac:dyDescent="0.2">
      <c r="B2254" t="s">
        <v>7824</v>
      </c>
      <c r="C2254" t="s">
        <v>7825</v>
      </c>
      <c r="D2254">
        <v>7</v>
      </c>
      <c r="E2254" t="s">
        <v>4358</v>
      </c>
      <c r="F2254">
        <v>1</v>
      </c>
    </row>
    <row r="2255" spans="2:6" x14ac:dyDescent="0.2">
      <c r="B2255" t="s">
        <v>1341</v>
      </c>
      <c r="C2255" t="s">
        <v>7826</v>
      </c>
      <c r="D2255">
        <v>7</v>
      </c>
      <c r="E2255" t="s">
        <v>3330</v>
      </c>
      <c r="F2255">
        <v>8</v>
      </c>
    </row>
    <row r="2256" spans="2:6" x14ac:dyDescent="0.2">
      <c r="B2256" t="s">
        <v>7827</v>
      </c>
      <c r="C2256" t="s">
        <v>7828</v>
      </c>
      <c r="D2256">
        <v>7</v>
      </c>
      <c r="E2256" t="s">
        <v>7829</v>
      </c>
      <c r="F2256">
        <v>1</v>
      </c>
    </row>
    <row r="2257" spans="2:6" x14ac:dyDescent="0.2">
      <c r="B2257" t="s">
        <v>1203</v>
      </c>
      <c r="C2257" t="s">
        <v>7830</v>
      </c>
      <c r="D2257">
        <v>7</v>
      </c>
      <c r="E2257" t="s">
        <v>7831</v>
      </c>
      <c r="F2257">
        <v>1</v>
      </c>
    </row>
    <row r="2258" spans="2:6" x14ac:dyDescent="0.2">
      <c r="B2258" t="s">
        <v>2058</v>
      </c>
      <c r="C2258" t="s">
        <v>7832</v>
      </c>
      <c r="D2258">
        <v>7</v>
      </c>
      <c r="E2258" t="s">
        <v>3048</v>
      </c>
      <c r="F2258">
        <v>5</v>
      </c>
    </row>
    <row r="2259" spans="2:6" x14ac:dyDescent="0.2">
      <c r="B2259" t="s">
        <v>720</v>
      </c>
      <c r="C2259" t="s">
        <v>7833</v>
      </c>
      <c r="D2259">
        <v>7</v>
      </c>
      <c r="E2259" t="s">
        <v>7834</v>
      </c>
      <c r="F2259">
        <v>81</v>
      </c>
    </row>
    <row r="2260" spans="2:6" x14ac:dyDescent="0.2">
      <c r="B2260" t="s">
        <v>7835</v>
      </c>
      <c r="C2260" t="s">
        <v>7836</v>
      </c>
      <c r="D2260">
        <v>7</v>
      </c>
      <c r="E2260" t="s">
        <v>3067</v>
      </c>
      <c r="F2260">
        <v>1</v>
      </c>
    </row>
    <row r="2261" spans="2:6" x14ac:dyDescent="0.2">
      <c r="B2261" t="s">
        <v>7837</v>
      </c>
      <c r="C2261" t="s">
        <v>7838</v>
      </c>
      <c r="D2261">
        <v>7</v>
      </c>
      <c r="E2261" t="s">
        <v>3688</v>
      </c>
      <c r="F2261">
        <v>3</v>
      </c>
    </row>
    <row r="2262" spans="2:6" x14ac:dyDescent="0.2">
      <c r="B2262" t="s">
        <v>1990</v>
      </c>
      <c r="C2262" t="s">
        <v>7839</v>
      </c>
      <c r="D2262">
        <v>7</v>
      </c>
      <c r="E2262" t="s">
        <v>3162</v>
      </c>
      <c r="F2262">
        <v>2</v>
      </c>
    </row>
    <row r="2263" spans="2:6" x14ac:dyDescent="0.2">
      <c r="B2263" t="s">
        <v>7840</v>
      </c>
      <c r="C2263" t="s">
        <v>7841</v>
      </c>
      <c r="D2263">
        <v>7</v>
      </c>
      <c r="E2263" t="s">
        <v>3235</v>
      </c>
      <c r="F2263">
        <v>2</v>
      </c>
    </row>
    <row r="2264" spans="2:6" x14ac:dyDescent="0.2">
      <c r="B2264" t="s">
        <v>7842</v>
      </c>
      <c r="C2264" t="s">
        <v>7843</v>
      </c>
      <c r="D2264">
        <v>7</v>
      </c>
      <c r="E2264" t="s">
        <v>5165</v>
      </c>
      <c r="F2264">
        <v>10</v>
      </c>
    </row>
    <row r="2265" spans="2:6" x14ac:dyDescent="0.2">
      <c r="B2265" t="s">
        <v>463</v>
      </c>
      <c r="C2265" t="s">
        <v>7844</v>
      </c>
      <c r="D2265">
        <v>7</v>
      </c>
      <c r="E2265" t="s">
        <v>7845</v>
      </c>
      <c r="F2265">
        <v>7</v>
      </c>
    </row>
    <row r="2266" spans="2:6" x14ac:dyDescent="0.2">
      <c r="B2266" t="s">
        <v>7846</v>
      </c>
      <c r="C2266" t="s">
        <v>7847</v>
      </c>
      <c r="D2266">
        <v>7</v>
      </c>
      <c r="E2266" t="s">
        <v>7848</v>
      </c>
      <c r="F2266">
        <v>1</v>
      </c>
    </row>
    <row r="2267" spans="2:6" x14ac:dyDescent="0.2">
      <c r="B2267" t="s">
        <v>7849</v>
      </c>
      <c r="C2267" t="s">
        <v>7850</v>
      </c>
      <c r="D2267">
        <v>7</v>
      </c>
      <c r="E2267" t="s">
        <v>4151</v>
      </c>
      <c r="F2267">
        <v>7</v>
      </c>
    </row>
    <row r="2268" spans="2:6" x14ac:dyDescent="0.2">
      <c r="B2268" t="s">
        <v>1070</v>
      </c>
      <c r="C2268" t="s">
        <v>7851</v>
      </c>
      <c r="D2268">
        <v>7</v>
      </c>
      <c r="E2268" t="s">
        <v>5992</v>
      </c>
      <c r="F2268">
        <v>1</v>
      </c>
    </row>
    <row r="2269" spans="2:6" x14ac:dyDescent="0.2">
      <c r="B2269" t="s">
        <v>7852</v>
      </c>
      <c r="C2269" t="s">
        <v>4799</v>
      </c>
      <c r="D2269">
        <v>7</v>
      </c>
      <c r="E2269" t="s">
        <v>2785</v>
      </c>
      <c r="F2269">
        <v>1</v>
      </c>
    </row>
    <row r="2270" spans="2:6" x14ac:dyDescent="0.2">
      <c r="B2270" t="s">
        <v>7853</v>
      </c>
      <c r="C2270" t="s">
        <v>7854</v>
      </c>
      <c r="D2270">
        <v>7</v>
      </c>
      <c r="E2270" t="s">
        <v>7855</v>
      </c>
      <c r="F2270">
        <v>2</v>
      </c>
    </row>
    <row r="2271" spans="2:6" x14ac:dyDescent="0.2">
      <c r="B2271" t="s">
        <v>7856</v>
      </c>
      <c r="C2271" t="s">
        <v>7857</v>
      </c>
      <c r="D2271">
        <v>7</v>
      </c>
      <c r="E2271" t="s">
        <v>3586</v>
      </c>
      <c r="F2271">
        <v>3</v>
      </c>
    </row>
    <row r="2272" spans="2:6" x14ac:dyDescent="0.2">
      <c r="B2272" t="s">
        <v>7858</v>
      </c>
      <c r="C2272" t="s">
        <v>7859</v>
      </c>
      <c r="D2272">
        <v>7</v>
      </c>
      <c r="E2272" t="s">
        <v>4252</v>
      </c>
      <c r="F2272">
        <v>1</v>
      </c>
    </row>
    <row r="2273" spans="2:6" x14ac:dyDescent="0.2">
      <c r="B2273" t="s">
        <v>7860</v>
      </c>
      <c r="C2273" t="s">
        <v>7861</v>
      </c>
      <c r="D2273">
        <v>7</v>
      </c>
      <c r="E2273" t="s">
        <v>3839</v>
      </c>
      <c r="F2273">
        <v>2</v>
      </c>
    </row>
    <row r="2274" spans="2:6" x14ac:dyDescent="0.2">
      <c r="B2274" t="s">
        <v>7862</v>
      </c>
      <c r="C2274" t="s">
        <v>7863</v>
      </c>
      <c r="D2274">
        <v>7</v>
      </c>
      <c r="E2274" t="s">
        <v>3106</v>
      </c>
      <c r="F2274">
        <v>3</v>
      </c>
    </row>
    <row r="2275" spans="2:6" x14ac:dyDescent="0.2">
      <c r="B2275" t="s">
        <v>7864</v>
      </c>
      <c r="C2275" t="s">
        <v>7865</v>
      </c>
      <c r="D2275">
        <v>7</v>
      </c>
      <c r="E2275" t="s">
        <v>7866</v>
      </c>
      <c r="F2275">
        <v>6</v>
      </c>
    </row>
    <row r="2276" spans="2:6" x14ac:dyDescent="0.2">
      <c r="B2276" t="s">
        <v>7867</v>
      </c>
      <c r="C2276" t="s">
        <v>7868</v>
      </c>
      <c r="D2276">
        <v>7</v>
      </c>
      <c r="E2276" t="s">
        <v>7869</v>
      </c>
      <c r="F2276">
        <v>24</v>
      </c>
    </row>
    <row r="2277" spans="2:6" x14ac:dyDescent="0.2">
      <c r="B2277" t="s">
        <v>7870</v>
      </c>
      <c r="C2277" t="s">
        <v>7871</v>
      </c>
      <c r="D2277">
        <v>7</v>
      </c>
      <c r="E2277" t="s">
        <v>5346</v>
      </c>
      <c r="F2277">
        <v>6</v>
      </c>
    </row>
    <row r="2278" spans="2:6" x14ac:dyDescent="0.2">
      <c r="B2278" t="s">
        <v>619</v>
      </c>
      <c r="C2278" t="s">
        <v>7872</v>
      </c>
      <c r="D2278">
        <v>7</v>
      </c>
      <c r="E2278" t="s">
        <v>7873</v>
      </c>
      <c r="F2278">
        <v>14</v>
      </c>
    </row>
    <row r="2279" spans="2:6" x14ac:dyDescent="0.2">
      <c r="B2279" t="s">
        <v>696</v>
      </c>
      <c r="C2279" t="s">
        <v>7874</v>
      </c>
      <c r="D2279">
        <v>7</v>
      </c>
      <c r="E2279" t="s">
        <v>7875</v>
      </c>
      <c r="F2279">
        <v>97</v>
      </c>
    </row>
    <row r="2280" spans="2:6" x14ac:dyDescent="0.2">
      <c r="B2280" t="s">
        <v>7876</v>
      </c>
      <c r="C2280" t="s">
        <v>7877</v>
      </c>
      <c r="D2280">
        <v>7</v>
      </c>
      <c r="E2280" t="s">
        <v>3423</v>
      </c>
      <c r="F2280">
        <v>2</v>
      </c>
    </row>
    <row r="2281" spans="2:6" x14ac:dyDescent="0.2">
      <c r="B2281" t="s">
        <v>7878</v>
      </c>
      <c r="C2281" t="s">
        <v>7879</v>
      </c>
      <c r="D2281">
        <v>7</v>
      </c>
      <c r="E2281" t="s">
        <v>3820</v>
      </c>
      <c r="F2281">
        <v>4</v>
      </c>
    </row>
    <row r="2282" spans="2:6" x14ac:dyDescent="0.2">
      <c r="B2282" t="s">
        <v>7880</v>
      </c>
      <c r="C2282" t="s">
        <v>7881</v>
      </c>
      <c r="D2282">
        <v>7</v>
      </c>
      <c r="E2282" t="s">
        <v>6500</v>
      </c>
      <c r="F2282">
        <v>4</v>
      </c>
    </row>
    <row r="2283" spans="2:6" x14ac:dyDescent="0.2">
      <c r="B2283" t="s">
        <v>7882</v>
      </c>
      <c r="C2283" t="s">
        <v>7883</v>
      </c>
      <c r="D2283">
        <v>7</v>
      </c>
      <c r="E2283" t="s">
        <v>7884</v>
      </c>
      <c r="F2283">
        <v>3</v>
      </c>
    </row>
    <row r="2284" spans="2:6" x14ac:dyDescent="0.2">
      <c r="B2284" t="s">
        <v>7885</v>
      </c>
      <c r="C2284" t="s">
        <v>7886</v>
      </c>
      <c r="D2284">
        <v>7</v>
      </c>
      <c r="E2284" t="s">
        <v>3759</v>
      </c>
      <c r="F2284">
        <v>21</v>
      </c>
    </row>
    <row r="2285" spans="2:6" x14ac:dyDescent="0.2">
      <c r="B2285" t="s">
        <v>7887</v>
      </c>
      <c r="C2285" t="s">
        <v>7888</v>
      </c>
      <c r="D2285">
        <v>7</v>
      </c>
      <c r="E2285" t="s">
        <v>3213</v>
      </c>
      <c r="F2285">
        <v>1</v>
      </c>
    </row>
    <row r="2286" spans="2:6" x14ac:dyDescent="0.2">
      <c r="B2286" t="s">
        <v>7889</v>
      </c>
      <c r="C2286" t="s">
        <v>7890</v>
      </c>
      <c r="D2286">
        <v>7</v>
      </c>
      <c r="E2286" t="s">
        <v>4068</v>
      </c>
      <c r="F2286">
        <v>20</v>
      </c>
    </row>
    <row r="2287" spans="2:6" x14ac:dyDescent="0.2">
      <c r="B2287" t="s">
        <v>7891</v>
      </c>
      <c r="C2287" t="s">
        <v>5521</v>
      </c>
      <c r="D2287">
        <v>7</v>
      </c>
      <c r="E2287" t="s">
        <v>7892</v>
      </c>
      <c r="F2287">
        <v>2</v>
      </c>
    </row>
    <row r="2288" spans="2:6" x14ac:dyDescent="0.2">
      <c r="B2288" t="s">
        <v>7893</v>
      </c>
      <c r="C2288" t="s">
        <v>5521</v>
      </c>
      <c r="D2288">
        <v>7</v>
      </c>
      <c r="E2288" t="s">
        <v>7894</v>
      </c>
      <c r="F2288">
        <v>10</v>
      </c>
    </row>
    <row r="2289" spans="2:6" x14ac:dyDescent="0.2">
      <c r="B2289" t="s">
        <v>7895</v>
      </c>
      <c r="C2289" t="s">
        <v>7896</v>
      </c>
      <c r="D2289">
        <v>7</v>
      </c>
      <c r="E2289" t="s">
        <v>7897</v>
      </c>
      <c r="F2289">
        <v>5</v>
      </c>
    </row>
    <row r="2290" spans="2:6" x14ac:dyDescent="0.2">
      <c r="B2290" t="s">
        <v>7898</v>
      </c>
      <c r="C2290" t="s">
        <v>7899</v>
      </c>
      <c r="D2290">
        <v>7</v>
      </c>
      <c r="E2290" t="s">
        <v>3067</v>
      </c>
      <c r="F2290">
        <v>6</v>
      </c>
    </row>
    <row r="2291" spans="2:6" x14ac:dyDescent="0.2">
      <c r="B2291" t="s">
        <v>7900</v>
      </c>
      <c r="C2291" t="s">
        <v>5521</v>
      </c>
      <c r="D2291">
        <v>7</v>
      </c>
      <c r="E2291" t="s">
        <v>7901</v>
      </c>
      <c r="F2291">
        <v>1</v>
      </c>
    </row>
    <row r="2292" spans="2:6" x14ac:dyDescent="0.2">
      <c r="B2292" t="s">
        <v>7902</v>
      </c>
      <c r="C2292" t="s">
        <v>7903</v>
      </c>
      <c r="D2292">
        <v>7</v>
      </c>
      <c r="E2292" t="s">
        <v>2941</v>
      </c>
      <c r="F2292">
        <v>2</v>
      </c>
    </row>
    <row r="2293" spans="2:6" x14ac:dyDescent="0.2">
      <c r="B2293" t="s">
        <v>706</v>
      </c>
      <c r="C2293" t="s">
        <v>7904</v>
      </c>
      <c r="D2293">
        <v>7</v>
      </c>
      <c r="E2293" t="s">
        <v>7905</v>
      </c>
      <c r="F2293">
        <v>9</v>
      </c>
    </row>
    <row r="2294" spans="2:6" x14ac:dyDescent="0.2">
      <c r="B2294" t="s">
        <v>7906</v>
      </c>
      <c r="C2294" t="s">
        <v>7907</v>
      </c>
      <c r="D2294">
        <v>7</v>
      </c>
      <c r="E2294" t="s">
        <v>7908</v>
      </c>
      <c r="F2294">
        <v>2</v>
      </c>
    </row>
    <row r="2295" spans="2:6" x14ac:dyDescent="0.2">
      <c r="B2295" t="s">
        <v>7909</v>
      </c>
      <c r="C2295" t="s">
        <v>6085</v>
      </c>
      <c r="D2295">
        <v>7</v>
      </c>
      <c r="E2295" t="s">
        <v>7910</v>
      </c>
      <c r="F2295">
        <v>1</v>
      </c>
    </row>
    <row r="2296" spans="2:6" x14ac:dyDescent="0.2">
      <c r="B2296" t="s">
        <v>7911</v>
      </c>
      <c r="C2296" t="s">
        <v>7912</v>
      </c>
      <c r="D2296">
        <v>7</v>
      </c>
      <c r="E2296" t="s">
        <v>3901</v>
      </c>
      <c r="F2296">
        <v>2</v>
      </c>
    </row>
    <row r="2297" spans="2:6" x14ac:dyDescent="0.2">
      <c r="B2297" t="s">
        <v>7913</v>
      </c>
      <c r="C2297" t="s">
        <v>7914</v>
      </c>
      <c r="D2297">
        <v>7</v>
      </c>
      <c r="E2297" t="s">
        <v>2785</v>
      </c>
      <c r="F2297">
        <v>1</v>
      </c>
    </row>
    <row r="2298" spans="2:6" x14ac:dyDescent="0.2">
      <c r="B2298" t="s">
        <v>7915</v>
      </c>
      <c r="C2298" t="s">
        <v>7916</v>
      </c>
      <c r="D2298">
        <v>7</v>
      </c>
      <c r="E2298" t="s">
        <v>2785</v>
      </c>
      <c r="F2298">
        <v>1</v>
      </c>
    </row>
    <row r="2299" spans="2:6" x14ac:dyDescent="0.2">
      <c r="B2299" t="s">
        <v>7917</v>
      </c>
      <c r="C2299" t="s">
        <v>7918</v>
      </c>
      <c r="D2299">
        <v>7</v>
      </c>
      <c r="E2299" t="s">
        <v>7919</v>
      </c>
      <c r="F2299">
        <v>4</v>
      </c>
    </row>
    <row r="2300" spans="2:6" x14ac:dyDescent="0.2">
      <c r="B2300" t="s">
        <v>7920</v>
      </c>
      <c r="C2300" t="s">
        <v>7921</v>
      </c>
      <c r="D2300">
        <v>7</v>
      </c>
      <c r="E2300" t="s">
        <v>7922</v>
      </c>
      <c r="F2300">
        <v>2</v>
      </c>
    </row>
    <row r="2301" spans="2:6" x14ac:dyDescent="0.2">
      <c r="B2301" t="s">
        <v>7923</v>
      </c>
      <c r="C2301" t="s">
        <v>7924</v>
      </c>
      <c r="D2301">
        <v>7</v>
      </c>
      <c r="E2301" t="s">
        <v>3839</v>
      </c>
      <c r="F2301">
        <v>1</v>
      </c>
    </row>
    <row r="2302" spans="2:6" x14ac:dyDescent="0.2">
      <c r="B2302" t="s">
        <v>7925</v>
      </c>
      <c r="C2302" t="s">
        <v>7926</v>
      </c>
      <c r="D2302">
        <v>7</v>
      </c>
      <c r="E2302" t="s">
        <v>5856</v>
      </c>
      <c r="F2302">
        <v>1</v>
      </c>
    </row>
    <row r="2303" spans="2:6" x14ac:dyDescent="0.2">
      <c r="B2303" t="s">
        <v>7927</v>
      </c>
      <c r="C2303" t="s">
        <v>7928</v>
      </c>
      <c r="D2303">
        <v>7</v>
      </c>
      <c r="E2303" t="s">
        <v>2906</v>
      </c>
      <c r="F2303">
        <v>2</v>
      </c>
    </row>
    <row r="2304" spans="2:6" x14ac:dyDescent="0.2">
      <c r="B2304" t="s">
        <v>7929</v>
      </c>
      <c r="C2304" t="s">
        <v>7930</v>
      </c>
      <c r="D2304">
        <v>7</v>
      </c>
      <c r="E2304" t="s">
        <v>7931</v>
      </c>
      <c r="F2304">
        <v>7</v>
      </c>
    </row>
    <row r="2305" spans="2:6" x14ac:dyDescent="0.2">
      <c r="B2305" t="s">
        <v>7932</v>
      </c>
      <c r="C2305" t="s">
        <v>7933</v>
      </c>
      <c r="D2305">
        <v>7</v>
      </c>
      <c r="E2305" t="s">
        <v>7934</v>
      </c>
      <c r="F2305">
        <v>2</v>
      </c>
    </row>
    <row r="2306" spans="2:6" x14ac:dyDescent="0.2">
      <c r="B2306" t="s">
        <v>7935</v>
      </c>
      <c r="C2306" t="s">
        <v>7936</v>
      </c>
      <c r="D2306">
        <v>7</v>
      </c>
      <c r="E2306" t="s">
        <v>4590</v>
      </c>
      <c r="F2306">
        <v>8</v>
      </c>
    </row>
    <row r="2307" spans="2:6" x14ac:dyDescent="0.2">
      <c r="B2307" t="s">
        <v>7937</v>
      </c>
      <c r="C2307" t="s">
        <v>7938</v>
      </c>
      <c r="D2307">
        <v>7</v>
      </c>
      <c r="E2307" t="s">
        <v>3153</v>
      </c>
      <c r="F2307">
        <v>1</v>
      </c>
    </row>
    <row r="2308" spans="2:6" x14ac:dyDescent="0.2">
      <c r="B2308" t="s">
        <v>7939</v>
      </c>
      <c r="C2308" t="s">
        <v>7940</v>
      </c>
      <c r="D2308">
        <v>7</v>
      </c>
      <c r="E2308" t="s">
        <v>2842</v>
      </c>
      <c r="F2308">
        <v>1</v>
      </c>
    </row>
    <row r="2309" spans="2:6" x14ac:dyDescent="0.2">
      <c r="B2309" t="s">
        <v>7941</v>
      </c>
      <c r="C2309" t="s">
        <v>7942</v>
      </c>
      <c r="D2309">
        <v>7</v>
      </c>
      <c r="E2309" t="s">
        <v>3688</v>
      </c>
      <c r="F2309">
        <v>1</v>
      </c>
    </row>
    <row r="2310" spans="2:6" x14ac:dyDescent="0.2">
      <c r="B2310" t="s">
        <v>974</v>
      </c>
      <c r="C2310" t="s">
        <v>7943</v>
      </c>
      <c r="D2310">
        <v>7</v>
      </c>
      <c r="E2310" t="s">
        <v>2909</v>
      </c>
      <c r="F2310">
        <v>12</v>
      </c>
    </row>
    <row r="2311" spans="2:6" x14ac:dyDescent="0.2">
      <c r="B2311" t="s">
        <v>7944</v>
      </c>
      <c r="C2311" t="s">
        <v>7945</v>
      </c>
      <c r="D2311">
        <v>7</v>
      </c>
      <c r="E2311" t="s">
        <v>3031</v>
      </c>
      <c r="F2311">
        <v>3</v>
      </c>
    </row>
    <row r="2312" spans="2:6" x14ac:dyDescent="0.2">
      <c r="B2312" t="s">
        <v>7946</v>
      </c>
      <c r="C2312" t="s">
        <v>7947</v>
      </c>
      <c r="D2312">
        <v>7</v>
      </c>
      <c r="E2312" t="s">
        <v>7948</v>
      </c>
      <c r="F2312">
        <v>1</v>
      </c>
    </row>
    <row r="2313" spans="2:6" x14ac:dyDescent="0.2">
      <c r="B2313" t="s">
        <v>7949</v>
      </c>
      <c r="C2313" t="s">
        <v>7950</v>
      </c>
      <c r="D2313">
        <v>7</v>
      </c>
      <c r="E2313" t="s">
        <v>7951</v>
      </c>
      <c r="F2313">
        <v>1</v>
      </c>
    </row>
    <row r="2314" spans="2:6" x14ac:dyDescent="0.2">
      <c r="B2314" t="s">
        <v>7952</v>
      </c>
      <c r="C2314" t="s">
        <v>7953</v>
      </c>
      <c r="D2314">
        <v>7</v>
      </c>
      <c r="E2314" t="s">
        <v>7954</v>
      </c>
      <c r="F2314">
        <v>1</v>
      </c>
    </row>
    <row r="2315" spans="2:6" x14ac:dyDescent="0.2">
      <c r="B2315" t="s">
        <v>7955</v>
      </c>
      <c r="C2315" t="s">
        <v>7956</v>
      </c>
      <c r="D2315">
        <v>7</v>
      </c>
      <c r="E2315" t="s">
        <v>7957</v>
      </c>
      <c r="F2315">
        <v>1</v>
      </c>
    </row>
    <row r="2316" spans="2:6" x14ac:dyDescent="0.2">
      <c r="B2316" t="s">
        <v>7958</v>
      </c>
      <c r="C2316" t="s">
        <v>7959</v>
      </c>
      <c r="D2316">
        <v>7</v>
      </c>
      <c r="E2316" t="s">
        <v>2974</v>
      </c>
      <c r="F2316">
        <v>2</v>
      </c>
    </row>
    <row r="2317" spans="2:6" x14ac:dyDescent="0.2">
      <c r="B2317" t="s">
        <v>7960</v>
      </c>
      <c r="C2317" t="s">
        <v>7961</v>
      </c>
      <c r="D2317">
        <v>7</v>
      </c>
      <c r="E2317" t="s">
        <v>4638</v>
      </c>
      <c r="F2317">
        <v>4</v>
      </c>
    </row>
    <row r="2318" spans="2:6" x14ac:dyDescent="0.2">
      <c r="B2318" t="s">
        <v>1770</v>
      </c>
      <c r="C2318" t="s">
        <v>7962</v>
      </c>
      <c r="D2318">
        <v>7</v>
      </c>
      <c r="E2318" t="s">
        <v>3119</v>
      </c>
      <c r="F2318">
        <v>1</v>
      </c>
    </row>
    <row r="2319" spans="2:6" x14ac:dyDescent="0.2">
      <c r="B2319" t="s">
        <v>7963</v>
      </c>
      <c r="C2319" t="s">
        <v>7964</v>
      </c>
      <c r="D2319">
        <v>7</v>
      </c>
      <c r="E2319" t="s">
        <v>7965</v>
      </c>
      <c r="F2319">
        <v>1</v>
      </c>
    </row>
    <row r="2320" spans="2:6" x14ac:dyDescent="0.2">
      <c r="B2320" t="s">
        <v>7966</v>
      </c>
      <c r="C2320" t="s">
        <v>7967</v>
      </c>
      <c r="D2320">
        <v>7</v>
      </c>
      <c r="E2320" t="s">
        <v>7968</v>
      </c>
      <c r="F2320">
        <v>2</v>
      </c>
    </row>
    <row r="2321" spans="2:6" x14ac:dyDescent="0.2">
      <c r="B2321" t="s">
        <v>564</v>
      </c>
      <c r="C2321" t="s">
        <v>7969</v>
      </c>
      <c r="D2321">
        <v>7</v>
      </c>
      <c r="E2321" t="s">
        <v>3092</v>
      </c>
      <c r="F2321">
        <v>1</v>
      </c>
    </row>
    <row r="2322" spans="2:6" x14ac:dyDescent="0.2">
      <c r="B2322" t="s">
        <v>7970</v>
      </c>
      <c r="C2322" t="s">
        <v>7971</v>
      </c>
      <c r="D2322">
        <v>7</v>
      </c>
      <c r="E2322" t="s">
        <v>2819</v>
      </c>
      <c r="F2322">
        <v>1</v>
      </c>
    </row>
    <row r="2323" spans="2:6" x14ac:dyDescent="0.2">
      <c r="B2323" t="s">
        <v>7972</v>
      </c>
      <c r="C2323" t="s">
        <v>7973</v>
      </c>
      <c r="D2323">
        <v>7</v>
      </c>
      <c r="E2323" t="s">
        <v>7974</v>
      </c>
      <c r="F2323">
        <v>1</v>
      </c>
    </row>
    <row r="2324" spans="2:6" x14ac:dyDescent="0.2">
      <c r="B2324" t="s">
        <v>7975</v>
      </c>
      <c r="C2324" t="s">
        <v>7976</v>
      </c>
      <c r="D2324">
        <v>7</v>
      </c>
      <c r="E2324" t="s">
        <v>3232</v>
      </c>
      <c r="F2324">
        <v>8</v>
      </c>
    </row>
    <row r="2325" spans="2:6" x14ac:dyDescent="0.2">
      <c r="B2325" t="s">
        <v>7977</v>
      </c>
      <c r="C2325" t="s">
        <v>7978</v>
      </c>
      <c r="D2325">
        <v>7</v>
      </c>
      <c r="E2325" t="s">
        <v>3621</v>
      </c>
      <c r="F2325">
        <v>1</v>
      </c>
    </row>
    <row r="2326" spans="2:6" x14ac:dyDescent="0.2">
      <c r="B2326" t="s">
        <v>7979</v>
      </c>
      <c r="C2326" t="s">
        <v>7980</v>
      </c>
      <c r="D2326">
        <v>7</v>
      </c>
      <c r="E2326" t="s">
        <v>7981</v>
      </c>
      <c r="F2326">
        <v>42</v>
      </c>
    </row>
    <row r="2327" spans="2:6" x14ac:dyDescent="0.2">
      <c r="B2327" t="s">
        <v>7982</v>
      </c>
      <c r="C2327" t="s">
        <v>7983</v>
      </c>
      <c r="D2327">
        <v>7</v>
      </c>
      <c r="E2327" t="s">
        <v>3791</v>
      </c>
      <c r="F2327">
        <v>5</v>
      </c>
    </row>
    <row r="2328" spans="2:6" x14ac:dyDescent="0.2">
      <c r="B2328" t="s">
        <v>7984</v>
      </c>
      <c r="C2328" t="s">
        <v>7985</v>
      </c>
      <c r="D2328">
        <v>7</v>
      </c>
      <c r="E2328" t="s">
        <v>7986</v>
      </c>
      <c r="F2328">
        <v>4</v>
      </c>
    </row>
    <row r="2329" spans="2:6" x14ac:dyDescent="0.2">
      <c r="B2329" t="s">
        <v>7987</v>
      </c>
      <c r="C2329" t="s">
        <v>7988</v>
      </c>
      <c r="D2329">
        <v>7</v>
      </c>
      <c r="E2329" t="s">
        <v>2788</v>
      </c>
      <c r="F2329">
        <v>1</v>
      </c>
    </row>
    <row r="2330" spans="2:6" x14ac:dyDescent="0.2">
      <c r="B2330" t="s">
        <v>7989</v>
      </c>
      <c r="C2330" t="s">
        <v>7990</v>
      </c>
      <c r="D2330">
        <v>7</v>
      </c>
      <c r="E2330" t="s">
        <v>2985</v>
      </c>
      <c r="F2330">
        <v>3</v>
      </c>
    </row>
    <row r="2331" spans="2:6" x14ac:dyDescent="0.2">
      <c r="B2331" t="s">
        <v>7991</v>
      </c>
      <c r="C2331" t="s">
        <v>7992</v>
      </c>
      <c r="D2331">
        <v>7</v>
      </c>
      <c r="E2331" t="s">
        <v>5358</v>
      </c>
      <c r="F2331">
        <v>2</v>
      </c>
    </row>
    <row r="2332" spans="2:6" x14ac:dyDescent="0.2">
      <c r="B2332" t="s">
        <v>7993</v>
      </c>
      <c r="C2332" t="s">
        <v>7994</v>
      </c>
      <c r="D2332">
        <v>7</v>
      </c>
      <c r="E2332" t="s">
        <v>7995</v>
      </c>
      <c r="F2332">
        <v>21</v>
      </c>
    </row>
    <row r="2333" spans="2:6" x14ac:dyDescent="0.2">
      <c r="B2333" t="s">
        <v>7996</v>
      </c>
      <c r="C2333" t="s">
        <v>7997</v>
      </c>
      <c r="D2333">
        <v>7</v>
      </c>
      <c r="E2333" t="s">
        <v>4709</v>
      </c>
      <c r="F2333">
        <v>10</v>
      </c>
    </row>
    <row r="2334" spans="2:6" x14ac:dyDescent="0.2">
      <c r="B2334" t="s">
        <v>7998</v>
      </c>
      <c r="C2334" t="s">
        <v>7999</v>
      </c>
      <c r="D2334">
        <v>7</v>
      </c>
      <c r="E2334" t="s">
        <v>2788</v>
      </c>
      <c r="F2334">
        <v>1</v>
      </c>
    </row>
    <row r="2335" spans="2:6" x14ac:dyDescent="0.2">
      <c r="B2335" t="s">
        <v>1025</v>
      </c>
      <c r="C2335" t="s">
        <v>8000</v>
      </c>
      <c r="D2335">
        <v>7</v>
      </c>
      <c r="E2335" t="s">
        <v>7195</v>
      </c>
      <c r="F2335">
        <v>8</v>
      </c>
    </row>
    <row r="2336" spans="2:6" x14ac:dyDescent="0.2">
      <c r="B2336" t="s">
        <v>8001</v>
      </c>
      <c r="C2336" t="s">
        <v>3186</v>
      </c>
      <c r="D2336">
        <v>7</v>
      </c>
      <c r="E2336" t="s">
        <v>8002</v>
      </c>
      <c r="F2336">
        <v>13</v>
      </c>
    </row>
    <row r="2337" spans="2:6" x14ac:dyDescent="0.2">
      <c r="B2337" t="s">
        <v>8003</v>
      </c>
      <c r="C2337" t="s">
        <v>8004</v>
      </c>
      <c r="D2337">
        <v>7</v>
      </c>
      <c r="E2337" t="s">
        <v>8005</v>
      </c>
      <c r="F2337">
        <v>62</v>
      </c>
    </row>
    <row r="2338" spans="2:6" x14ac:dyDescent="0.2">
      <c r="B2338" t="s">
        <v>8006</v>
      </c>
      <c r="C2338" t="s">
        <v>8007</v>
      </c>
      <c r="D2338">
        <v>7</v>
      </c>
      <c r="E2338" t="s">
        <v>5174</v>
      </c>
      <c r="F2338">
        <v>1</v>
      </c>
    </row>
    <row r="2339" spans="2:6" x14ac:dyDescent="0.2">
      <c r="B2339" t="s">
        <v>8008</v>
      </c>
      <c r="C2339" t="s">
        <v>8009</v>
      </c>
      <c r="D2339">
        <v>7</v>
      </c>
      <c r="E2339" t="s">
        <v>8010</v>
      </c>
      <c r="F2339">
        <v>4</v>
      </c>
    </row>
    <row r="2340" spans="2:6" x14ac:dyDescent="0.2">
      <c r="B2340" t="s">
        <v>8011</v>
      </c>
      <c r="C2340" t="s">
        <v>8012</v>
      </c>
      <c r="D2340">
        <v>7</v>
      </c>
      <c r="E2340" t="s">
        <v>2915</v>
      </c>
      <c r="F2340">
        <v>1</v>
      </c>
    </row>
    <row r="2341" spans="2:6" x14ac:dyDescent="0.2">
      <c r="B2341" t="s">
        <v>8013</v>
      </c>
      <c r="C2341" t="s">
        <v>8014</v>
      </c>
      <c r="D2341">
        <v>7</v>
      </c>
      <c r="E2341" t="s">
        <v>2811</v>
      </c>
      <c r="F2341">
        <v>2</v>
      </c>
    </row>
    <row r="2342" spans="2:6" x14ac:dyDescent="0.2">
      <c r="B2342" t="s">
        <v>8015</v>
      </c>
      <c r="C2342" t="s">
        <v>8016</v>
      </c>
      <c r="D2342">
        <v>7</v>
      </c>
      <c r="E2342" t="s">
        <v>3162</v>
      </c>
      <c r="F2342">
        <v>1</v>
      </c>
    </row>
    <row r="2343" spans="2:6" x14ac:dyDescent="0.2">
      <c r="B2343" t="s">
        <v>8017</v>
      </c>
      <c r="C2343" t="s">
        <v>8018</v>
      </c>
      <c r="D2343">
        <v>7</v>
      </c>
      <c r="E2343" t="s">
        <v>2974</v>
      </c>
      <c r="F2343">
        <v>14</v>
      </c>
    </row>
    <row r="2344" spans="2:6" x14ac:dyDescent="0.2">
      <c r="B2344" t="s">
        <v>1020</v>
      </c>
      <c r="C2344" t="s">
        <v>8019</v>
      </c>
      <c r="D2344">
        <v>7</v>
      </c>
      <c r="E2344" t="s">
        <v>8020</v>
      </c>
      <c r="F2344">
        <v>4</v>
      </c>
    </row>
    <row r="2345" spans="2:6" x14ac:dyDescent="0.2">
      <c r="B2345" t="s">
        <v>8021</v>
      </c>
      <c r="C2345" t="s">
        <v>8022</v>
      </c>
      <c r="D2345">
        <v>7</v>
      </c>
      <c r="E2345" t="s">
        <v>3713</v>
      </c>
      <c r="F2345">
        <v>2</v>
      </c>
    </row>
    <row r="2346" spans="2:6" x14ac:dyDescent="0.2">
      <c r="B2346" t="s">
        <v>8023</v>
      </c>
      <c r="C2346" t="s">
        <v>8024</v>
      </c>
      <c r="D2346">
        <v>7</v>
      </c>
      <c r="E2346" t="s">
        <v>8025</v>
      </c>
      <c r="F2346">
        <v>1</v>
      </c>
    </row>
    <row r="2347" spans="2:6" x14ac:dyDescent="0.2">
      <c r="B2347" t="s">
        <v>8026</v>
      </c>
      <c r="C2347" t="s">
        <v>8027</v>
      </c>
      <c r="D2347">
        <v>7</v>
      </c>
      <c r="E2347" t="s">
        <v>8028</v>
      </c>
      <c r="F2347">
        <v>1</v>
      </c>
    </row>
    <row r="2348" spans="2:6" x14ac:dyDescent="0.2">
      <c r="B2348" t="s">
        <v>8029</v>
      </c>
      <c r="C2348" t="s">
        <v>8030</v>
      </c>
      <c r="D2348">
        <v>7</v>
      </c>
      <c r="E2348" t="s">
        <v>2785</v>
      </c>
      <c r="F2348">
        <v>2</v>
      </c>
    </row>
    <row r="2349" spans="2:6" x14ac:dyDescent="0.2">
      <c r="B2349" t="s">
        <v>8031</v>
      </c>
      <c r="C2349" t="s">
        <v>8032</v>
      </c>
      <c r="D2349">
        <v>7</v>
      </c>
      <c r="E2349" t="s">
        <v>8033</v>
      </c>
      <c r="F2349">
        <v>2</v>
      </c>
    </row>
    <row r="2350" spans="2:6" x14ac:dyDescent="0.2">
      <c r="B2350" t="s">
        <v>8034</v>
      </c>
      <c r="C2350" t="s">
        <v>8035</v>
      </c>
      <c r="D2350">
        <v>7</v>
      </c>
      <c r="E2350" t="s">
        <v>3281</v>
      </c>
      <c r="F2350">
        <v>8</v>
      </c>
    </row>
    <row r="2351" spans="2:6" x14ac:dyDescent="0.2">
      <c r="B2351" t="s">
        <v>8036</v>
      </c>
      <c r="C2351" t="s">
        <v>8037</v>
      </c>
      <c r="D2351">
        <v>7</v>
      </c>
      <c r="E2351" t="s">
        <v>8038</v>
      </c>
      <c r="F2351">
        <v>3</v>
      </c>
    </row>
    <row r="2352" spans="2:6" x14ac:dyDescent="0.2">
      <c r="B2352" t="s">
        <v>8039</v>
      </c>
      <c r="C2352" t="s">
        <v>8040</v>
      </c>
      <c r="D2352">
        <v>7</v>
      </c>
      <c r="E2352" t="s">
        <v>5812</v>
      </c>
      <c r="F2352">
        <v>2</v>
      </c>
    </row>
    <row r="2353" spans="2:6" x14ac:dyDescent="0.2">
      <c r="B2353" t="s">
        <v>8041</v>
      </c>
      <c r="C2353" t="s">
        <v>8042</v>
      </c>
      <c r="D2353">
        <v>7</v>
      </c>
      <c r="E2353" t="s">
        <v>8043</v>
      </c>
      <c r="F2353">
        <v>16</v>
      </c>
    </row>
    <row r="2354" spans="2:6" x14ac:dyDescent="0.2">
      <c r="B2354" t="s">
        <v>8044</v>
      </c>
      <c r="C2354" t="s">
        <v>8045</v>
      </c>
      <c r="D2354">
        <v>7</v>
      </c>
      <c r="E2354" t="s">
        <v>8046</v>
      </c>
      <c r="F2354">
        <v>3</v>
      </c>
    </row>
    <row r="2355" spans="2:6" x14ac:dyDescent="0.2">
      <c r="B2355" t="s">
        <v>893</v>
      </c>
      <c r="C2355" t="s">
        <v>8047</v>
      </c>
      <c r="D2355">
        <v>7</v>
      </c>
      <c r="E2355" t="s">
        <v>3814</v>
      </c>
      <c r="F2355">
        <v>4</v>
      </c>
    </row>
    <row r="2356" spans="2:6" x14ac:dyDescent="0.2">
      <c r="B2356" t="s">
        <v>8048</v>
      </c>
      <c r="C2356" t="s">
        <v>8049</v>
      </c>
      <c r="D2356">
        <v>7</v>
      </c>
      <c r="E2356" t="s">
        <v>8050</v>
      </c>
      <c r="F2356">
        <v>1</v>
      </c>
    </row>
    <row r="2357" spans="2:6" x14ac:dyDescent="0.2">
      <c r="B2357" t="s">
        <v>8051</v>
      </c>
      <c r="C2357" t="s">
        <v>8052</v>
      </c>
      <c r="D2357">
        <v>7</v>
      </c>
      <c r="E2357" t="s">
        <v>3053</v>
      </c>
      <c r="F2357">
        <v>1</v>
      </c>
    </row>
    <row r="2358" spans="2:6" x14ac:dyDescent="0.2">
      <c r="B2358" t="s">
        <v>8053</v>
      </c>
      <c r="C2358" t="s">
        <v>8054</v>
      </c>
      <c r="D2358">
        <v>7</v>
      </c>
      <c r="E2358" t="s">
        <v>4273</v>
      </c>
      <c r="F2358">
        <v>1</v>
      </c>
    </row>
    <row r="2359" spans="2:6" x14ac:dyDescent="0.2">
      <c r="B2359" t="s">
        <v>8055</v>
      </c>
      <c r="C2359" t="s">
        <v>8056</v>
      </c>
      <c r="D2359">
        <v>7</v>
      </c>
      <c r="E2359" t="s">
        <v>2915</v>
      </c>
      <c r="F2359">
        <v>2</v>
      </c>
    </row>
    <row r="2360" spans="2:6" x14ac:dyDescent="0.2">
      <c r="B2360" t="s">
        <v>8057</v>
      </c>
      <c r="C2360" t="s">
        <v>8058</v>
      </c>
      <c r="D2360">
        <v>7</v>
      </c>
      <c r="E2360" t="s">
        <v>8059</v>
      </c>
      <c r="F2360">
        <v>9</v>
      </c>
    </row>
    <row r="2361" spans="2:6" x14ac:dyDescent="0.2">
      <c r="B2361" t="s">
        <v>8060</v>
      </c>
      <c r="C2361" t="s">
        <v>8061</v>
      </c>
      <c r="D2361">
        <v>7</v>
      </c>
      <c r="E2361" t="s">
        <v>5020</v>
      </c>
      <c r="F2361">
        <v>4</v>
      </c>
    </row>
    <row r="2362" spans="2:6" x14ac:dyDescent="0.2">
      <c r="B2362" t="s">
        <v>8062</v>
      </c>
      <c r="C2362" t="s">
        <v>8063</v>
      </c>
      <c r="D2362">
        <v>7</v>
      </c>
      <c r="E2362" t="s">
        <v>3084</v>
      </c>
      <c r="F2362">
        <v>1</v>
      </c>
    </row>
    <row r="2363" spans="2:6" x14ac:dyDescent="0.2">
      <c r="B2363" t="s">
        <v>8064</v>
      </c>
      <c r="C2363" t="s">
        <v>8065</v>
      </c>
      <c r="D2363">
        <v>7</v>
      </c>
      <c r="E2363" t="s">
        <v>7831</v>
      </c>
      <c r="F2363">
        <v>1</v>
      </c>
    </row>
    <row r="2364" spans="2:6" x14ac:dyDescent="0.2">
      <c r="B2364" t="s">
        <v>8066</v>
      </c>
      <c r="C2364" t="s">
        <v>8067</v>
      </c>
      <c r="D2364">
        <v>7</v>
      </c>
      <c r="E2364" t="s">
        <v>3957</v>
      </c>
      <c r="F2364">
        <v>1</v>
      </c>
    </row>
    <row r="2365" spans="2:6" x14ac:dyDescent="0.2">
      <c r="B2365" t="s">
        <v>8068</v>
      </c>
      <c r="C2365" t="s">
        <v>8069</v>
      </c>
      <c r="D2365">
        <v>7</v>
      </c>
      <c r="E2365" t="s">
        <v>3213</v>
      </c>
      <c r="F2365">
        <v>1</v>
      </c>
    </row>
    <row r="2366" spans="2:6" x14ac:dyDescent="0.2">
      <c r="B2366" t="s">
        <v>8070</v>
      </c>
      <c r="C2366" t="s">
        <v>8071</v>
      </c>
      <c r="D2366">
        <v>7</v>
      </c>
      <c r="E2366" t="s">
        <v>4081</v>
      </c>
      <c r="F2366">
        <v>2</v>
      </c>
    </row>
    <row r="2367" spans="2:6" x14ac:dyDescent="0.2">
      <c r="B2367" t="s">
        <v>8072</v>
      </c>
      <c r="C2367" t="s">
        <v>8073</v>
      </c>
      <c r="D2367">
        <v>7</v>
      </c>
      <c r="E2367" t="s">
        <v>8074</v>
      </c>
      <c r="F2367">
        <v>1</v>
      </c>
    </row>
    <row r="2368" spans="2:6" x14ac:dyDescent="0.2">
      <c r="B2368" t="s">
        <v>8075</v>
      </c>
      <c r="C2368" t="s">
        <v>6988</v>
      </c>
      <c r="D2368">
        <v>7</v>
      </c>
      <c r="E2368" t="s">
        <v>7486</v>
      </c>
      <c r="F2368">
        <v>4</v>
      </c>
    </row>
    <row r="2369" spans="2:6" x14ac:dyDescent="0.2">
      <c r="B2369" t="s">
        <v>8076</v>
      </c>
      <c r="C2369" t="s">
        <v>8077</v>
      </c>
      <c r="D2369">
        <v>7</v>
      </c>
      <c r="E2369" t="s">
        <v>3031</v>
      </c>
      <c r="F2369">
        <v>7</v>
      </c>
    </row>
    <row r="2370" spans="2:6" x14ac:dyDescent="0.2">
      <c r="B2370" t="s">
        <v>8078</v>
      </c>
      <c r="C2370" t="s">
        <v>8079</v>
      </c>
      <c r="D2370">
        <v>7</v>
      </c>
      <c r="E2370" t="s">
        <v>3304</v>
      </c>
      <c r="F2370">
        <v>2</v>
      </c>
    </row>
    <row r="2371" spans="2:6" x14ac:dyDescent="0.2">
      <c r="B2371" t="s">
        <v>917</v>
      </c>
      <c r="C2371" t="s">
        <v>8080</v>
      </c>
      <c r="D2371">
        <v>7</v>
      </c>
      <c r="E2371" t="s">
        <v>8081</v>
      </c>
      <c r="F2371">
        <v>4</v>
      </c>
    </row>
    <row r="2372" spans="2:6" x14ac:dyDescent="0.2">
      <c r="B2372" t="s">
        <v>8082</v>
      </c>
      <c r="C2372" t="s">
        <v>8083</v>
      </c>
      <c r="D2372">
        <v>7</v>
      </c>
      <c r="E2372" t="s">
        <v>2811</v>
      </c>
      <c r="F2372">
        <v>1</v>
      </c>
    </row>
    <row r="2373" spans="2:6" x14ac:dyDescent="0.2">
      <c r="B2373" t="s">
        <v>8084</v>
      </c>
      <c r="C2373" t="s">
        <v>8085</v>
      </c>
      <c r="D2373">
        <v>7</v>
      </c>
      <c r="E2373" t="s">
        <v>3081</v>
      </c>
      <c r="F2373">
        <v>1</v>
      </c>
    </row>
    <row r="2374" spans="2:6" x14ac:dyDescent="0.2">
      <c r="B2374" t="s">
        <v>8086</v>
      </c>
      <c r="C2374" t="s">
        <v>8087</v>
      </c>
      <c r="D2374">
        <v>7</v>
      </c>
      <c r="E2374" t="s">
        <v>2811</v>
      </c>
      <c r="F2374">
        <v>1</v>
      </c>
    </row>
    <row r="2375" spans="2:6" x14ac:dyDescent="0.2">
      <c r="B2375" t="s">
        <v>8088</v>
      </c>
      <c r="C2375" t="s">
        <v>8089</v>
      </c>
      <c r="D2375">
        <v>7</v>
      </c>
      <c r="E2375" t="s">
        <v>2842</v>
      </c>
      <c r="F2375">
        <v>1</v>
      </c>
    </row>
    <row r="2376" spans="2:6" x14ac:dyDescent="0.2">
      <c r="B2376" t="s">
        <v>8090</v>
      </c>
      <c r="C2376" t="s">
        <v>8091</v>
      </c>
      <c r="D2376">
        <v>7</v>
      </c>
      <c r="E2376" t="s">
        <v>3455</v>
      </c>
      <c r="F2376">
        <v>1</v>
      </c>
    </row>
    <row r="2377" spans="2:6" x14ac:dyDescent="0.2">
      <c r="B2377" t="s">
        <v>8092</v>
      </c>
      <c r="C2377" t="s">
        <v>8093</v>
      </c>
      <c r="D2377">
        <v>7</v>
      </c>
      <c r="E2377" t="s">
        <v>3031</v>
      </c>
      <c r="F2377">
        <v>4</v>
      </c>
    </row>
    <row r="2378" spans="2:6" x14ac:dyDescent="0.2">
      <c r="B2378" t="s">
        <v>8094</v>
      </c>
      <c r="C2378" t="s">
        <v>8095</v>
      </c>
      <c r="D2378">
        <v>7</v>
      </c>
      <c r="E2378" t="s">
        <v>3402</v>
      </c>
      <c r="F2378">
        <v>1</v>
      </c>
    </row>
    <row r="2379" spans="2:6" x14ac:dyDescent="0.2">
      <c r="B2379" t="s">
        <v>8096</v>
      </c>
      <c r="C2379" t="s">
        <v>8097</v>
      </c>
      <c r="D2379">
        <v>7</v>
      </c>
      <c r="E2379" t="s">
        <v>8098</v>
      </c>
      <c r="F2379">
        <v>3</v>
      </c>
    </row>
    <row r="2380" spans="2:6" x14ac:dyDescent="0.2">
      <c r="B2380" t="s">
        <v>8099</v>
      </c>
      <c r="C2380" t="s">
        <v>8100</v>
      </c>
      <c r="D2380">
        <v>7</v>
      </c>
      <c r="E2380" t="s">
        <v>8101</v>
      </c>
      <c r="F2380">
        <v>6</v>
      </c>
    </row>
    <row r="2381" spans="2:6" x14ac:dyDescent="0.2">
      <c r="B2381" t="s">
        <v>8102</v>
      </c>
      <c r="C2381" t="s">
        <v>8103</v>
      </c>
      <c r="D2381">
        <v>7</v>
      </c>
      <c r="E2381" t="s">
        <v>3235</v>
      </c>
      <c r="F2381">
        <v>1</v>
      </c>
    </row>
    <row r="2382" spans="2:6" x14ac:dyDescent="0.2">
      <c r="B2382" t="s">
        <v>8104</v>
      </c>
      <c r="C2382" t="s">
        <v>8105</v>
      </c>
      <c r="D2382">
        <v>7</v>
      </c>
      <c r="E2382" t="s">
        <v>8106</v>
      </c>
      <c r="F2382">
        <v>1</v>
      </c>
    </row>
    <row r="2383" spans="2:6" x14ac:dyDescent="0.2">
      <c r="B2383" t="s">
        <v>8107</v>
      </c>
      <c r="C2383" t="s">
        <v>8108</v>
      </c>
      <c r="D2383">
        <v>7</v>
      </c>
      <c r="E2383" t="s">
        <v>4793</v>
      </c>
      <c r="F2383">
        <v>2</v>
      </c>
    </row>
    <row r="2384" spans="2:6" x14ac:dyDescent="0.2">
      <c r="B2384" t="s">
        <v>8109</v>
      </c>
      <c r="C2384" t="s">
        <v>8110</v>
      </c>
      <c r="D2384">
        <v>7</v>
      </c>
      <c r="E2384" t="s">
        <v>3466</v>
      </c>
      <c r="F2384">
        <v>1</v>
      </c>
    </row>
    <row r="2385" spans="2:6" x14ac:dyDescent="0.2">
      <c r="B2385" t="s">
        <v>8111</v>
      </c>
      <c r="C2385" t="s">
        <v>8112</v>
      </c>
      <c r="D2385">
        <v>7</v>
      </c>
      <c r="E2385" t="s">
        <v>3495</v>
      </c>
      <c r="F2385">
        <v>2</v>
      </c>
    </row>
    <row r="2386" spans="2:6" x14ac:dyDescent="0.2">
      <c r="B2386" t="s">
        <v>8113</v>
      </c>
      <c r="C2386" t="s">
        <v>8114</v>
      </c>
      <c r="D2386">
        <v>7</v>
      </c>
      <c r="E2386" t="s">
        <v>3957</v>
      </c>
      <c r="F2386">
        <v>1</v>
      </c>
    </row>
    <row r="2387" spans="2:6" x14ac:dyDescent="0.2">
      <c r="B2387" t="s">
        <v>8115</v>
      </c>
      <c r="C2387" t="s">
        <v>8116</v>
      </c>
      <c r="D2387">
        <v>7</v>
      </c>
      <c r="E2387" t="s">
        <v>3532</v>
      </c>
      <c r="F2387">
        <v>2</v>
      </c>
    </row>
    <row r="2388" spans="2:6" x14ac:dyDescent="0.2">
      <c r="B2388" t="s">
        <v>8117</v>
      </c>
      <c r="C2388" t="s">
        <v>8118</v>
      </c>
      <c r="D2388">
        <v>7</v>
      </c>
      <c r="E2388" t="s">
        <v>8119</v>
      </c>
      <c r="F2388">
        <v>1</v>
      </c>
    </row>
    <row r="2389" spans="2:6" x14ac:dyDescent="0.2">
      <c r="B2389" t="s">
        <v>8120</v>
      </c>
      <c r="C2389" t="s">
        <v>8121</v>
      </c>
      <c r="D2389">
        <v>7</v>
      </c>
      <c r="E2389" t="s">
        <v>3230</v>
      </c>
      <c r="F2389">
        <v>2</v>
      </c>
    </row>
    <row r="2390" spans="2:6" x14ac:dyDescent="0.2">
      <c r="B2390" t="s">
        <v>8122</v>
      </c>
      <c r="C2390" t="s">
        <v>8123</v>
      </c>
      <c r="D2390">
        <v>7</v>
      </c>
      <c r="E2390" t="s">
        <v>8124</v>
      </c>
      <c r="F2390">
        <v>6</v>
      </c>
    </row>
    <row r="2391" spans="2:6" x14ac:dyDescent="0.2">
      <c r="B2391" t="s">
        <v>381</v>
      </c>
      <c r="C2391" t="s">
        <v>8125</v>
      </c>
      <c r="D2391">
        <v>7</v>
      </c>
      <c r="E2391" t="s">
        <v>3089</v>
      </c>
      <c r="F2391">
        <v>46</v>
      </c>
    </row>
    <row r="2392" spans="2:6" x14ac:dyDescent="0.2">
      <c r="B2392" t="s">
        <v>8126</v>
      </c>
      <c r="C2392" t="s">
        <v>8127</v>
      </c>
      <c r="D2392">
        <v>7</v>
      </c>
      <c r="E2392" t="s">
        <v>8128</v>
      </c>
      <c r="F2392">
        <v>1</v>
      </c>
    </row>
    <row r="2393" spans="2:6" x14ac:dyDescent="0.2">
      <c r="B2393" t="s">
        <v>426</v>
      </c>
      <c r="C2393" t="s">
        <v>8129</v>
      </c>
      <c r="D2393">
        <v>7</v>
      </c>
      <c r="E2393" t="s">
        <v>8130</v>
      </c>
      <c r="F2393">
        <v>9</v>
      </c>
    </row>
    <row r="2394" spans="2:6" x14ac:dyDescent="0.2">
      <c r="B2394" t="s">
        <v>8131</v>
      </c>
      <c r="C2394" t="s">
        <v>8132</v>
      </c>
      <c r="D2394">
        <v>7</v>
      </c>
      <c r="E2394" t="s">
        <v>8133</v>
      </c>
      <c r="F2394">
        <v>2</v>
      </c>
    </row>
    <row r="2395" spans="2:6" x14ac:dyDescent="0.2">
      <c r="B2395" t="s">
        <v>8134</v>
      </c>
      <c r="C2395" t="s">
        <v>8135</v>
      </c>
      <c r="D2395">
        <v>7</v>
      </c>
      <c r="E2395" t="s">
        <v>8136</v>
      </c>
      <c r="F2395">
        <v>10</v>
      </c>
    </row>
    <row r="2396" spans="2:6" x14ac:dyDescent="0.2">
      <c r="B2396" t="s">
        <v>8137</v>
      </c>
      <c r="C2396" t="s">
        <v>8138</v>
      </c>
      <c r="D2396">
        <v>7</v>
      </c>
      <c r="E2396" t="s">
        <v>2857</v>
      </c>
      <c r="F2396">
        <v>2</v>
      </c>
    </row>
    <row r="2397" spans="2:6" x14ac:dyDescent="0.2">
      <c r="B2397" t="s">
        <v>8139</v>
      </c>
      <c r="C2397" t="s">
        <v>8140</v>
      </c>
      <c r="D2397">
        <v>7</v>
      </c>
      <c r="E2397" t="s">
        <v>5412</v>
      </c>
      <c r="F2397">
        <v>22</v>
      </c>
    </row>
    <row r="2398" spans="2:6" x14ac:dyDescent="0.2">
      <c r="B2398" t="s">
        <v>8141</v>
      </c>
      <c r="C2398" t="s">
        <v>8142</v>
      </c>
      <c r="D2398">
        <v>7</v>
      </c>
      <c r="E2398" t="s">
        <v>2941</v>
      </c>
      <c r="F2398">
        <v>1</v>
      </c>
    </row>
    <row r="2399" spans="2:6" x14ac:dyDescent="0.2">
      <c r="B2399" t="s">
        <v>8143</v>
      </c>
      <c r="C2399" t="s">
        <v>8144</v>
      </c>
      <c r="D2399">
        <v>7</v>
      </c>
      <c r="E2399" t="s">
        <v>3820</v>
      </c>
      <c r="F2399">
        <v>2</v>
      </c>
    </row>
    <row r="2400" spans="2:6" x14ac:dyDescent="0.2">
      <c r="B2400" t="s">
        <v>1572</v>
      </c>
      <c r="C2400" t="s">
        <v>8145</v>
      </c>
      <c r="D2400">
        <v>7</v>
      </c>
      <c r="E2400" t="s">
        <v>6268</v>
      </c>
      <c r="F2400">
        <v>2</v>
      </c>
    </row>
    <row r="2401" spans="2:6" x14ac:dyDescent="0.2">
      <c r="B2401" t="s">
        <v>8146</v>
      </c>
      <c r="C2401" t="s">
        <v>8147</v>
      </c>
      <c r="D2401">
        <v>7</v>
      </c>
      <c r="E2401" t="s">
        <v>8148</v>
      </c>
      <c r="F2401">
        <v>17</v>
      </c>
    </row>
    <row r="2402" spans="2:6" x14ac:dyDescent="0.2">
      <c r="B2402" t="s">
        <v>8149</v>
      </c>
      <c r="C2402" t="s">
        <v>8150</v>
      </c>
      <c r="D2402">
        <v>7</v>
      </c>
      <c r="E2402" t="s">
        <v>8151</v>
      </c>
      <c r="F2402">
        <v>1</v>
      </c>
    </row>
    <row r="2403" spans="2:6" x14ac:dyDescent="0.2">
      <c r="B2403" t="s">
        <v>8152</v>
      </c>
      <c r="C2403" t="s">
        <v>8153</v>
      </c>
      <c r="D2403">
        <v>7</v>
      </c>
      <c r="E2403" t="s">
        <v>2839</v>
      </c>
      <c r="F2403">
        <v>1</v>
      </c>
    </row>
    <row r="2404" spans="2:6" x14ac:dyDescent="0.2">
      <c r="B2404" t="s">
        <v>750</v>
      </c>
      <c r="C2404" t="s">
        <v>8154</v>
      </c>
      <c r="D2404">
        <v>7</v>
      </c>
      <c r="E2404" t="s">
        <v>8155</v>
      </c>
      <c r="F2404">
        <v>7</v>
      </c>
    </row>
    <row r="2405" spans="2:6" x14ac:dyDescent="0.2">
      <c r="B2405" t="s">
        <v>8156</v>
      </c>
      <c r="C2405" t="s">
        <v>8157</v>
      </c>
      <c r="D2405">
        <v>7</v>
      </c>
      <c r="E2405" t="s">
        <v>3081</v>
      </c>
      <c r="F2405">
        <v>1</v>
      </c>
    </row>
    <row r="2406" spans="2:6" x14ac:dyDescent="0.2">
      <c r="B2406" t="s">
        <v>8158</v>
      </c>
      <c r="C2406" t="s">
        <v>8159</v>
      </c>
      <c r="D2406">
        <v>7</v>
      </c>
      <c r="E2406" t="s">
        <v>2892</v>
      </c>
      <c r="F2406">
        <v>1</v>
      </c>
    </row>
    <row r="2407" spans="2:6" x14ac:dyDescent="0.2">
      <c r="B2407" t="s">
        <v>8160</v>
      </c>
      <c r="C2407" t="s">
        <v>8161</v>
      </c>
      <c r="D2407">
        <v>7</v>
      </c>
      <c r="E2407" t="s">
        <v>3839</v>
      </c>
      <c r="F2407">
        <v>2</v>
      </c>
    </row>
    <row r="2408" spans="2:6" x14ac:dyDescent="0.2">
      <c r="B2408" t="s">
        <v>8162</v>
      </c>
      <c r="C2408" t="s">
        <v>8163</v>
      </c>
      <c r="D2408">
        <v>7</v>
      </c>
      <c r="E2408" t="s">
        <v>3084</v>
      </c>
      <c r="F2408">
        <v>4</v>
      </c>
    </row>
    <row r="2409" spans="2:6" x14ac:dyDescent="0.2">
      <c r="B2409" t="s">
        <v>8164</v>
      </c>
      <c r="C2409" t="s">
        <v>8165</v>
      </c>
      <c r="D2409">
        <v>7</v>
      </c>
      <c r="E2409" t="s">
        <v>2915</v>
      </c>
      <c r="F2409">
        <v>1</v>
      </c>
    </row>
    <row r="2410" spans="2:6" x14ac:dyDescent="0.2">
      <c r="B2410" t="s">
        <v>8166</v>
      </c>
      <c r="C2410" t="s">
        <v>8167</v>
      </c>
      <c r="D2410">
        <v>7</v>
      </c>
      <c r="E2410" t="s">
        <v>8168</v>
      </c>
      <c r="F2410">
        <v>5</v>
      </c>
    </row>
    <row r="2411" spans="2:6" x14ac:dyDescent="0.2">
      <c r="B2411" t="s">
        <v>8169</v>
      </c>
      <c r="C2411" t="s">
        <v>8170</v>
      </c>
      <c r="D2411">
        <v>7</v>
      </c>
      <c r="E2411" t="s">
        <v>3001</v>
      </c>
      <c r="F2411">
        <v>4</v>
      </c>
    </row>
    <row r="2412" spans="2:6" x14ac:dyDescent="0.2">
      <c r="B2412" t="s">
        <v>8171</v>
      </c>
      <c r="C2412" t="s">
        <v>8172</v>
      </c>
      <c r="D2412">
        <v>7</v>
      </c>
      <c r="E2412" t="s">
        <v>3686</v>
      </c>
      <c r="F2412">
        <v>1</v>
      </c>
    </row>
    <row r="2413" spans="2:6" x14ac:dyDescent="0.2">
      <c r="B2413" t="s">
        <v>8173</v>
      </c>
      <c r="C2413" t="s">
        <v>8174</v>
      </c>
      <c r="D2413">
        <v>7</v>
      </c>
      <c r="E2413" t="s">
        <v>2974</v>
      </c>
      <c r="F2413">
        <v>2</v>
      </c>
    </row>
    <row r="2414" spans="2:6" x14ac:dyDescent="0.2">
      <c r="B2414" t="s">
        <v>8175</v>
      </c>
      <c r="C2414" t="s">
        <v>8176</v>
      </c>
      <c r="D2414">
        <v>7</v>
      </c>
      <c r="E2414" t="s">
        <v>2974</v>
      </c>
      <c r="F2414">
        <v>2</v>
      </c>
    </row>
    <row r="2415" spans="2:6" x14ac:dyDescent="0.2">
      <c r="B2415" t="s">
        <v>8177</v>
      </c>
      <c r="C2415" t="s">
        <v>8178</v>
      </c>
      <c r="D2415">
        <v>7</v>
      </c>
      <c r="E2415" t="s">
        <v>8179</v>
      </c>
      <c r="F2415">
        <v>6</v>
      </c>
    </row>
    <row r="2416" spans="2:6" x14ac:dyDescent="0.2">
      <c r="B2416" t="s">
        <v>8180</v>
      </c>
      <c r="C2416" t="s">
        <v>8181</v>
      </c>
      <c r="D2416">
        <v>7</v>
      </c>
      <c r="E2416" t="s">
        <v>3402</v>
      </c>
      <c r="F2416">
        <v>2</v>
      </c>
    </row>
    <row r="2417" spans="2:6" x14ac:dyDescent="0.2">
      <c r="B2417" t="s">
        <v>8182</v>
      </c>
      <c r="C2417" t="s">
        <v>8183</v>
      </c>
      <c r="D2417">
        <v>7</v>
      </c>
      <c r="E2417" t="s">
        <v>8184</v>
      </c>
      <c r="F2417">
        <v>1</v>
      </c>
    </row>
    <row r="2418" spans="2:6" x14ac:dyDescent="0.2">
      <c r="B2418" t="s">
        <v>183</v>
      </c>
      <c r="C2418" t="s">
        <v>8185</v>
      </c>
      <c r="D2418">
        <v>7</v>
      </c>
      <c r="E2418" t="s">
        <v>2935</v>
      </c>
      <c r="F2418">
        <v>1</v>
      </c>
    </row>
    <row r="2419" spans="2:6" x14ac:dyDescent="0.2">
      <c r="B2419" t="s">
        <v>8186</v>
      </c>
      <c r="C2419" t="s">
        <v>8187</v>
      </c>
      <c r="D2419">
        <v>7</v>
      </c>
      <c r="E2419" t="s">
        <v>2811</v>
      </c>
      <c r="F2419">
        <v>1</v>
      </c>
    </row>
    <row r="2420" spans="2:6" x14ac:dyDescent="0.2">
      <c r="B2420" t="s">
        <v>8188</v>
      </c>
      <c r="C2420" t="s">
        <v>8189</v>
      </c>
      <c r="D2420">
        <v>7</v>
      </c>
      <c r="E2420" t="s">
        <v>2830</v>
      </c>
      <c r="F2420">
        <v>1</v>
      </c>
    </row>
    <row r="2421" spans="2:6" x14ac:dyDescent="0.2">
      <c r="B2421" t="s">
        <v>1462</v>
      </c>
      <c r="C2421" t="s">
        <v>8190</v>
      </c>
      <c r="D2421">
        <v>7</v>
      </c>
      <c r="E2421" t="s">
        <v>2788</v>
      </c>
      <c r="F2421">
        <v>1</v>
      </c>
    </row>
    <row r="2422" spans="2:6" x14ac:dyDescent="0.2">
      <c r="B2422" t="s">
        <v>8191</v>
      </c>
      <c r="C2422" t="s">
        <v>8192</v>
      </c>
      <c r="D2422">
        <v>7</v>
      </c>
      <c r="E2422" t="s">
        <v>4125</v>
      </c>
      <c r="F2422">
        <v>1</v>
      </c>
    </row>
    <row r="2423" spans="2:6" x14ac:dyDescent="0.2">
      <c r="B2423" t="s">
        <v>8193</v>
      </c>
      <c r="C2423" t="s">
        <v>8194</v>
      </c>
      <c r="D2423">
        <v>7</v>
      </c>
      <c r="E2423" t="s">
        <v>3162</v>
      </c>
      <c r="F2423">
        <v>4</v>
      </c>
    </row>
    <row r="2424" spans="2:6" x14ac:dyDescent="0.2">
      <c r="B2424" t="s">
        <v>8195</v>
      </c>
      <c r="C2424" t="s">
        <v>8196</v>
      </c>
      <c r="D2424">
        <v>7</v>
      </c>
      <c r="E2424" t="s">
        <v>8197</v>
      </c>
      <c r="F2424">
        <v>2</v>
      </c>
    </row>
    <row r="2425" spans="2:6" x14ac:dyDescent="0.2">
      <c r="B2425" t="s">
        <v>8198</v>
      </c>
      <c r="C2425" t="s">
        <v>8199</v>
      </c>
      <c r="D2425">
        <v>7</v>
      </c>
      <c r="E2425" t="s">
        <v>2958</v>
      </c>
      <c r="F2425">
        <v>2</v>
      </c>
    </row>
    <row r="2426" spans="2:6" x14ac:dyDescent="0.2">
      <c r="B2426" t="s">
        <v>8200</v>
      </c>
      <c r="C2426" t="s">
        <v>8201</v>
      </c>
      <c r="D2426">
        <v>7</v>
      </c>
      <c r="E2426" t="s">
        <v>3586</v>
      </c>
      <c r="F2426">
        <v>15</v>
      </c>
    </row>
    <row r="2427" spans="2:6" x14ac:dyDescent="0.2">
      <c r="B2427" t="s">
        <v>8202</v>
      </c>
      <c r="C2427" t="s">
        <v>8203</v>
      </c>
      <c r="D2427">
        <v>7</v>
      </c>
      <c r="E2427" t="s">
        <v>4879</v>
      </c>
      <c r="F2427">
        <v>1</v>
      </c>
    </row>
    <row r="2428" spans="2:6" x14ac:dyDescent="0.2">
      <c r="B2428" t="s">
        <v>8204</v>
      </c>
      <c r="C2428" t="s">
        <v>8205</v>
      </c>
      <c r="D2428">
        <v>7</v>
      </c>
      <c r="E2428" t="s">
        <v>8206</v>
      </c>
      <c r="F2428">
        <v>1</v>
      </c>
    </row>
    <row r="2429" spans="2:6" x14ac:dyDescent="0.2">
      <c r="B2429" t="s">
        <v>8207</v>
      </c>
      <c r="C2429" t="s">
        <v>8208</v>
      </c>
      <c r="D2429">
        <v>7</v>
      </c>
      <c r="E2429" t="s">
        <v>2892</v>
      </c>
      <c r="F2429">
        <v>2</v>
      </c>
    </row>
    <row r="2430" spans="2:6" x14ac:dyDescent="0.2">
      <c r="B2430" t="s">
        <v>8209</v>
      </c>
      <c r="C2430" t="s">
        <v>8210</v>
      </c>
      <c r="D2430">
        <v>7</v>
      </c>
      <c r="E2430" t="s">
        <v>8211</v>
      </c>
      <c r="F2430">
        <v>1</v>
      </c>
    </row>
    <row r="2431" spans="2:6" x14ac:dyDescent="0.2">
      <c r="B2431" t="s">
        <v>955</v>
      </c>
      <c r="C2431" t="s">
        <v>8212</v>
      </c>
      <c r="D2431">
        <v>7</v>
      </c>
      <c r="E2431" t="s">
        <v>3814</v>
      </c>
      <c r="F2431">
        <v>6</v>
      </c>
    </row>
    <row r="2432" spans="2:6" x14ac:dyDescent="0.2">
      <c r="B2432" t="s">
        <v>8213</v>
      </c>
      <c r="C2432" t="s">
        <v>8214</v>
      </c>
      <c r="D2432">
        <v>7</v>
      </c>
      <c r="E2432" t="s">
        <v>8215</v>
      </c>
      <c r="F2432">
        <v>47</v>
      </c>
    </row>
    <row r="2433" spans="2:6" x14ac:dyDescent="0.2">
      <c r="B2433" t="s">
        <v>8216</v>
      </c>
      <c r="C2433" t="s">
        <v>8217</v>
      </c>
      <c r="D2433">
        <v>7</v>
      </c>
      <c r="E2433" t="s">
        <v>8218</v>
      </c>
      <c r="F2433">
        <v>3</v>
      </c>
    </row>
    <row r="2434" spans="2:6" x14ac:dyDescent="0.2">
      <c r="B2434" t="s">
        <v>8219</v>
      </c>
      <c r="C2434" t="s">
        <v>8220</v>
      </c>
      <c r="D2434">
        <v>7</v>
      </c>
      <c r="E2434" t="s">
        <v>7981</v>
      </c>
      <c r="F2434">
        <v>1</v>
      </c>
    </row>
    <row r="2435" spans="2:6" x14ac:dyDescent="0.2">
      <c r="B2435" t="s">
        <v>8221</v>
      </c>
      <c r="C2435" t="s">
        <v>8222</v>
      </c>
      <c r="D2435">
        <v>7</v>
      </c>
      <c r="E2435" t="s">
        <v>3955</v>
      </c>
      <c r="F2435">
        <v>2</v>
      </c>
    </row>
    <row r="2436" spans="2:6" x14ac:dyDescent="0.2">
      <c r="B2436" t="s">
        <v>1632</v>
      </c>
      <c r="C2436" t="s">
        <v>8223</v>
      </c>
      <c r="D2436">
        <v>7</v>
      </c>
      <c r="E2436" t="s">
        <v>2863</v>
      </c>
      <c r="F2436">
        <v>1</v>
      </c>
    </row>
    <row r="2437" spans="2:6" x14ac:dyDescent="0.2">
      <c r="B2437" t="s">
        <v>8224</v>
      </c>
      <c r="C2437" t="s">
        <v>8225</v>
      </c>
      <c r="D2437">
        <v>7</v>
      </c>
      <c r="E2437" t="s">
        <v>3759</v>
      </c>
      <c r="F2437">
        <v>2</v>
      </c>
    </row>
    <row r="2438" spans="2:6" x14ac:dyDescent="0.2">
      <c r="B2438" t="s">
        <v>8226</v>
      </c>
      <c r="C2438" t="s">
        <v>8227</v>
      </c>
      <c r="D2438">
        <v>7</v>
      </c>
      <c r="E2438" t="s">
        <v>3452</v>
      </c>
      <c r="F2438">
        <v>5</v>
      </c>
    </row>
    <row r="2439" spans="2:6" x14ac:dyDescent="0.2">
      <c r="B2439" t="s">
        <v>8228</v>
      </c>
      <c r="C2439" t="s">
        <v>5521</v>
      </c>
      <c r="D2439">
        <v>7</v>
      </c>
      <c r="E2439" t="s">
        <v>8229</v>
      </c>
      <c r="F2439">
        <v>8</v>
      </c>
    </row>
    <row r="2440" spans="2:6" x14ac:dyDescent="0.2">
      <c r="B2440" t="s">
        <v>8230</v>
      </c>
      <c r="C2440" t="s">
        <v>8231</v>
      </c>
      <c r="D2440">
        <v>7</v>
      </c>
      <c r="E2440" t="s">
        <v>3095</v>
      </c>
      <c r="F2440">
        <v>3</v>
      </c>
    </row>
    <row r="2441" spans="2:6" x14ac:dyDescent="0.2">
      <c r="B2441" t="s">
        <v>8232</v>
      </c>
      <c r="C2441" t="s">
        <v>8233</v>
      </c>
      <c r="D2441">
        <v>7</v>
      </c>
      <c r="E2441" t="s">
        <v>2941</v>
      </c>
      <c r="F2441">
        <v>1</v>
      </c>
    </row>
    <row r="2442" spans="2:6" x14ac:dyDescent="0.2">
      <c r="B2442" t="s">
        <v>8234</v>
      </c>
      <c r="C2442" t="s">
        <v>8235</v>
      </c>
      <c r="D2442">
        <v>7</v>
      </c>
      <c r="E2442" t="s">
        <v>2915</v>
      </c>
      <c r="F2442">
        <v>1</v>
      </c>
    </row>
    <row r="2443" spans="2:6" x14ac:dyDescent="0.2">
      <c r="B2443" t="s">
        <v>8236</v>
      </c>
      <c r="C2443" t="s">
        <v>4737</v>
      </c>
      <c r="D2443">
        <v>7</v>
      </c>
      <c r="E2443" t="s">
        <v>8237</v>
      </c>
      <c r="F2443">
        <v>2</v>
      </c>
    </row>
    <row r="2444" spans="2:6" x14ac:dyDescent="0.2">
      <c r="B2444" t="s">
        <v>8238</v>
      </c>
      <c r="C2444" t="s">
        <v>8239</v>
      </c>
      <c r="D2444">
        <v>7</v>
      </c>
      <c r="E2444" t="s">
        <v>2785</v>
      </c>
      <c r="F2444">
        <v>1</v>
      </c>
    </row>
    <row r="2445" spans="2:6" x14ac:dyDescent="0.2">
      <c r="B2445" t="s">
        <v>8240</v>
      </c>
      <c r="C2445" t="s">
        <v>8241</v>
      </c>
      <c r="D2445">
        <v>7</v>
      </c>
      <c r="E2445" t="s">
        <v>8242</v>
      </c>
      <c r="F2445">
        <v>1</v>
      </c>
    </row>
    <row r="2446" spans="2:6" x14ac:dyDescent="0.2">
      <c r="B2446" t="s">
        <v>1172</v>
      </c>
      <c r="C2446" t="s">
        <v>8243</v>
      </c>
      <c r="D2446">
        <v>7</v>
      </c>
      <c r="E2446" t="s">
        <v>6730</v>
      </c>
      <c r="F2446">
        <v>4</v>
      </c>
    </row>
    <row r="2447" spans="2:6" x14ac:dyDescent="0.2">
      <c r="B2447" t="s">
        <v>8244</v>
      </c>
      <c r="C2447" t="s">
        <v>8245</v>
      </c>
      <c r="D2447">
        <v>7</v>
      </c>
      <c r="E2447" t="s">
        <v>4788</v>
      </c>
      <c r="F2447">
        <v>2</v>
      </c>
    </row>
    <row r="2448" spans="2:6" x14ac:dyDescent="0.2">
      <c r="B2448" t="s">
        <v>8246</v>
      </c>
      <c r="C2448" t="s">
        <v>3903</v>
      </c>
      <c r="D2448">
        <v>7</v>
      </c>
      <c r="E2448" t="s">
        <v>8247</v>
      </c>
      <c r="F2448">
        <v>1</v>
      </c>
    </row>
    <row r="2449" spans="2:6" x14ac:dyDescent="0.2">
      <c r="B2449" t="s">
        <v>1637</v>
      </c>
      <c r="C2449" t="s">
        <v>8248</v>
      </c>
      <c r="D2449">
        <v>7</v>
      </c>
      <c r="E2449" t="s">
        <v>4222</v>
      </c>
      <c r="F2449">
        <v>7</v>
      </c>
    </row>
    <row r="2450" spans="2:6" x14ac:dyDescent="0.2">
      <c r="B2450" t="s">
        <v>8249</v>
      </c>
      <c r="C2450" t="s">
        <v>8250</v>
      </c>
      <c r="D2450">
        <v>7</v>
      </c>
      <c r="E2450" t="s">
        <v>3067</v>
      </c>
      <c r="F2450">
        <v>2</v>
      </c>
    </row>
    <row r="2451" spans="2:6" x14ac:dyDescent="0.2">
      <c r="B2451" t="s">
        <v>8251</v>
      </c>
      <c r="C2451" t="s">
        <v>8252</v>
      </c>
      <c r="D2451">
        <v>7</v>
      </c>
      <c r="E2451" t="s">
        <v>3742</v>
      </c>
      <c r="F2451">
        <v>2</v>
      </c>
    </row>
    <row r="2452" spans="2:6" x14ac:dyDescent="0.2">
      <c r="B2452" t="s">
        <v>8253</v>
      </c>
      <c r="C2452" t="s">
        <v>8254</v>
      </c>
      <c r="D2452">
        <v>7</v>
      </c>
      <c r="E2452" t="s">
        <v>3839</v>
      </c>
      <c r="F2452">
        <v>8</v>
      </c>
    </row>
    <row r="2453" spans="2:6" x14ac:dyDescent="0.2">
      <c r="B2453" t="s">
        <v>8255</v>
      </c>
      <c r="C2453" t="s">
        <v>8256</v>
      </c>
      <c r="D2453">
        <v>7</v>
      </c>
      <c r="E2453" t="s">
        <v>2785</v>
      </c>
      <c r="F2453">
        <v>1</v>
      </c>
    </row>
    <row r="2454" spans="2:6" x14ac:dyDescent="0.2">
      <c r="B2454" t="s">
        <v>8257</v>
      </c>
      <c r="C2454" t="s">
        <v>8258</v>
      </c>
      <c r="D2454">
        <v>7</v>
      </c>
      <c r="E2454" t="s">
        <v>3053</v>
      </c>
      <c r="F2454">
        <v>4</v>
      </c>
    </row>
    <row r="2455" spans="2:6" x14ac:dyDescent="0.2">
      <c r="B2455" t="s">
        <v>1649</v>
      </c>
      <c r="C2455" t="s">
        <v>8259</v>
      </c>
      <c r="D2455">
        <v>7</v>
      </c>
      <c r="E2455" t="s">
        <v>2830</v>
      </c>
      <c r="F2455">
        <v>3</v>
      </c>
    </row>
    <row r="2456" spans="2:6" x14ac:dyDescent="0.2">
      <c r="B2456" t="s">
        <v>8260</v>
      </c>
      <c r="C2456" t="s">
        <v>8261</v>
      </c>
      <c r="D2456">
        <v>7</v>
      </c>
      <c r="E2456" t="s">
        <v>3535</v>
      </c>
      <c r="F2456">
        <v>1</v>
      </c>
    </row>
    <row r="2457" spans="2:6" x14ac:dyDescent="0.2">
      <c r="B2457" t="s">
        <v>8262</v>
      </c>
      <c r="C2457" t="s">
        <v>8263</v>
      </c>
      <c r="D2457">
        <v>7</v>
      </c>
      <c r="E2457" t="s">
        <v>6918</v>
      </c>
      <c r="F2457">
        <v>1</v>
      </c>
    </row>
    <row r="2458" spans="2:6" x14ac:dyDescent="0.2">
      <c r="B2458" t="s">
        <v>8264</v>
      </c>
      <c r="C2458" t="s">
        <v>8265</v>
      </c>
      <c r="D2458">
        <v>7</v>
      </c>
      <c r="E2458" t="s">
        <v>2814</v>
      </c>
      <c r="F2458">
        <v>6</v>
      </c>
    </row>
    <row r="2459" spans="2:6" x14ac:dyDescent="0.2">
      <c r="B2459" t="s">
        <v>8266</v>
      </c>
      <c r="C2459" t="s">
        <v>8267</v>
      </c>
      <c r="D2459">
        <v>7</v>
      </c>
      <c r="E2459" t="s">
        <v>4273</v>
      </c>
      <c r="F2459">
        <v>1</v>
      </c>
    </row>
    <row r="2460" spans="2:6" x14ac:dyDescent="0.2">
      <c r="B2460" t="s">
        <v>8268</v>
      </c>
      <c r="C2460" t="s">
        <v>8269</v>
      </c>
      <c r="D2460">
        <v>7</v>
      </c>
      <c r="E2460" t="s">
        <v>8270</v>
      </c>
      <c r="F2460">
        <v>97</v>
      </c>
    </row>
    <row r="2461" spans="2:6" x14ac:dyDescent="0.2">
      <c r="B2461" t="s">
        <v>898</v>
      </c>
      <c r="C2461" t="s">
        <v>8271</v>
      </c>
      <c r="D2461">
        <v>7</v>
      </c>
      <c r="E2461" t="s">
        <v>3791</v>
      </c>
      <c r="F2461">
        <v>1</v>
      </c>
    </row>
    <row r="2462" spans="2:6" x14ac:dyDescent="0.2">
      <c r="B2462" t="s">
        <v>8272</v>
      </c>
      <c r="C2462" t="s">
        <v>8273</v>
      </c>
      <c r="D2462">
        <v>7</v>
      </c>
      <c r="E2462" t="s">
        <v>5932</v>
      </c>
      <c r="F2462">
        <v>1</v>
      </c>
    </row>
    <row r="2463" spans="2:6" x14ac:dyDescent="0.2">
      <c r="B2463" t="s">
        <v>8274</v>
      </c>
      <c r="C2463" t="s">
        <v>8275</v>
      </c>
      <c r="D2463">
        <v>7</v>
      </c>
      <c r="E2463" t="s">
        <v>8276</v>
      </c>
      <c r="F2463">
        <v>4</v>
      </c>
    </row>
    <row r="2464" spans="2:6" x14ac:dyDescent="0.2">
      <c r="B2464" t="s">
        <v>8277</v>
      </c>
      <c r="C2464" t="s">
        <v>8278</v>
      </c>
      <c r="D2464">
        <v>7</v>
      </c>
      <c r="E2464" t="s">
        <v>6073</v>
      </c>
      <c r="F2464">
        <v>7</v>
      </c>
    </row>
    <row r="2465" spans="2:6" x14ac:dyDescent="0.2">
      <c r="B2465" t="s">
        <v>8279</v>
      </c>
      <c r="C2465" t="s">
        <v>8280</v>
      </c>
      <c r="D2465">
        <v>7</v>
      </c>
      <c r="E2465" t="s">
        <v>3386</v>
      </c>
      <c r="F2465">
        <v>1</v>
      </c>
    </row>
    <row r="2466" spans="2:6" x14ac:dyDescent="0.2">
      <c r="B2466" t="s">
        <v>8281</v>
      </c>
      <c r="C2466" t="s">
        <v>8282</v>
      </c>
      <c r="D2466">
        <v>7</v>
      </c>
      <c r="E2466" t="s">
        <v>6420</v>
      </c>
      <c r="F2466">
        <v>4</v>
      </c>
    </row>
    <row r="2467" spans="2:6" x14ac:dyDescent="0.2">
      <c r="B2467" t="s">
        <v>283</v>
      </c>
      <c r="C2467" t="s">
        <v>8283</v>
      </c>
      <c r="D2467">
        <v>7</v>
      </c>
      <c r="E2467" t="s">
        <v>3036</v>
      </c>
      <c r="F2467">
        <v>3</v>
      </c>
    </row>
    <row r="2468" spans="2:6" x14ac:dyDescent="0.2">
      <c r="B2468" t="s">
        <v>8284</v>
      </c>
      <c r="C2468" t="s">
        <v>8285</v>
      </c>
      <c r="D2468">
        <v>7</v>
      </c>
      <c r="E2468" t="s">
        <v>6050</v>
      </c>
      <c r="F2468">
        <v>1</v>
      </c>
    </row>
    <row r="2469" spans="2:6" x14ac:dyDescent="0.2">
      <c r="B2469" t="s">
        <v>8286</v>
      </c>
      <c r="C2469" t="s">
        <v>8287</v>
      </c>
      <c r="D2469">
        <v>7</v>
      </c>
      <c r="E2469" t="s">
        <v>4268</v>
      </c>
      <c r="F2469">
        <v>14</v>
      </c>
    </row>
    <row r="2470" spans="2:6" x14ac:dyDescent="0.2">
      <c r="B2470" t="s">
        <v>8288</v>
      </c>
      <c r="C2470" t="s">
        <v>8289</v>
      </c>
      <c r="D2470">
        <v>7</v>
      </c>
      <c r="E2470" t="s">
        <v>7742</v>
      </c>
      <c r="F2470">
        <v>13</v>
      </c>
    </row>
    <row r="2471" spans="2:6" x14ac:dyDescent="0.2">
      <c r="B2471" t="s">
        <v>8290</v>
      </c>
      <c r="C2471" t="s">
        <v>8291</v>
      </c>
      <c r="D2471">
        <v>7</v>
      </c>
      <c r="E2471" t="s">
        <v>7195</v>
      </c>
      <c r="F2471">
        <v>3</v>
      </c>
    </row>
    <row r="2472" spans="2:6" x14ac:dyDescent="0.2">
      <c r="B2472" t="s">
        <v>8292</v>
      </c>
      <c r="C2472" t="s">
        <v>8293</v>
      </c>
      <c r="D2472">
        <v>7</v>
      </c>
      <c r="E2472" t="s">
        <v>4593</v>
      </c>
      <c r="F2472">
        <v>3</v>
      </c>
    </row>
    <row r="2473" spans="2:6" x14ac:dyDescent="0.2">
      <c r="B2473" t="s">
        <v>8294</v>
      </c>
      <c r="C2473" t="s">
        <v>8295</v>
      </c>
      <c r="D2473">
        <v>7</v>
      </c>
      <c r="E2473" t="s">
        <v>3213</v>
      </c>
      <c r="F2473">
        <v>4</v>
      </c>
    </row>
    <row r="2474" spans="2:6" x14ac:dyDescent="0.2">
      <c r="B2474" t="s">
        <v>1657</v>
      </c>
      <c r="C2474" t="s">
        <v>8296</v>
      </c>
      <c r="D2474">
        <v>7</v>
      </c>
      <c r="E2474" t="s">
        <v>3169</v>
      </c>
      <c r="F2474">
        <v>8</v>
      </c>
    </row>
    <row r="2475" spans="2:6" x14ac:dyDescent="0.2">
      <c r="B2475" t="s">
        <v>8297</v>
      </c>
      <c r="C2475" t="s">
        <v>7847</v>
      </c>
      <c r="D2475">
        <v>7</v>
      </c>
      <c r="E2475" t="s">
        <v>8298</v>
      </c>
      <c r="F2475">
        <v>1</v>
      </c>
    </row>
    <row r="2476" spans="2:6" x14ac:dyDescent="0.2">
      <c r="B2476" t="s">
        <v>8299</v>
      </c>
      <c r="C2476" t="s">
        <v>8300</v>
      </c>
      <c r="D2476">
        <v>7</v>
      </c>
      <c r="E2476" t="s">
        <v>8301</v>
      </c>
      <c r="F2476">
        <v>1</v>
      </c>
    </row>
    <row r="2477" spans="2:6" x14ac:dyDescent="0.2">
      <c r="B2477" t="s">
        <v>8302</v>
      </c>
      <c r="C2477" t="s">
        <v>6723</v>
      </c>
      <c r="D2477">
        <v>7</v>
      </c>
      <c r="E2477" t="s">
        <v>2830</v>
      </c>
      <c r="F2477">
        <v>2</v>
      </c>
    </row>
    <row r="2478" spans="2:6" x14ac:dyDescent="0.2">
      <c r="B2478" t="s">
        <v>8303</v>
      </c>
      <c r="C2478" t="s">
        <v>8304</v>
      </c>
      <c r="D2478">
        <v>7</v>
      </c>
      <c r="E2478" t="s">
        <v>3106</v>
      </c>
      <c r="F2478">
        <v>1</v>
      </c>
    </row>
    <row r="2479" spans="2:6" x14ac:dyDescent="0.2">
      <c r="B2479" t="s">
        <v>8305</v>
      </c>
      <c r="C2479" t="s">
        <v>8306</v>
      </c>
      <c r="D2479">
        <v>7</v>
      </c>
      <c r="E2479" t="s">
        <v>8307</v>
      </c>
      <c r="F2479">
        <v>2</v>
      </c>
    </row>
    <row r="2480" spans="2:6" x14ac:dyDescent="0.2">
      <c r="B2480" t="s">
        <v>8308</v>
      </c>
      <c r="C2480" t="s">
        <v>8309</v>
      </c>
      <c r="D2480">
        <v>7</v>
      </c>
      <c r="E2480" t="s">
        <v>3036</v>
      </c>
      <c r="F2480">
        <v>1</v>
      </c>
    </row>
    <row r="2481" spans="2:6" x14ac:dyDescent="0.2">
      <c r="B2481" t="s">
        <v>8310</v>
      </c>
      <c r="C2481" t="s">
        <v>8311</v>
      </c>
      <c r="D2481">
        <v>7</v>
      </c>
      <c r="E2481" t="s">
        <v>6050</v>
      </c>
      <c r="F2481">
        <v>1</v>
      </c>
    </row>
    <row r="2482" spans="2:6" x14ac:dyDescent="0.2">
      <c r="B2482" t="s">
        <v>8312</v>
      </c>
      <c r="C2482" t="s">
        <v>8313</v>
      </c>
      <c r="D2482">
        <v>7</v>
      </c>
      <c r="E2482" t="s">
        <v>2941</v>
      </c>
      <c r="F2482">
        <v>2</v>
      </c>
    </row>
    <row r="2483" spans="2:6" x14ac:dyDescent="0.2">
      <c r="B2483" t="s">
        <v>8314</v>
      </c>
      <c r="C2483" t="s">
        <v>8315</v>
      </c>
      <c r="D2483">
        <v>7</v>
      </c>
      <c r="E2483" t="s">
        <v>4292</v>
      </c>
      <c r="F2483">
        <v>1</v>
      </c>
    </row>
    <row r="2484" spans="2:6" x14ac:dyDescent="0.2">
      <c r="B2484" t="s">
        <v>8316</v>
      </c>
      <c r="C2484" t="s">
        <v>4291</v>
      </c>
      <c r="D2484">
        <v>7</v>
      </c>
      <c r="E2484" t="s">
        <v>8317</v>
      </c>
      <c r="F2484">
        <v>3</v>
      </c>
    </row>
    <row r="2485" spans="2:6" x14ac:dyDescent="0.2">
      <c r="B2485" t="s">
        <v>8318</v>
      </c>
      <c r="C2485" t="s">
        <v>8319</v>
      </c>
      <c r="D2485">
        <v>7</v>
      </c>
      <c r="E2485" t="s">
        <v>5890</v>
      </c>
      <c r="F2485">
        <v>1</v>
      </c>
    </row>
    <row r="2486" spans="2:6" x14ac:dyDescent="0.2">
      <c r="B2486" t="s">
        <v>8320</v>
      </c>
      <c r="C2486" t="s">
        <v>8321</v>
      </c>
      <c r="D2486">
        <v>7</v>
      </c>
      <c r="E2486" t="s">
        <v>6265</v>
      </c>
      <c r="F2486">
        <v>2</v>
      </c>
    </row>
    <row r="2487" spans="2:6" x14ac:dyDescent="0.2">
      <c r="B2487" t="s">
        <v>8322</v>
      </c>
      <c r="C2487" t="s">
        <v>8323</v>
      </c>
      <c r="D2487">
        <v>7</v>
      </c>
      <c r="E2487" t="s">
        <v>3081</v>
      </c>
      <c r="F2487">
        <v>1</v>
      </c>
    </row>
    <row r="2488" spans="2:6" x14ac:dyDescent="0.2">
      <c r="B2488" t="s">
        <v>8324</v>
      </c>
      <c r="C2488" t="s">
        <v>8325</v>
      </c>
      <c r="D2488">
        <v>7</v>
      </c>
      <c r="E2488" t="s">
        <v>2833</v>
      </c>
      <c r="F2488">
        <v>28</v>
      </c>
    </row>
    <row r="2489" spans="2:6" x14ac:dyDescent="0.2">
      <c r="B2489" t="s">
        <v>8326</v>
      </c>
      <c r="C2489" t="s">
        <v>8327</v>
      </c>
      <c r="D2489">
        <v>7</v>
      </c>
      <c r="E2489" t="s">
        <v>2892</v>
      </c>
      <c r="F2489">
        <v>13</v>
      </c>
    </row>
    <row r="2490" spans="2:6" x14ac:dyDescent="0.2">
      <c r="B2490" t="s">
        <v>8328</v>
      </c>
      <c r="C2490" t="s">
        <v>8329</v>
      </c>
      <c r="D2490">
        <v>7</v>
      </c>
      <c r="E2490" t="s">
        <v>7432</v>
      </c>
      <c r="F2490">
        <v>7</v>
      </c>
    </row>
    <row r="2491" spans="2:6" x14ac:dyDescent="0.2">
      <c r="B2491" t="s">
        <v>1927</v>
      </c>
      <c r="C2491" t="s">
        <v>8330</v>
      </c>
      <c r="D2491">
        <v>7</v>
      </c>
      <c r="E2491" t="s">
        <v>3307</v>
      </c>
      <c r="F2491">
        <v>1</v>
      </c>
    </row>
    <row r="2492" spans="2:6" x14ac:dyDescent="0.2">
      <c r="B2492" t="s">
        <v>8331</v>
      </c>
      <c r="C2492" t="s">
        <v>8332</v>
      </c>
      <c r="D2492">
        <v>7</v>
      </c>
      <c r="E2492" t="s">
        <v>8333</v>
      </c>
      <c r="F2492">
        <v>15</v>
      </c>
    </row>
    <row r="2493" spans="2:6" x14ac:dyDescent="0.2">
      <c r="B2493" t="s">
        <v>8334</v>
      </c>
      <c r="C2493" t="s">
        <v>8335</v>
      </c>
      <c r="D2493">
        <v>7</v>
      </c>
      <c r="E2493" t="s">
        <v>3338</v>
      </c>
      <c r="F2493">
        <v>3</v>
      </c>
    </row>
    <row r="2494" spans="2:6" x14ac:dyDescent="0.2">
      <c r="B2494" t="s">
        <v>8336</v>
      </c>
      <c r="C2494" t="s">
        <v>8337</v>
      </c>
      <c r="D2494">
        <v>7</v>
      </c>
      <c r="E2494" t="s">
        <v>5352</v>
      </c>
      <c r="F2494">
        <v>25</v>
      </c>
    </row>
    <row r="2495" spans="2:6" x14ac:dyDescent="0.2">
      <c r="B2495" t="s">
        <v>8338</v>
      </c>
      <c r="C2495" t="s">
        <v>8339</v>
      </c>
      <c r="D2495">
        <v>7</v>
      </c>
      <c r="E2495" t="s">
        <v>8340</v>
      </c>
      <c r="F2495">
        <v>1</v>
      </c>
    </row>
    <row r="2496" spans="2:6" x14ac:dyDescent="0.2">
      <c r="B2496" t="s">
        <v>8341</v>
      </c>
      <c r="C2496" t="s">
        <v>8342</v>
      </c>
      <c r="D2496">
        <v>7</v>
      </c>
      <c r="E2496" t="s">
        <v>3213</v>
      </c>
      <c r="F2496">
        <v>7</v>
      </c>
    </row>
    <row r="2497" spans="2:6" x14ac:dyDescent="0.2">
      <c r="B2497" t="s">
        <v>8343</v>
      </c>
      <c r="C2497" t="s">
        <v>8344</v>
      </c>
      <c r="D2497">
        <v>7</v>
      </c>
      <c r="E2497" t="s">
        <v>8345</v>
      </c>
      <c r="F2497">
        <v>5</v>
      </c>
    </row>
    <row r="2498" spans="2:6" x14ac:dyDescent="0.2">
      <c r="B2498" t="s">
        <v>8346</v>
      </c>
      <c r="C2498" t="s">
        <v>8347</v>
      </c>
      <c r="D2498">
        <v>7</v>
      </c>
      <c r="E2498" t="s">
        <v>2839</v>
      </c>
      <c r="F2498">
        <v>1</v>
      </c>
    </row>
    <row r="2499" spans="2:6" x14ac:dyDescent="0.2">
      <c r="B2499" t="s">
        <v>8348</v>
      </c>
      <c r="C2499" t="s">
        <v>8349</v>
      </c>
      <c r="D2499">
        <v>7</v>
      </c>
      <c r="E2499" t="s">
        <v>2974</v>
      </c>
      <c r="F2499">
        <v>2</v>
      </c>
    </row>
    <row r="2500" spans="2:6" x14ac:dyDescent="0.2">
      <c r="B2500" t="s">
        <v>866</v>
      </c>
      <c r="C2500" t="s">
        <v>8350</v>
      </c>
      <c r="D2500">
        <v>7</v>
      </c>
      <c r="E2500" t="s">
        <v>8351</v>
      </c>
      <c r="F2500">
        <v>13</v>
      </c>
    </row>
    <row r="2501" spans="2:6" x14ac:dyDescent="0.2">
      <c r="B2501" t="s">
        <v>8352</v>
      </c>
      <c r="C2501" t="s">
        <v>8353</v>
      </c>
      <c r="D2501">
        <v>7</v>
      </c>
      <c r="E2501" t="s">
        <v>2857</v>
      </c>
      <c r="F2501">
        <v>3</v>
      </c>
    </row>
    <row r="2502" spans="2:6" x14ac:dyDescent="0.2">
      <c r="B2502" t="s">
        <v>8354</v>
      </c>
      <c r="C2502" t="s">
        <v>8355</v>
      </c>
      <c r="D2502">
        <v>7</v>
      </c>
      <c r="E2502" t="s">
        <v>8356</v>
      </c>
      <c r="F2502">
        <v>1</v>
      </c>
    </row>
    <row r="2503" spans="2:6" x14ac:dyDescent="0.2">
      <c r="B2503" t="s">
        <v>8357</v>
      </c>
      <c r="C2503" t="s">
        <v>8358</v>
      </c>
      <c r="D2503">
        <v>7</v>
      </c>
      <c r="E2503" t="s">
        <v>2912</v>
      </c>
      <c r="F2503">
        <v>1</v>
      </c>
    </row>
    <row r="2504" spans="2:6" x14ac:dyDescent="0.2">
      <c r="B2504" t="s">
        <v>8359</v>
      </c>
      <c r="C2504" t="s">
        <v>8360</v>
      </c>
      <c r="D2504">
        <v>7</v>
      </c>
      <c r="E2504" t="s">
        <v>8361</v>
      </c>
      <c r="F2504">
        <v>14</v>
      </c>
    </row>
    <row r="2505" spans="2:6" x14ac:dyDescent="0.2">
      <c r="B2505" t="s">
        <v>8362</v>
      </c>
      <c r="C2505" t="s">
        <v>8363</v>
      </c>
      <c r="D2505">
        <v>7</v>
      </c>
      <c r="E2505" t="s">
        <v>2839</v>
      </c>
      <c r="F2505">
        <v>3</v>
      </c>
    </row>
    <row r="2506" spans="2:6" x14ac:dyDescent="0.2">
      <c r="B2506" t="s">
        <v>8364</v>
      </c>
      <c r="C2506" t="s">
        <v>8365</v>
      </c>
      <c r="D2506">
        <v>7</v>
      </c>
      <c r="E2506" t="s">
        <v>2954</v>
      </c>
      <c r="F2506">
        <v>2</v>
      </c>
    </row>
    <row r="2507" spans="2:6" x14ac:dyDescent="0.2">
      <c r="B2507" t="s">
        <v>1774</v>
      </c>
      <c r="C2507" t="s">
        <v>8366</v>
      </c>
      <c r="D2507">
        <v>7</v>
      </c>
      <c r="E2507" t="s">
        <v>6144</v>
      </c>
      <c r="F2507">
        <v>1</v>
      </c>
    </row>
    <row r="2508" spans="2:6" x14ac:dyDescent="0.2">
      <c r="B2508" t="s">
        <v>8367</v>
      </c>
      <c r="C2508" t="s">
        <v>8368</v>
      </c>
      <c r="D2508">
        <v>7</v>
      </c>
      <c r="E2508" t="s">
        <v>8369</v>
      </c>
      <c r="F2508">
        <v>1</v>
      </c>
    </row>
    <row r="2509" spans="2:6" x14ac:dyDescent="0.2">
      <c r="B2509" t="s">
        <v>8370</v>
      </c>
      <c r="C2509" t="s">
        <v>8371</v>
      </c>
      <c r="D2509">
        <v>7</v>
      </c>
      <c r="E2509" t="s">
        <v>8372</v>
      </c>
      <c r="F2509">
        <v>2</v>
      </c>
    </row>
    <row r="2510" spans="2:6" x14ac:dyDescent="0.2">
      <c r="B2510" t="s">
        <v>8373</v>
      </c>
      <c r="C2510" t="s">
        <v>8374</v>
      </c>
      <c r="D2510">
        <v>7</v>
      </c>
      <c r="E2510" t="s">
        <v>8375</v>
      </c>
      <c r="F2510">
        <v>1</v>
      </c>
    </row>
    <row r="2511" spans="2:6" x14ac:dyDescent="0.2">
      <c r="B2511" t="s">
        <v>195</v>
      </c>
      <c r="C2511" t="s">
        <v>8376</v>
      </c>
      <c r="D2511">
        <v>7</v>
      </c>
      <c r="E2511" t="s">
        <v>4166</v>
      </c>
      <c r="F2511">
        <v>70</v>
      </c>
    </row>
    <row r="2512" spans="2:6" x14ac:dyDescent="0.2">
      <c r="B2512" t="s">
        <v>787</v>
      </c>
      <c r="C2512" t="s">
        <v>8377</v>
      </c>
      <c r="D2512">
        <v>7</v>
      </c>
      <c r="E2512" t="s">
        <v>4629</v>
      </c>
      <c r="F2512">
        <v>129</v>
      </c>
    </row>
    <row r="2513" spans="2:6" x14ac:dyDescent="0.2">
      <c r="B2513" t="s">
        <v>8378</v>
      </c>
      <c r="C2513" t="s">
        <v>8379</v>
      </c>
      <c r="D2513">
        <v>7</v>
      </c>
      <c r="E2513" t="s">
        <v>3111</v>
      </c>
      <c r="F2513">
        <v>2</v>
      </c>
    </row>
    <row r="2514" spans="2:6" x14ac:dyDescent="0.2">
      <c r="B2514" t="s">
        <v>8380</v>
      </c>
      <c r="C2514" t="s">
        <v>8381</v>
      </c>
      <c r="D2514">
        <v>7</v>
      </c>
      <c r="E2514" t="s">
        <v>6993</v>
      </c>
      <c r="F2514">
        <v>18</v>
      </c>
    </row>
    <row r="2515" spans="2:6" x14ac:dyDescent="0.2">
      <c r="B2515" t="s">
        <v>8382</v>
      </c>
      <c r="C2515" t="s">
        <v>8383</v>
      </c>
      <c r="D2515">
        <v>7</v>
      </c>
      <c r="E2515" t="s">
        <v>4226</v>
      </c>
      <c r="F2515">
        <v>1</v>
      </c>
    </row>
    <row r="2516" spans="2:6" x14ac:dyDescent="0.2">
      <c r="B2516" t="s">
        <v>8384</v>
      </c>
      <c r="C2516" t="s">
        <v>8385</v>
      </c>
      <c r="D2516">
        <v>7</v>
      </c>
      <c r="E2516" t="s">
        <v>8028</v>
      </c>
      <c r="F2516">
        <v>4</v>
      </c>
    </row>
    <row r="2517" spans="2:6" x14ac:dyDescent="0.2">
      <c r="B2517" t="s">
        <v>8386</v>
      </c>
      <c r="C2517" t="s">
        <v>8387</v>
      </c>
      <c r="D2517">
        <v>7</v>
      </c>
      <c r="E2517" t="s">
        <v>2892</v>
      </c>
      <c r="F2517">
        <v>1</v>
      </c>
    </row>
    <row r="2518" spans="2:6" x14ac:dyDescent="0.2">
      <c r="B2518" t="s">
        <v>8388</v>
      </c>
      <c r="C2518" t="s">
        <v>8389</v>
      </c>
      <c r="D2518">
        <v>7</v>
      </c>
      <c r="E2518" t="s">
        <v>3475</v>
      </c>
      <c r="F2518">
        <v>1</v>
      </c>
    </row>
    <row r="2519" spans="2:6" x14ac:dyDescent="0.2">
      <c r="B2519" t="s">
        <v>8390</v>
      </c>
      <c r="C2519" t="s">
        <v>8391</v>
      </c>
      <c r="D2519">
        <v>7</v>
      </c>
      <c r="E2519" t="s">
        <v>4213</v>
      </c>
      <c r="F2519">
        <v>13</v>
      </c>
    </row>
    <row r="2520" spans="2:6" x14ac:dyDescent="0.2">
      <c r="B2520" t="s">
        <v>634</v>
      </c>
      <c r="C2520" t="s">
        <v>8392</v>
      </c>
      <c r="D2520">
        <v>7</v>
      </c>
      <c r="E2520" t="s">
        <v>3505</v>
      </c>
      <c r="F2520">
        <v>22</v>
      </c>
    </row>
    <row r="2521" spans="2:6" x14ac:dyDescent="0.2">
      <c r="B2521" t="s">
        <v>8393</v>
      </c>
      <c r="C2521" t="s">
        <v>8394</v>
      </c>
      <c r="D2521">
        <v>7</v>
      </c>
      <c r="E2521" t="s">
        <v>4449</v>
      </c>
      <c r="F2521">
        <v>6</v>
      </c>
    </row>
    <row r="2522" spans="2:6" x14ac:dyDescent="0.2">
      <c r="B2522" t="s">
        <v>8395</v>
      </c>
      <c r="C2522" t="s">
        <v>8396</v>
      </c>
      <c r="D2522">
        <v>7</v>
      </c>
      <c r="E2522" t="s">
        <v>2918</v>
      </c>
      <c r="F2522">
        <v>10</v>
      </c>
    </row>
    <row r="2523" spans="2:6" x14ac:dyDescent="0.2">
      <c r="B2523" t="s">
        <v>8397</v>
      </c>
      <c r="C2523" t="s">
        <v>8398</v>
      </c>
      <c r="D2523">
        <v>7</v>
      </c>
      <c r="E2523" t="s">
        <v>8356</v>
      </c>
      <c r="F2523">
        <v>1</v>
      </c>
    </row>
    <row r="2524" spans="2:6" x14ac:dyDescent="0.2">
      <c r="B2524" t="s">
        <v>8399</v>
      </c>
      <c r="C2524" t="s">
        <v>8400</v>
      </c>
      <c r="D2524">
        <v>7</v>
      </c>
      <c r="E2524" t="s">
        <v>2788</v>
      </c>
      <c r="F2524">
        <v>6</v>
      </c>
    </row>
    <row r="2525" spans="2:6" x14ac:dyDescent="0.2">
      <c r="B2525" t="s">
        <v>730</v>
      </c>
      <c r="C2525" t="s">
        <v>8401</v>
      </c>
      <c r="D2525">
        <v>7</v>
      </c>
      <c r="E2525" t="s">
        <v>8402</v>
      </c>
      <c r="F2525">
        <v>24</v>
      </c>
    </row>
    <row r="2526" spans="2:6" x14ac:dyDescent="0.2">
      <c r="B2526" t="s">
        <v>8403</v>
      </c>
      <c r="C2526" t="s">
        <v>8404</v>
      </c>
      <c r="D2526">
        <v>7</v>
      </c>
      <c r="E2526" t="s">
        <v>2952</v>
      </c>
      <c r="F2526">
        <v>1</v>
      </c>
    </row>
    <row r="2527" spans="2:6" x14ac:dyDescent="0.2">
      <c r="B2527" t="s">
        <v>603</v>
      </c>
      <c r="C2527" t="s">
        <v>8405</v>
      </c>
      <c r="D2527">
        <v>7</v>
      </c>
      <c r="E2527" t="s">
        <v>3839</v>
      </c>
      <c r="F2527">
        <v>2</v>
      </c>
    </row>
    <row r="2528" spans="2:6" x14ac:dyDescent="0.2">
      <c r="B2528" t="s">
        <v>8406</v>
      </c>
      <c r="C2528" t="s">
        <v>8407</v>
      </c>
      <c r="D2528">
        <v>7</v>
      </c>
      <c r="E2528" t="s">
        <v>3153</v>
      </c>
      <c r="F2528">
        <v>1</v>
      </c>
    </row>
    <row r="2529" spans="2:6" x14ac:dyDescent="0.2">
      <c r="B2529" t="s">
        <v>805</v>
      </c>
      <c r="C2529" t="s">
        <v>3045</v>
      </c>
      <c r="D2529">
        <v>7</v>
      </c>
      <c r="E2529" t="s">
        <v>4130</v>
      </c>
      <c r="F2529">
        <v>2</v>
      </c>
    </row>
    <row r="2530" spans="2:6" x14ac:dyDescent="0.2">
      <c r="B2530" t="s">
        <v>1112</v>
      </c>
      <c r="C2530" t="s">
        <v>8408</v>
      </c>
      <c r="D2530">
        <v>7</v>
      </c>
      <c r="E2530" t="s">
        <v>2819</v>
      </c>
      <c r="F2530">
        <v>2</v>
      </c>
    </row>
    <row r="2531" spans="2:6" x14ac:dyDescent="0.2">
      <c r="B2531" t="s">
        <v>8409</v>
      </c>
      <c r="C2531" t="s">
        <v>8410</v>
      </c>
      <c r="D2531">
        <v>7</v>
      </c>
      <c r="E2531" t="s">
        <v>3688</v>
      </c>
      <c r="F2531">
        <v>1</v>
      </c>
    </row>
    <row r="2532" spans="2:6" x14ac:dyDescent="0.2">
      <c r="B2532" t="s">
        <v>8411</v>
      </c>
      <c r="C2532" t="s">
        <v>8412</v>
      </c>
      <c r="D2532">
        <v>7</v>
      </c>
      <c r="E2532" t="s">
        <v>8413</v>
      </c>
      <c r="F2532">
        <v>3</v>
      </c>
    </row>
    <row r="2533" spans="2:6" x14ac:dyDescent="0.2">
      <c r="B2533" t="s">
        <v>8414</v>
      </c>
      <c r="C2533" t="s">
        <v>8415</v>
      </c>
      <c r="D2533">
        <v>7</v>
      </c>
      <c r="E2533" t="s">
        <v>8416</v>
      </c>
      <c r="F2533">
        <v>2</v>
      </c>
    </row>
    <row r="2534" spans="2:6" x14ac:dyDescent="0.2">
      <c r="B2534" t="s">
        <v>8417</v>
      </c>
      <c r="C2534" t="s">
        <v>8418</v>
      </c>
      <c r="D2534">
        <v>7</v>
      </c>
      <c r="E2534" t="s">
        <v>8419</v>
      </c>
      <c r="F2534">
        <v>4</v>
      </c>
    </row>
    <row r="2535" spans="2:6" x14ac:dyDescent="0.2">
      <c r="B2535" t="s">
        <v>633</v>
      </c>
      <c r="C2535" t="s">
        <v>8420</v>
      </c>
      <c r="D2535">
        <v>7</v>
      </c>
      <c r="E2535" t="s">
        <v>8421</v>
      </c>
      <c r="F2535">
        <v>5</v>
      </c>
    </row>
    <row r="2536" spans="2:6" x14ac:dyDescent="0.2">
      <c r="B2536" t="s">
        <v>8422</v>
      </c>
      <c r="C2536" t="s">
        <v>8423</v>
      </c>
      <c r="D2536">
        <v>7</v>
      </c>
      <c r="E2536" t="s">
        <v>4944</v>
      </c>
      <c r="F2536">
        <v>2</v>
      </c>
    </row>
    <row r="2537" spans="2:6" x14ac:dyDescent="0.2">
      <c r="B2537" t="s">
        <v>8424</v>
      </c>
      <c r="C2537" t="s">
        <v>5987</v>
      </c>
      <c r="D2537">
        <v>7</v>
      </c>
      <c r="E2537" t="s">
        <v>8425</v>
      </c>
      <c r="F2537">
        <v>10</v>
      </c>
    </row>
    <row r="2538" spans="2:6" x14ac:dyDescent="0.2">
      <c r="B2538" t="s">
        <v>8426</v>
      </c>
      <c r="C2538" t="s">
        <v>8427</v>
      </c>
      <c r="D2538">
        <v>7</v>
      </c>
      <c r="E2538" t="s">
        <v>8428</v>
      </c>
      <c r="F2538">
        <v>8</v>
      </c>
    </row>
    <row r="2539" spans="2:6" x14ac:dyDescent="0.2">
      <c r="B2539" t="s">
        <v>753</v>
      </c>
      <c r="C2539" t="s">
        <v>8429</v>
      </c>
      <c r="D2539">
        <v>7</v>
      </c>
      <c r="E2539" t="s">
        <v>3330</v>
      </c>
      <c r="F2539">
        <v>7</v>
      </c>
    </row>
    <row r="2540" spans="2:6" x14ac:dyDescent="0.2">
      <c r="B2540" t="s">
        <v>8430</v>
      </c>
      <c r="C2540" t="s">
        <v>8431</v>
      </c>
      <c r="D2540">
        <v>7</v>
      </c>
      <c r="E2540" t="s">
        <v>8432</v>
      </c>
      <c r="F2540">
        <v>3</v>
      </c>
    </row>
    <row r="2541" spans="2:6" x14ac:dyDescent="0.2">
      <c r="B2541" t="s">
        <v>8433</v>
      </c>
      <c r="C2541" t="s">
        <v>8434</v>
      </c>
      <c r="D2541">
        <v>7</v>
      </c>
      <c r="E2541" t="s">
        <v>3007</v>
      </c>
      <c r="F2541">
        <v>2</v>
      </c>
    </row>
    <row r="2542" spans="2:6" x14ac:dyDescent="0.2">
      <c r="B2542" t="s">
        <v>8435</v>
      </c>
      <c r="C2542" t="s">
        <v>8436</v>
      </c>
      <c r="D2542">
        <v>7</v>
      </c>
      <c r="E2542" t="s">
        <v>3007</v>
      </c>
      <c r="F2542">
        <v>4</v>
      </c>
    </row>
    <row r="2543" spans="2:6" x14ac:dyDescent="0.2">
      <c r="B2543" t="s">
        <v>8437</v>
      </c>
      <c r="C2543" t="s">
        <v>8438</v>
      </c>
      <c r="D2543">
        <v>7</v>
      </c>
      <c r="E2543" t="s">
        <v>3423</v>
      </c>
      <c r="F2543">
        <v>2</v>
      </c>
    </row>
    <row r="2544" spans="2:6" x14ac:dyDescent="0.2">
      <c r="B2544" t="s">
        <v>8439</v>
      </c>
      <c r="C2544" t="s">
        <v>8440</v>
      </c>
      <c r="D2544">
        <v>7</v>
      </c>
      <c r="E2544" t="s">
        <v>7873</v>
      </c>
      <c r="F2544">
        <v>1</v>
      </c>
    </row>
    <row r="2545" spans="2:6" x14ac:dyDescent="0.2">
      <c r="B2545" t="s">
        <v>8441</v>
      </c>
      <c r="C2545" t="s">
        <v>8442</v>
      </c>
      <c r="D2545">
        <v>7</v>
      </c>
      <c r="E2545" t="s">
        <v>3109</v>
      </c>
      <c r="F2545">
        <v>1</v>
      </c>
    </row>
    <row r="2546" spans="2:6" x14ac:dyDescent="0.2">
      <c r="B2546" t="s">
        <v>8443</v>
      </c>
      <c r="C2546" t="s">
        <v>8444</v>
      </c>
      <c r="D2546">
        <v>7</v>
      </c>
      <c r="E2546" t="s">
        <v>3133</v>
      </c>
      <c r="F2546">
        <v>1</v>
      </c>
    </row>
    <row r="2547" spans="2:6" x14ac:dyDescent="0.2">
      <c r="B2547" t="s">
        <v>8445</v>
      </c>
      <c r="C2547" t="s">
        <v>8446</v>
      </c>
      <c r="D2547">
        <v>7</v>
      </c>
      <c r="E2547" t="s">
        <v>2892</v>
      </c>
      <c r="F2547">
        <v>2</v>
      </c>
    </row>
    <row r="2548" spans="2:6" x14ac:dyDescent="0.2">
      <c r="B2548" t="s">
        <v>8447</v>
      </c>
      <c r="C2548" t="s">
        <v>8448</v>
      </c>
      <c r="D2548">
        <v>7</v>
      </c>
      <c r="E2548" t="s">
        <v>2839</v>
      </c>
      <c r="F2548">
        <v>2</v>
      </c>
    </row>
    <row r="2549" spans="2:6" x14ac:dyDescent="0.2">
      <c r="B2549" t="s">
        <v>8449</v>
      </c>
      <c r="C2549" t="s">
        <v>8450</v>
      </c>
      <c r="D2549">
        <v>7</v>
      </c>
      <c r="E2549" t="s">
        <v>8451</v>
      </c>
      <c r="F2549">
        <v>7</v>
      </c>
    </row>
    <row r="2550" spans="2:6" x14ac:dyDescent="0.2">
      <c r="B2550" t="s">
        <v>8452</v>
      </c>
      <c r="C2550" t="s">
        <v>8453</v>
      </c>
      <c r="D2550">
        <v>7</v>
      </c>
      <c r="E2550" t="s">
        <v>5890</v>
      </c>
      <c r="F2550">
        <v>2</v>
      </c>
    </row>
    <row r="2551" spans="2:6" x14ac:dyDescent="0.2">
      <c r="B2551" t="s">
        <v>8454</v>
      </c>
      <c r="C2551" t="s">
        <v>8455</v>
      </c>
      <c r="D2551">
        <v>7</v>
      </c>
      <c r="E2551" t="s">
        <v>3452</v>
      </c>
      <c r="F2551">
        <v>4</v>
      </c>
    </row>
    <row r="2552" spans="2:6" x14ac:dyDescent="0.2">
      <c r="B2552" t="s">
        <v>8456</v>
      </c>
      <c r="C2552" t="s">
        <v>8457</v>
      </c>
      <c r="D2552">
        <v>7</v>
      </c>
      <c r="E2552" t="s">
        <v>8458</v>
      </c>
      <c r="F2552">
        <v>5</v>
      </c>
    </row>
    <row r="2553" spans="2:6" x14ac:dyDescent="0.2">
      <c r="B2553" t="s">
        <v>8459</v>
      </c>
      <c r="C2553" t="s">
        <v>8460</v>
      </c>
      <c r="D2553">
        <v>7</v>
      </c>
      <c r="E2553" t="s">
        <v>8461</v>
      </c>
      <c r="F2553">
        <v>9</v>
      </c>
    </row>
    <row r="2554" spans="2:6" x14ac:dyDescent="0.2">
      <c r="B2554" t="s">
        <v>8462</v>
      </c>
      <c r="C2554" t="s">
        <v>8463</v>
      </c>
      <c r="D2554">
        <v>7</v>
      </c>
      <c r="E2554" t="s">
        <v>3415</v>
      </c>
      <c r="F2554">
        <v>21</v>
      </c>
    </row>
    <row r="2555" spans="2:6" x14ac:dyDescent="0.2">
      <c r="B2555" t="s">
        <v>8464</v>
      </c>
      <c r="C2555" t="s">
        <v>8465</v>
      </c>
      <c r="D2555">
        <v>7</v>
      </c>
      <c r="E2555" t="s">
        <v>4709</v>
      </c>
      <c r="F2555">
        <v>5</v>
      </c>
    </row>
    <row r="2556" spans="2:6" x14ac:dyDescent="0.2">
      <c r="B2556" t="s">
        <v>8466</v>
      </c>
      <c r="C2556" t="s">
        <v>8467</v>
      </c>
      <c r="D2556">
        <v>7</v>
      </c>
      <c r="E2556" t="s">
        <v>3162</v>
      </c>
      <c r="F2556">
        <v>2</v>
      </c>
    </row>
    <row r="2557" spans="2:6" x14ac:dyDescent="0.2">
      <c r="B2557" t="s">
        <v>8468</v>
      </c>
      <c r="C2557" t="s">
        <v>8469</v>
      </c>
      <c r="D2557">
        <v>7</v>
      </c>
      <c r="E2557" t="s">
        <v>8470</v>
      </c>
      <c r="F2557">
        <v>1</v>
      </c>
    </row>
    <row r="2558" spans="2:6" x14ac:dyDescent="0.2">
      <c r="B2558" t="s">
        <v>276</v>
      </c>
      <c r="C2558" t="s">
        <v>8471</v>
      </c>
      <c r="D2558">
        <v>7</v>
      </c>
      <c r="E2558" t="s">
        <v>8472</v>
      </c>
      <c r="F2558">
        <v>18</v>
      </c>
    </row>
    <row r="2559" spans="2:6" x14ac:dyDescent="0.2">
      <c r="B2559" t="s">
        <v>8473</v>
      </c>
      <c r="C2559" t="s">
        <v>8474</v>
      </c>
      <c r="D2559">
        <v>7</v>
      </c>
      <c r="E2559" t="s">
        <v>8475</v>
      </c>
      <c r="F2559">
        <v>2</v>
      </c>
    </row>
    <row r="2560" spans="2:6" x14ac:dyDescent="0.2">
      <c r="B2560" t="s">
        <v>8476</v>
      </c>
      <c r="C2560" t="s">
        <v>8477</v>
      </c>
      <c r="D2560">
        <v>7</v>
      </c>
      <c r="E2560" t="s">
        <v>8478</v>
      </c>
      <c r="F2560">
        <v>1</v>
      </c>
    </row>
    <row r="2561" spans="2:6" x14ac:dyDescent="0.2">
      <c r="B2561" t="s">
        <v>8479</v>
      </c>
      <c r="C2561" t="s">
        <v>8480</v>
      </c>
      <c r="D2561">
        <v>7</v>
      </c>
      <c r="E2561" t="s">
        <v>3162</v>
      </c>
      <c r="F2561">
        <v>3</v>
      </c>
    </row>
    <row r="2562" spans="2:6" x14ac:dyDescent="0.2">
      <c r="B2562" t="s">
        <v>8481</v>
      </c>
      <c r="C2562" t="s">
        <v>8482</v>
      </c>
      <c r="D2562">
        <v>7</v>
      </c>
      <c r="E2562" t="s">
        <v>3455</v>
      </c>
      <c r="F2562">
        <v>1</v>
      </c>
    </row>
    <row r="2563" spans="2:6" x14ac:dyDescent="0.2">
      <c r="B2563" t="s">
        <v>8483</v>
      </c>
      <c r="C2563" t="s">
        <v>8484</v>
      </c>
      <c r="D2563">
        <v>7</v>
      </c>
      <c r="E2563" t="s">
        <v>3213</v>
      </c>
      <c r="F2563">
        <v>1</v>
      </c>
    </row>
    <row r="2564" spans="2:6" x14ac:dyDescent="0.2">
      <c r="B2564" t="s">
        <v>8485</v>
      </c>
      <c r="C2564" t="s">
        <v>8486</v>
      </c>
      <c r="D2564">
        <v>7</v>
      </c>
      <c r="E2564" t="s">
        <v>6380</v>
      </c>
      <c r="F2564">
        <v>10</v>
      </c>
    </row>
    <row r="2565" spans="2:6" x14ac:dyDescent="0.2">
      <c r="B2565" t="s">
        <v>8487</v>
      </c>
      <c r="C2565" t="s">
        <v>8488</v>
      </c>
      <c r="D2565">
        <v>7</v>
      </c>
      <c r="E2565" t="s">
        <v>8489</v>
      </c>
      <c r="F2565">
        <v>1</v>
      </c>
    </row>
    <row r="2566" spans="2:6" x14ac:dyDescent="0.2">
      <c r="B2566" t="s">
        <v>8490</v>
      </c>
      <c r="C2566" t="s">
        <v>8491</v>
      </c>
      <c r="D2566">
        <v>7</v>
      </c>
      <c r="E2566" t="s">
        <v>2974</v>
      </c>
      <c r="F2566">
        <v>3</v>
      </c>
    </row>
    <row r="2567" spans="2:6" x14ac:dyDescent="0.2">
      <c r="B2567" t="s">
        <v>8492</v>
      </c>
      <c r="C2567" t="s">
        <v>8493</v>
      </c>
      <c r="D2567">
        <v>7</v>
      </c>
      <c r="E2567" t="s">
        <v>8494</v>
      </c>
      <c r="F2567">
        <v>15</v>
      </c>
    </row>
    <row r="2568" spans="2:6" x14ac:dyDescent="0.2">
      <c r="B2568" t="s">
        <v>8495</v>
      </c>
      <c r="C2568" t="s">
        <v>8496</v>
      </c>
      <c r="D2568">
        <v>7</v>
      </c>
      <c r="E2568" t="s">
        <v>2819</v>
      </c>
      <c r="F2568">
        <v>1</v>
      </c>
    </row>
    <row r="2569" spans="2:6" x14ac:dyDescent="0.2">
      <c r="B2569" t="s">
        <v>8497</v>
      </c>
      <c r="C2569" t="s">
        <v>7710</v>
      </c>
      <c r="D2569">
        <v>7</v>
      </c>
      <c r="E2569" t="s">
        <v>8498</v>
      </c>
      <c r="F2569">
        <v>3</v>
      </c>
    </row>
    <row r="2570" spans="2:6" x14ac:dyDescent="0.2">
      <c r="B2570" t="s">
        <v>8499</v>
      </c>
      <c r="C2570" t="s">
        <v>8500</v>
      </c>
      <c r="D2570">
        <v>7</v>
      </c>
      <c r="E2570" t="s">
        <v>2850</v>
      </c>
      <c r="F2570">
        <v>1</v>
      </c>
    </row>
    <row r="2571" spans="2:6" x14ac:dyDescent="0.2">
      <c r="B2571" t="s">
        <v>8501</v>
      </c>
      <c r="C2571" t="s">
        <v>8502</v>
      </c>
      <c r="D2571">
        <v>7</v>
      </c>
      <c r="E2571" t="s">
        <v>8503</v>
      </c>
      <c r="F2571">
        <v>2</v>
      </c>
    </row>
    <row r="2572" spans="2:6" x14ac:dyDescent="0.2">
      <c r="B2572" t="s">
        <v>8504</v>
      </c>
      <c r="C2572" t="s">
        <v>8505</v>
      </c>
      <c r="D2572">
        <v>7</v>
      </c>
      <c r="E2572" t="s">
        <v>8506</v>
      </c>
      <c r="F2572">
        <v>19</v>
      </c>
    </row>
    <row r="2573" spans="2:6" x14ac:dyDescent="0.2">
      <c r="B2573" t="s">
        <v>8507</v>
      </c>
      <c r="C2573" t="s">
        <v>8508</v>
      </c>
      <c r="D2573">
        <v>7</v>
      </c>
      <c r="E2573" t="s">
        <v>3004</v>
      </c>
      <c r="F2573">
        <v>10</v>
      </c>
    </row>
    <row r="2574" spans="2:6" x14ac:dyDescent="0.2">
      <c r="B2574" t="s">
        <v>8509</v>
      </c>
      <c r="C2574" t="s">
        <v>8510</v>
      </c>
      <c r="D2574">
        <v>7</v>
      </c>
      <c r="E2574" t="s">
        <v>2988</v>
      </c>
      <c r="F2574">
        <v>3</v>
      </c>
    </row>
    <row r="2575" spans="2:6" x14ac:dyDescent="0.2">
      <c r="B2575" t="s">
        <v>685</v>
      </c>
      <c r="C2575" t="s">
        <v>8511</v>
      </c>
      <c r="D2575">
        <v>7</v>
      </c>
      <c r="E2575" t="s">
        <v>3423</v>
      </c>
      <c r="F2575">
        <v>14</v>
      </c>
    </row>
    <row r="2576" spans="2:6" x14ac:dyDescent="0.2">
      <c r="B2576" t="s">
        <v>8512</v>
      </c>
      <c r="C2576" t="s">
        <v>8513</v>
      </c>
      <c r="D2576">
        <v>7</v>
      </c>
      <c r="E2576" t="s">
        <v>4052</v>
      </c>
      <c r="F2576">
        <v>4</v>
      </c>
    </row>
    <row r="2577" spans="2:6" x14ac:dyDescent="0.2">
      <c r="B2577" t="s">
        <v>8514</v>
      </c>
      <c r="C2577" t="s">
        <v>8515</v>
      </c>
      <c r="D2577">
        <v>7</v>
      </c>
      <c r="E2577" t="s">
        <v>2839</v>
      </c>
      <c r="F2577">
        <v>1</v>
      </c>
    </row>
    <row r="2578" spans="2:6" x14ac:dyDescent="0.2">
      <c r="B2578" t="s">
        <v>8516</v>
      </c>
      <c r="C2578" t="s">
        <v>8517</v>
      </c>
      <c r="D2578">
        <v>7</v>
      </c>
      <c r="E2578" t="s">
        <v>3111</v>
      </c>
      <c r="F2578">
        <v>2</v>
      </c>
    </row>
    <row r="2579" spans="2:6" x14ac:dyDescent="0.2">
      <c r="B2579" t="s">
        <v>1168</v>
      </c>
      <c r="C2579" t="s">
        <v>8243</v>
      </c>
      <c r="D2579">
        <v>7</v>
      </c>
      <c r="E2579" t="s">
        <v>6730</v>
      </c>
      <c r="F2579">
        <v>11</v>
      </c>
    </row>
    <row r="2580" spans="2:6" x14ac:dyDescent="0.2">
      <c r="B2580" t="s">
        <v>8518</v>
      </c>
      <c r="C2580" t="s">
        <v>8519</v>
      </c>
      <c r="D2580">
        <v>7</v>
      </c>
      <c r="E2580" t="s">
        <v>2930</v>
      </c>
      <c r="F2580">
        <v>1</v>
      </c>
    </row>
    <row r="2581" spans="2:6" x14ac:dyDescent="0.2">
      <c r="B2581" t="s">
        <v>8520</v>
      </c>
      <c r="C2581" t="s">
        <v>8521</v>
      </c>
      <c r="D2581">
        <v>7</v>
      </c>
      <c r="E2581" t="s">
        <v>8522</v>
      </c>
      <c r="F2581">
        <v>1</v>
      </c>
    </row>
    <row r="2582" spans="2:6" x14ac:dyDescent="0.2">
      <c r="B2582" t="s">
        <v>8523</v>
      </c>
      <c r="C2582" t="s">
        <v>8524</v>
      </c>
      <c r="D2582">
        <v>7</v>
      </c>
      <c r="E2582" t="s">
        <v>2811</v>
      </c>
      <c r="F2582">
        <v>2</v>
      </c>
    </row>
    <row r="2583" spans="2:6" x14ac:dyDescent="0.2">
      <c r="B2583" t="s">
        <v>8525</v>
      </c>
      <c r="C2583" t="s">
        <v>8526</v>
      </c>
      <c r="D2583">
        <v>7</v>
      </c>
      <c r="E2583" t="s">
        <v>3742</v>
      </c>
      <c r="F2583">
        <v>1</v>
      </c>
    </row>
    <row r="2584" spans="2:6" x14ac:dyDescent="0.2">
      <c r="B2584" t="s">
        <v>8527</v>
      </c>
      <c r="C2584" t="s">
        <v>8528</v>
      </c>
      <c r="D2584">
        <v>7</v>
      </c>
      <c r="E2584" t="s">
        <v>3143</v>
      </c>
      <c r="F2584">
        <v>2</v>
      </c>
    </row>
    <row r="2585" spans="2:6" x14ac:dyDescent="0.2">
      <c r="B2585" t="s">
        <v>8529</v>
      </c>
      <c r="C2585" t="s">
        <v>8530</v>
      </c>
      <c r="D2585">
        <v>7</v>
      </c>
      <c r="E2585" t="s">
        <v>3106</v>
      </c>
      <c r="F2585">
        <v>3</v>
      </c>
    </row>
    <row r="2586" spans="2:6" x14ac:dyDescent="0.2">
      <c r="B2586" t="s">
        <v>8531</v>
      </c>
      <c r="C2586" t="s">
        <v>8532</v>
      </c>
      <c r="D2586">
        <v>7</v>
      </c>
      <c r="E2586" t="s">
        <v>2921</v>
      </c>
      <c r="F2586">
        <v>1</v>
      </c>
    </row>
    <row r="2587" spans="2:6" x14ac:dyDescent="0.2">
      <c r="B2587" t="s">
        <v>8533</v>
      </c>
      <c r="C2587" t="s">
        <v>8534</v>
      </c>
      <c r="D2587">
        <v>7</v>
      </c>
      <c r="E2587" t="s">
        <v>2903</v>
      </c>
      <c r="F2587">
        <v>2</v>
      </c>
    </row>
    <row r="2588" spans="2:6" x14ac:dyDescent="0.2">
      <c r="B2588" t="s">
        <v>8535</v>
      </c>
      <c r="C2588" t="s">
        <v>8536</v>
      </c>
      <c r="D2588">
        <v>7</v>
      </c>
      <c r="E2588" t="s">
        <v>4437</v>
      </c>
      <c r="F2588">
        <v>2</v>
      </c>
    </row>
    <row r="2589" spans="2:6" x14ac:dyDescent="0.2">
      <c r="B2589" t="s">
        <v>8537</v>
      </c>
      <c r="C2589" t="s">
        <v>8538</v>
      </c>
      <c r="D2589">
        <v>7</v>
      </c>
      <c r="E2589" t="s">
        <v>3307</v>
      </c>
      <c r="F2589">
        <v>4</v>
      </c>
    </row>
    <row r="2590" spans="2:6" x14ac:dyDescent="0.2">
      <c r="B2590" t="s">
        <v>8539</v>
      </c>
      <c r="C2590" t="s">
        <v>8540</v>
      </c>
      <c r="D2590">
        <v>7</v>
      </c>
      <c r="E2590" t="s">
        <v>3586</v>
      </c>
      <c r="F2590">
        <v>1</v>
      </c>
    </row>
    <row r="2591" spans="2:6" x14ac:dyDescent="0.2">
      <c r="B2591" t="s">
        <v>8541</v>
      </c>
      <c r="C2591" t="s">
        <v>8542</v>
      </c>
      <c r="D2591">
        <v>7</v>
      </c>
      <c r="E2591" t="s">
        <v>8543</v>
      </c>
      <c r="F2591">
        <v>1</v>
      </c>
    </row>
    <row r="2592" spans="2:6" x14ac:dyDescent="0.2">
      <c r="B2592" t="s">
        <v>8544</v>
      </c>
      <c r="C2592" t="s">
        <v>8545</v>
      </c>
      <c r="D2592">
        <v>7</v>
      </c>
      <c r="E2592" t="s">
        <v>3688</v>
      </c>
      <c r="F2592">
        <v>1</v>
      </c>
    </row>
    <row r="2593" spans="2:6" x14ac:dyDescent="0.2">
      <c r="B2593" t="s">
        <v>230</v>
      </c>
      <c r="C2593" t="s">
        <v>8546</v>
      </c>
      <c r="D2593">
        <v>7</v>
      </c>
      <c r="E2593" t="s">
        <v>2785</v>
      </c>
      <c r="F2593">
        <v>1</v>
      </c>
    </row>
    <row r="2594" spans="2:6" x14ac:dyDescent="0.2">
      <c r="B2594" t="s">
        <v>8547</v>
      </c>
      <c r="C2594" t="s">
        <v>8548</v>
      </c>
      <c r="D2594">
        <v>7</v>
      </c>
      <c r="E2594" t="s">
        <v>4992</v>
      </c>
      <c r="F2594">
        <v>1</v>
      </c>
    </row>
    <row r="2595" spans="2:6" x14ac:dyDescent="0.2">
      <c r="B2595" t="s">
        <v>8549</v>
      </c>
      <c r="C2595" t="s">
        <v>8550</v>
      </c>
      <c r="D2595">
        <v>7</v>
      </c>
      <c r="E2595" t="s">
        <v>5443</v>
      </c>
      <c r="F2595">
        <v>1</v>
      </c>
    </row>
    <row r="2596" spans="2:6" x14ac:dyDescent="0.2">
      <c r="B2596" t="s">
        <v>8551</v>
      </c>
      <c r="C2596" t="s">
        <v>8552</v>
      </c>
      <c r="D2596">
        <v>7</v>
      </c>
      <c r="E2596" t="s">
        <v>3187</v>
      </c>
      <c r="F2596">
        <v>8</v>
      </c>
    </row>
    <row r="2597" spans="2:6" x14ac:dyDescent="0.2">
      <c r="B2597" t="s">
        <v>8553</v>
      </c>
      <c r="C2597" t="s">
        <v>8554</v>
      </c>
      <c r="D2597">
        <v>7</v>
      </c>
      <c r="E2597" t="s">
        <v>8555</v>
      </c>
      <c r="F2597">
        <v>2</v>
      </c>
    </row>
    <row r="2598" spans="2:6" x14ac:dyDescent="0.2">
      <c r="B2598" t="s">
        <v>8556</v>
      </c>
      <c r="C2598" t="s">
        <v>8557</v>
      </c>
      <c r="D2598">
        <v>7</v>
      </c>
      <c r="E2598" t="s">
        <v>4638</v>
      </c>
      <c r="F2598">
        <v>4</v>
      </c>
    </row>
    <row r="2599" spans="2:6" x14ac:dyDescent="0.2">
      <c r="B2599" t="s">
        <v>1762</v>
      </c>
      <c r="C2599" t="s">
        <v>8558</v>
      </c>
      <c r="D2599">
        <v>7</v>
      </c>
      <c r="E2599" t="s">
        <v>3203</v>
      </c>
      <c r="F2599">
        <v>3</v>
      </c>
    </row>
    <row r="2600" spans="2:6" x14ac:dyDescent="0.2">
      <c r="B2600" t="s">
        <v>8559</v>
      </c>
      <c r="C2600" t="s">
        <v>8560</v>
      </c>
      <c r="D2600">
        <v>7</v>
      </c>
      <c r="E2600" t="s">
        <v>8561</v>
      </c>
      <c r="F2600">
        <v>3</v>
      </c>
    </row>
    <row r="2601" spans="2:6" x14ac:dyDescent="0.2">
      <c r="B2601" t="s">
        <v>8562</v>
      </c>
      <c r="C2601" t="s">
        <v>8563</v>
      </c>
      <c r="D2601">
        <v>7</v>
      </c>
      <c r="E2601" t="s">
        <v>8564</v>
      </c>
      <c r="F2601">
        <v>6</v>
      </c>
    </row>
    <row r="2602" spans="2:6" x14ac:dyDescent="0.2">
      <c r="B2602" t="s">
        <v>8565</v>
      </c>
      <c r="C2602" t="s">
        <v>8566</v>
      </c>
      <c r="D2602">
        <v>7</v>
      </c>
      <c r="E2602" t="s">
        <v>8567</v>
      </c>
      <c r="F2602">
        <v>4</v>
      </c>
    </row>
    <row r="2603" spans="2:6" x14ac:dyDescent="0.2">
      <c r="B2603" t="s">
        <v>8568</v>
      </c>
      <c r="C2603" t="s">
        <v>8569</v>
      </c>
      <c r="D2603">
        <v>7</v>
      </c>
      <c r="E2603" t="s">
        <v>3084</v>
      </c>
      <c r="F2603">
        <v>2</v>
      </c>
    </row>
    <row r="2604" spans="2:6" x14ac:dyDescent="0.2">
      <c r="B2604" t="s">
        <v>8570</v>
      </c>
      <c r="C2604" t="s">
        <v>8571</v>
      </c>
      <c r="D2604">
        <v>7</v>
      </c>
      <c r="E2604" t="s">
        <v>3084</v>
      </c>
      <c r="F2604">
        <v>2</v>
      </c>
    </row>
    <row r="2605" spans="2:6" x14ac:dyDescent="0.2">
      <c r="B2605" t="s">
        <v>8572</v>
      </c>
      <c r="C2605" t="s">
        <v>8573</v>
      </c>
      <c r="D2605">
        <v>7</v>
      </c>
      <c r="E2605" t="s">
        <v>3551</v>
      </c>
      <c r="F2605">
        <v>4</v>
      </c>
    </row>
    <row r="2606" spans="2:6" x14ac:dyDescent="0.2">
      <c r="B2606" t="s">
        <v>8574</v>
      </c>
      <c r="C2606" t="s">
        <v>3601</v>
      </c>
      <c r="D2606">
        <v>7</v>
      </c>
      <c r="E2606" t="s">
        <v>8575</v>
      </c>
      <c r="F2606">
        <v>2</v>
      </c>
    </row>
    <row r="2607" spans="2:6" x14ac:dyDescent="0.2">
      <c r="B2607" t="s">
        <v>8576</v>
      </c>
      <c r="C2607" t="s">
        <v>8577</v>
      </c>
      <c r="D2607">
        <v>7</v>
      </c>
      <c r="E2607" t="s">
        <v>3597</v>
      </c>
      <c r="F2607">
        <v>1</v>
      </c>
    </row>
    <row r="2608" spans="2:6" x14ac:dyDescent="0.2">
      <c r="B2608" t="s">
        <v>8578</v>
      </c>
      <c r="C2608" t="s">
        <v>8579</v>
      </c>
      <c r="D2608">
        <v>7</v>
      </c>
      <c r="E2608" t="s">
        <v>3666</v>
      </c>
      <c r="F2608">
        <v>1</v>
      </c>
    </row>
    <row r="2609" spans="2:6" x14ac:dyDescent="0.2">
      <c r="B2609" t="s">
        <v>8580</v>
      </c>
      <c r="C2609" t="s">
        <v>8581</v>
      </c>
      <c r="D2609">
        <v>7</v>
      </c>
      <c r="E2609" t="s">
        <v>3708</v>
      </c>
      <c r="F2609">
        <v>6</v>
      </c>
    </row>
    <row r="2610" spans="2:6" x14ac:dyDescent="0.2">
      <c r="B2610" t="s">
        <v>8582</v>
      </c>
      <c r="C2610" t="s">
        <v>8583</v>
      </c>
      <c r="D2610">
        <v>7</v>
      </c>
      <c r="E2610" t="s">
        <v>6566</v>
      </c>
      <c r="F2610">
        <v>9</v>
      </c>
    </row>
    <row r="2611" spans="2:6" x14ac:dyDescent="0.2">
      <c r="B2611" t="s">
        <v>8584</v>
      </c>
      <c r="C2611" t="s">
        <v>8585</v>
      </c>
      <c r="D2611">
        <v>7</v>
      </c>
      <c r="E2611" t="s">
        <v>3109</v>
      </c>
      <c r="F2611">
        <v>3</v>
      </c>
    </row>
    <row r="2612" spans="2:6" x14ac:dyDescent="0.2">
      <c r="B2612" t="s">
        <v>8586</v>
      </c>
      <c r="C2612" t="s">
        <v>8587</v>
      </c>
      <c r="D2612">
        <v>7</v>
      </c>
      <c r="E2612" t="s">
        <v>8588</v>
      </c>
      <c r="F2612">
        <v>2</v>
      </c>
    </row>
    <row r="2613" spans="2:6" x14ac:dyDescent="0.2">
      <c r="B2613" t="s">
        <v>8589</v>
      </c>
      <c r="C2613" t="s">
        <v>8590</v>
      </c>
      <c r="D2613">
        <v>7</v>
      </c>
      <c r="E2613" t="s">
        <v>3688</v>
      </c>
      <c r="F2613">
        <v>2</v>
      </c>
    </row>
    <row r="2614" spans="2:6" x14ac:dyDescent="0.2">
      <c r="B2614" t="s">
        <v>8591</v>
      </c>
      <c r="C2614" t="s">
        <v>8592</v>
      </c>
      <c r="D2614">
        <v>7</v>
      </c>
      <c r="E2614" t="s">
        <v>2915</v>
      </c>
      <c r="F2614">
        <v>1</v>
      </c>
    </row>
    <row r="2615" spans="2:6" x14ac:dyDescent="0.2">
      <c r="B2615" t="s">
        <v>8593</v>
      </c>
      <c r="C2615" t="s">
        <v>6675</v>
      </c>
      <c r="D2615">
        <v>7</v>
      </c>
      <c r="E2615" t="s">
        <v>3089</v>
      </c>
      <c r="F2615">
        <v>4</v>
      </c>
    </row>
    <row r="2616" spans="2:6" x14ac:dyDescent="0.2">
      <c r="B2616" t="s">
        <v>8594</v>
      </c>
      <c r="C2616" t="s">
        <v>8595</v>
      </c>
      <c r="D2616">
        <v>7</v>
      </c>
      <c r="E2616" t="s">
        <v>2892</v>
      </c>
      <c r="F2616">
        <v>5</v>
      </c>
    </row>
    <row r="2617" spans="2:6" x14ac:dyDescent="0.2">
      <c r="B2617" t="s">
        <v>8596</v>
      </c>
      <c r="C2617" t="s">
        <v>8597</v>
      </c>
      <c r="D2617">
        <v>7</v>
      </c>
      <c r="E2617" t="s">
        <v>3092</v>
      </c>
      <c r="F2617">
        <v>10</v>
      </c>
    </row>
    <row r="2618" spans="2:6" x14ac:dyDescent="0.2">
      <c r="B2618" t="s">
        <v>8598</v>
      </c>
      <c r="C2618" t="s">
        <v>8599</v>
      </c>
      <c r="D2618">
        <v>7</v>
      </c>
      <c r="E2618" t="s">
        <v>3153</v>
      </c>
      <c r="F2618">
        <v>1</v>
      </c>
    </row>
    <row r="2619" spans="2:6" x14ac:dyDescent="0.2">
      <c r="B2619" t="s">
        <v>8600</v>
      </c>
      <c r="C2619" t="s">
        <v>8601</v>
      </c>
      <c r="D2619">
        <v>7</v>
      </c>
      <c r="E2619" t="s">
        <v>7642</v>
      </c>
      <c r="F2619">
        <v>1</v>
      </c>
    </row>
    <row r="2620" spans="2:6" x14ac:dyDescent="0.2">
      <c r="B2620" t="s">
        <v>8602</v>
      </c>
      <c r="C2620" t="s">
        <v>8603</v>
      </c>
      <c r="D2620">
        <v>7</v>
      </c>
      <c r="E2620" t="s">
        <v>8604</v>
      </c>
      <c r="F2620">
        <v>2</v>
      </c>
    </row>
    <row r="2621" spans="2:6" x14ac:dyDescent="0.2">
      <c r="B2621" t="s">
        <v>740</v>
      </c>
      <c r="C2621" t="s">
        <v>8605</v>
      </c>
      <c r="D2621">
        <v>7</v>
      </c>
      <c r="E2621" t="s">
        <v>3575</v>
      </c>
      <c r="F2621">
        <v>3</v>
      </c>
    </row>
    <row r="2622" spans="2:6" x14ac:dyDescent="0.2">
      <c r="B2622" t="s">
        <v>8606</v>
      </c>
      <c r="C2622" t="s">
        <v>8607</v>
      </c>
      <c r="D2622">
        <v>7</v>
      </c>
      <c r="E2622" t="s">
        <v>3004</v>
      </c>
      <c r="F2622">
        <v>1</v>
      </c>
    </row>
    <row r="2623" spans="2:6" x14ac:dyDescent="0.2">
      <c r="B2623" t="s">
        <v>8608</v>
      </c>
      <c r="C2623" t="s">
        <v>8609</v>
      </c>
      <c r="D2623">
        <v>7</v>
      </c>
      <c r="E2623" t="s">
        <v>2811</v>
      </c>
      <c r="F2623">
        <v>5</v>
      </c>
    </row>
    <row r="2624" spans="2:6" x14ac:dyDescent="0.2">
      <c r="B2624" t="s">
        <v>1848</v>
      </c>
      <c r="C2624" t="s">
        <v>8610</v>
      </c>
      <c r="D2624">
        <v>7</v>
      </c>
      <c r="E2624" t="s">
        <v>3176</v>
      </c>
      <c r="F2624">
        <v>1</v>
      </c>
    </row>
    <row r="2625" spans="2:6" x14ac:dyDescent="0.2">
      <c r="B2625" t="s">
        <v>8611</v>
      </c>
      <c r="C2625" t="s">
        <v>8612</v>
      </c>
      <c r="D2625">
        <v>7</v>
      </c>
      <c r="E2625" t="s">
        <v>2811</v>
      </c>
      <c r="F2625">
        <v>1</v>
      </c>
    </row>
    <row r="2626" spans="2:6" x14ac:dyDescent="0.2">
      <c r="B2626" t="s">
        <v>8613</v>
      </c>
      <c r="C2626" t="s">
        <v>8614</v>
      </c>
      <c r="D2626">
        <v>7</v>
      </c>
      <c r="E2626" t="s">
        <v>3056</v>
      </c>
      <c r="F2626">
        <v>2</v>
      </c>
    </row>
    <row r="2627" spans="2:6" x14ac:dyDescent="0.2">
      <c r="B2627" t="s">
        <v>8615</v>
      </c>
      <c r="C2627" t="s">
        <v>8616</v>
      </c>
      <c r="D2627">
        <v>7</v>
      </c>
      <c r="E2627" t="s">
        <v>4187</v>
      </c>
      <c r="F2627">
        <v>5</v>
      </c>
    </row>
    <row r="2628" spans="2:6" x14ac:dyDescent="0.2">
      <c r="B2628" t="s">
        <v>1015</v>
      </c>
      <c r="C2628" t="s">
        <v>8617</v>
      </c>
      <c r="D2628">
        <v>7</v>
      </c>
      <c r="E2628" t="s">
        <v>2850</v>
      </c>
      <c r="F2628">
        <v>1</v>
      </c>
    </row>
    <row r="2629" spans="2:6" x14ac:dyDescent="0.2">
      <c r="B2629" t="s">
        <v>8618</v>
      </c>
      <c r="C2629" t="s">
        <v>8619</v>
      </c>
      <c r="D2629">
        <v>7</v>
      </c>
      <c r="E2629" t="s">
        <v>3452</v>
      </c>
      <c r="F2629">
        <v>11</v>
      </c>
    </row>
    <row r="2630" spans="2:6" x14ac:dyDescent="0.2">
      <c r="B2630" t="s">
        <v>8620</v>
      </c>
      <c r="C2630" t="s">
        <v>8621</v>
      </c>
      <c r="D2630">
        <v>7</v>
      </c>
      <c r="E2630" t="s">
        <v>8622</v>
      </c>
      <c r="F2630">
        <v>20</v>
      </c>
    </row>
    <row r="2631" spans="2:6" x14ac:dyDescent="0.2">
      <c r="B2631" t="s">
        <v>8623</v>
      </c>
      <c r="C2631" t="s">
        <v>4743</v>
      </c>
      <c r="D2631">
        <v>7</v>
      </c>
      <c r="E2631" t="s">
        <v>5513</v>
      </c>
      <c r="F2631">
        <v>2</v>
      </c>
    </row>
    <row r="2632" spans="2:6" x14ac:dyDescent="0.2">
      <c r="B2632" t="s">
        <v>8624</v>
      </c>
      <c r="C2632" t="s">
        <v>2690</v>
      </c>
      <c r="D2632">
        <v>7</v>
      </c>
      <c r="E2632" t="s">
        <v>8625</v>
      </c>
      <c r="F2632">
        <v>3</v>
      </c>
    </row>
    <row r="2633" spans="2:6" x14ac:dyDescent="0.2">
      <c r="B2633" t="s">
        <v>8626</v>
      </c>
      <c r="C2633" t="s">
        <v>8627</v>
      </c>
      <c r="D2633">
        <v>7</v>
      </c>
      <c r="E2633" t="s">
        <v>3232</v>
      </c>
      <c r="F2633">
        <v>1</v>
      </c>
    </row>
    <row r="2634" spans="2:6" x14ac:dyDescent="0.2">
      <c r="B2634" t="s">
        <v>8628</v>
      </c>
      <c r="C2634" t="s">
        <v>8629</v>
      </c>
      <c r="D2634">
        <v>7</v>
      </c>
      <c r="E2634" t="s">
        <v>7642</v>
      </c>
      <c r="F2634">
        <v>1</v>
      </c>
    </row>
    <row r="2635" spans="2:6" x14ac:dyDescent="0.2">
      <c r="B2635" t="s">
        <v>8630</v>
      </c>
      <c r="C2635" t="s">
        <v>8631</v>
      </c>
      <c r="D2635">
        <v>7</v>
      </c>
      <c r="E2635" t="s">
        <v>4260</v>
      </c>
      <c r="F2635">
        <v>6</v>
      </c>
    </row>
    <row r="2636" spans="2:6" x14ac:dyDescent="0.2">
      <c r="B2636" t="s">
        <v>8632</v>
      </c>
      <c r="C2636" t="s">
        <v>8633</v>
      </c>
      <c r="D2636">
        <v>7</v>
      </c>
      <c r="E2636" t="s">
        <v>8634</v>
      </c>
      <c r="F2636">
        <v>1</v>
      </c>
    </row>
    <row r="2637" spans="2:6" x14ac:dyDescent="0.2">
      <c r="B2637" t="s">
        <v>8635</v>
      </c>
      <c r="C2637" t="s">
        <v>8636</v>
      </c>
      <c r="D2637">
        <v>7</v>
      </c>
      <c r="E2637" t="s">
        <v>4260</v>
      </c>
      <c r="F2637">
        <v>20</v>
      </c>
    </row>
    <row r="2638" spans="2:6" x14ac:dyDescent="0.2">
      <c r="B2638" t="s">
        <v>8637</v>
      </c>
      <c r="C2638" t="s">
        <v>8638</v>
      </c>
      <c r="D2638">
        <v>7</v>
      </c>
      <c r="E2638" t="s">
        <v>3933</v>
      </c>
      <c r="F2638">
        <v>7</v>
      </c>
    </row>
    <row r="2639" spans="2:6" x14ac:dyDescent="0.2">
      <c r="B2639" t="s">
        <v>8639</v>
      </c>
      <c r="C2639" t="s">
        <v>8640</v>
      </c>
      <c r="D2639">
        <v>7</v>
      </c>
      <c r="E2639" t="s">
        <v>3013</v>
      </c>
      <c r="F2639">
        <v>3</v>
      </c>
    </row>
    <row r="2640" spans="2:6" x14ac:dyDescent="0.2">
      <c r="B2640" t="s">
        <v>8641</v>
      </c>
      <c r="C2640" t="s">
        <v>8642</v>
      </c>
      <c r="D2640">
        <v>7</v>
      </c>
      <c r="E2640" t="s">
        <v>3111</v>
      </c>
      <c r="F2640">
        <v>1</v>
      </c>
    </row>
    <row r="2641" spans="2:6" x14ac:dyDescent="0.2">
      <c r="B2641" t="s">
        <v>8643</v>
      </c>
      <c r="C2641" t="s">
        <v>8644</v>
      </c>
      <c r="D2641">
        <v>7</v>
      </c>
      <c r="E2641" t="s">
        <v>3375</v>
      </c>
      <c r="F2641">
        <v>7</v>
      </c>
    </row>
    <row r="2642" spans="2:6" x14ac:dyDescent="0.2">
      <c r="B2642" t="s">
        <v>483</v>
      </c>
      <c r="C2642" t="s">
        <v>8645</v>
      </c>
      <c r="D2642">
        <v>7</v>
      </c>
      <c r="E2642" t="s">
        <v>8646</v>
      </c>
      <c r="F2642">
        <v>4</v>
      </c>
    </row>
    <row r="2643" spans="2:6" x14ac:dyDescent="0.2">
      <c r="B2643" t="s">
        <v>8647</v>
      </c>
      <c r="C2643" t="s">
        <v>8648</v>
      </c>
      <c r="D2643">
        <v>7</v>
      </c>
      <c r="E2643" t="s">
        <v>3098</v>
      </c>
      <c r="F2643">
        <v>1</v>
      </c>
    </row>
    <row r="2644" spans="2:6" x14ac:dyDescent="0.2">
      <c r="B2644" t="s">
        <v>8649</v>
      </c>
      <c r="C2644" t="s">
        <v>8650</v>
      </c>
      <c r="D2644">
        <v>7</v>
      </c>
      <c r="E2644" t="s">
        <v>3281</v>
      </c>
      <c r="F2644">
        <v>16</v>
      </c>
    </row>
    <row r="2645" spans="2:6" x14ac:dyDescent="0.2">
      <c r="B2645" t="s">
        <v>8651</v>
      </c>
      <c r="C2645" t="s">
        <v>8652</v>
      </c>
      <c r="D2645">
        <v>7</v>
      </c>
      <c r="E2645" t="s">
        <v>2811</v>
      </c>
      <c r="F2645">
        <v>4</v>
      </c>
    </row>
    <row r="2646" spans="2:6" x14ac:dyDescent="0.2">
      <c r="B2646" t="s">
        <v>8653</v>
      </c>
      <c r="C2646" t="s">
        <v>8654</v>
      </c>
      <c r="D2646">
        <v>7</v>
      </c>
      <c r="E2646" t="s">
        <v>4104</v>
      </c>
      <c r="F2646">
        <v>5</v>
      </c>
    </row>
    <row r="2647" spans="2:6" x14ac:dyDescent="0.2">
      <c r="B2647" t="s">
        <v>8655</v>
      </c>
      <c r="C2647" t="s">
        <v>8656</v>
      </c>
      <c r="D2647">
        <v>7</v>
      </c>
      <c r="E2647" t="s">
        <v>8657</v>
      </c>
      <c r="F2647">
        <v>3</v>
      </c>
    </row>
    <row r="2648" spans="2:6" x14ac:dyDescent="0.2">
      <c r="B2648" t="s">
        <v>8658</v>
      </c>
      <c r="C2648" t="s">
        <v>8659</v>
      </c>
      <c r="D2648">
        <v>7</v>
      </c>
      <c r="E2648" t="s">
        <v>3426</v>
      </c>
      <c r="F2648">
        <v>5</v>
      </c>
    </row>
    <row r="2649" spans="2:6" x14ac:dyDescent="0.2">
      <c r="B2649" t="s">
        <v>8660</v>
      </c>
      <c r="C2649" t="s">
        <v>8661</v>
      </c>
      <c r="D2649">
        <v>7</v>
      </c>
      <c r="E2649" t="s">
        <v>3162</v>
      </c>
      <c r="F2649">
        <v>1</v>
      </c>
    </row>
    <row r="2650" spans="2:6" x14ac:dyDescent="0.2">
      <c r="B2650" t="s">
        <v>8662</v>
      </c>
      <c r="C2650" t="s">
        <v>8663</v>
      </c>
      <c r="D2650">
        <v>7</v>
      </c>
      <c r="E2650" t="s">
        <v>2855</v>
      </c>
      <c r="F2650">
        <v>10</v>
      </c>
    </row>
    <row r="2651" spans="2:6" x14ac:dyDescent="0.2">
      <c r="B2651" t="s">
        <v>8664</v>
      </c>
      <c r="C2651" t="s">
        <v>8665</v>
      </c>
      <c r="D2651">
        <v>7</v>
      </c>
      <c r="E2651" t="s">
        <v>8666</v>
      </c>
      <c r="F2651">
        <v>9</v>
      </c>
    </row>
    <row r="2652" spans="2:6" x14ac:dyDescent="0.2">
      <c r="B2652" t="s">
        <v>8667</v>
      </c>
      <c r="C2652" t="s">
        <v>8668</v>
      </c>
      <c r="D2652">
        <v>7</v>
      </c>
      <c r="E2652" t="s">
        <v>8669</v>
      </c>
      <c r="F2652">
        <v>8</v>
      </c>
    </row>
    <row r="2653" spans="2:6" x14ac:dyDescent="0.2">
      <c r="B2653" t="s">
        <v>8670</v>
      </c>
      <c r="C2653" t="s">
        <v>8671</v>
      </c>
      <c r="D2653">
        <v>7</v>
      </c>
      <c r="E2653" t="s">
        <v>8672</v>
      </c>
      <c r="F2653">
        <v>3</v>
      </c>
    </row>
    <row r="2654" spans="2:6" x14ac:dyDescent="0.2">
      <c r="B2654" t="s">
        <v>8673</v>
      </c>
      <c r="C2654" t="s">
        <v>8674</v>
      </c>
      <c r="D2654">
        <v>7</v>
      </c>
      <c r="E2654" t="s">
        <v>2892</v>
      </c>
      <c r="F2654">
        <v>1</v>
      </c>
    </row>
    <row r="2655" spans="2:6" x14ac:dyDescent="0.2">
      <c r="B2655" t="s">
        <v>8675</v>
      </c>
      <c r="C2655" t="s">
        <v>8676</v>
      </c>
      <c r="D2655">
        <v>7</v>
      </c>
      <c r="E2655" t="s">
        <v>3235</v>
      </c>
      <c r="F2655">
        <v>2</v>
      </c>
    </row>
    <row r="2656" spans="2:6" x14ac:dyDescent="0.2">
      <c r="B2656" t="s">
        <v>8677</v>
      </c>
      <c r="C2656" t="s">
        <v>8678</v>
      </c>
      <c r="D2656">
        <v>7</v>
      </c>
      <c r="E2656" t="s">
        <v>3031</v>
      </c>
      <c r="F2656">
        <v>1</v>
      </c>
    </row>
    <row r="2657" spans="2:6" x14ac:dyDescent="0.2">
      <c r="B2657" t="s">
        <v>8679</v>
      </c>
      <c r="C2657" t="s">
        <v>8680</v>
      </c>
      <c r="D2657">
        <v>7</v>
      </c>
      <c r="E2657" t="s">
        <v>5364</v>
      </c>
      <c r="F2657">
        <v>6</v>
      </c>
    </row>
    <row r="2658" spans="2:6" x14ac:dyDescent="0.2">
      <c r="B2658" t="s">
        <v>8681</v>
      </c>
      <c r="C2658" t="s">
        <v>8682</v>
      </c>
      <c r="D2658">
        <v>7</v>
      </c>
      <c r="E2658" t="s">
        <v>6735</v>
      </c>
      <c r="F2658">
        <v>1</v>
      </c>
    </row>
    <row r="2659" spans="2:6" x14ac:dyDescent="0.2">
      <c r="B2659" t="s">
        <v>8683</v>
      </c>
      <c r="C2659" t="s">
        <v>8684</v>
      </c>
      <c r="D2659">
        <v>7</v>
      </c>
      <c r="E2659" t="s">
        <v>4650</v>
      </c>
      <c r="F2659">
        <v>17</v>
      </c>
    </row>
    <row r="2660" spans="2:6" x14ac:dyDescent="0.2">
      <c r="B2660" t="s">
        <v>1452</v>
      </c>
      <c r="C2660" t="s">
        <v>8685</v>
      </c>
      <c r="D2660">
        <v>7</v>
      </c>
      <c r="E2660" t="s">
        <v>4888</v>
      </c>
      <c r="F2660">
        <v>4</v>
      </c>
    </row>
    <row r="2661" spans="2:6" x14ac:dyDescent="0.2">
      <c r="B2661" t="s">
        <v>8686</v>
      </c>
      <c r="C2661" t="s">
        <v>8687</v>
      </c>
      <c r="D2661">
        <v>7</v>
      </c>
      <c r="E2661" t="s">
        <v>3095</v>
      </c>
      <c r="F2661">
        <v>8</v>
      </c>
    </row>
    <row r="2662" spans="2:6" x14ac:dyDescent="0.2">
      <c r="B2662" t="s">
        <v>8688</v>
      </c>
      <c r="C2662" t="s">
        <v>8689</v>
      </c>
      <c r="D2662">
        <v>7</v>
      </c>
      <c r="E2662" t="s">
        <v>8690</v>
      </c>
      <c r="F2662">
        <v>2</v>
      </c>
    </row>
    <row r="2663" spans="2:6" x14ac:dyDescent="0.2">
      <c r="B2663" t="s">
        <v>8691</v>
      </c>
      <c r="C2663" t="s">
        <v>7821</v>
      </c>
      <c r="D2663">
        <v>7</v>
      </c>
      <c r="E2663" t="s">
        <v>8692</v>
      </c>
      <c r="F2663">
        <v>1</v>
      </c>
    </row>
    <row r="2664" spans="2:6" x14ac:dyDescent="0.2">
      <c r="B2664" t="s">
        <v>8693</v>
      </c>
      <c r="C2664" t="s">
        <v>8694</v>
      </c>
      <c r="D2664">
        <v>7</v>
      </c>
      <c r="E2664" t="s">
        <v>4888</v>
      </c>
      <c r="F2664">
        <v>6</v>
      </c>
    </row>
    <row r="2665" spans="2:6" x14ac:dyDescent="0.2">
      <c r="B2665" t="s">
        <v>8695</v>
      </c>
      <c r="C2665" t="s">
        <v>8696</v>
      </c>
      <c r="D2665">
        <v>7</v>
      </c>
      <c r="E2665" t="s">
        <v>8697</v>
      </c>
      <c r="F2665">
        <v>8</v>
      </c>
    </row>
    <row r="2666" spans="2:6" x14ac:dyDescent="0.2">
      <c r="B2666" t="s">
        <v>8698</v>
      </c>
      <c r="C2666" t="s">
        <v>8699</v>
      </c>
      <c r="D2666">
        <v>7</v>
      </c>
      <c r="E2666" t="s">
        <v>3095</v>
      </c>
      <c r="F2666">
        <v>5</v>
      </c>
    </row>
    <row r="2667" spans="2:6" x14ac:dyDescent="0.2">
      <c r="B2667" t="s">
        <v>8700</v>
      </c>
      <c r="C2667" t="s">
        <v>8701</v>
      </c>
      <c r="D2667">
        <v>7</v>
      </c>
      <c r="E2667" t="s">
        <v>2811</v>
      </c>
      <c r="F2667">
        <v>1</v>
      </c>
    </row>
    <row r="2668" spans="2:6" x14ac:dyDescent="0.2">
      <c r="B2668" t="s">
        <v>8702</v>
      </c>
      <c r="C2668" t="s">
        <v>8703</v>
      </c>
      <c r="D2668">
        <v>7</v>
      </c>
      <c r="E2668" t="s">
        <v>3814</v>
      </c>
      <c r="F2668">
        <v>4</v>
      </c>
    </row>
    <row r="2669" spans="2:6" x14ac:dyDescent="0.2">
      <c r="B2669" t="s">
        <v>8704</v>
      </c>
      <c r="C2669" t="s">
        <v>8705</v>
      </c>
      <c r="D2669">
        <v>7</v>
      </c>
      <c r="E2669" t="s">
        <v>3628</v>
      </c>
      <c r="F2669">
        <v>2</v>
      </c>
    </row>
    <row r="2670" spans="2:6" x14ac:dyDescent="0.2">
      <c r="B2670" t="s">
        <v>8706</v>
      </c>
      <c r="C2670" t="s">
        <v>8707</v>
      </c>
      <c r="D2670">
        <v>7</v>
      </c>
      <c r="E2670" t="s">
        <v>2974</v>
      </c>
      <c r="F2670">
        <v>2</v>
      </c>
    </row>
    <row r="2671" spans="2:6" x14ac:dyDescent="0.2">
      <c r="B2671" t="s">
        <v>8708</v>
      </c>
      <c r="C2671" t="s">
        <v>8709</v>
      </c>
      <c r="D2671">
        <v>7</v>
      </c>
      <c r="E2671" t="s">
        <v>8710</v>
      </c>
      <c r="F2671">
        <v>3</v>
      </c>
    </row>
    <row r="2672" spans="2:6" x14ac:dyDescent="0.2">
      <c r="B2672" t="s">
        <v>1820</v>
      </c>
      <c r="C2672" t="s">
        <v>8711</v>
      </c>
      <c r="D2672">
        <v>7</v>
      </c>
      <c r="E2672" t="s">
        <v>2839</v>
      </c>
      <c r="F2672">
        <v>15</v>
      </c>
    </row>
    <row r="2673" spans="2:6" x14ac:dyDescent="0.2">
      <c r="B2673" t="s">
        <v>8712</v>
      </c>
      <c r="C2673" t="s">
        <v>8713</v>
      </c>
      <c r="D2673">
        <v>7</v>
      </c>
      <c r="E2673" t="s">
        <v>8714</v>
      </c>
      <c r="F2673">
        <v>2</v>
      </c>
    </row>
    <row r="2674" spans="2:6" x14ac:dyDescent="0.2">
      <c r="B2674" t="s">
        <v>8715</v>
      </c>
      <c r="C2674" t="s">
        <v>8716</v>
      </c>
      <c r="D2674">
        <v>7</v>
      </c>
      <c r="E2674" t="s">
        <v>2788</v>
      </c>
      <c r="F2674">
        <v>4</v>
      </c>
    </row>
    <row r="2675" spans="2:6" x14ac:dyDescent="0.2">
      <c r="B2675" t="s">
        <v>8717</v>
      </c>
      <c r="C2675" t="s">
        <v>8718</v>
      </c>
      <c r="D2675">
        <v>7</v>
      </c>
      <c r="E2675" t="s">
        <v>3232</v>
      </c>
      <c r="F2675">
        <v>1</v>
      </c>
    </row>
    <row r="2676" spans="2:6" x14ac:dyDescent="0.2">
      <c r="B2676" t="s">
        <v>1262</v>
      </c>
      <c r="C2676" t="s">
        <v>8719</v>
      </c>
      <c r="D2676">
        <v>7</v>
      </c>
      <c r="E2676" t="s">
        <v>4232</v>
      </c>
      <c r="F2676">
        <v>6</v>
      </c>
    </row>
    <row r="2677" spans="2:6" x14ac:dyDescent="0.2">
      <c r="B2677" t="s">
        <v>8720</v>
      </c>
      <c r="C2677" t="s">
        <v>8721</v>
      </c>
      <c r="D2677">
        <v>7</v>
      </c>
      <c r="E2677" t="s">
        <v>8722</v>
      </c>
      <c r="F2677">
        <v>2</v>
      </c>
    </row>
    <row r="2678" spans="2:6" x14ac:dyDescent="0.2">
      <c r="B2678" t="s">
        <v>8723</v>
      </c>
      <c r="C2678" t="s">
        <v>8724</v>
      </c>
      <c r="D2678">
        <v>7</v>
      </c>
      <c r="E2678" t="s">
        <v>8725</v>
      </c>
      <c r="F2678">
        <v>1</v>
      </c>
    </row>
    <row r="2679" spans="2:6" x14ac:dyDescent="0.2">
      <c r="B2679" t="s">
        <v>8726</v>
      </c>
      <c r="C2679" t="s">
        <v>8727</v>
      </c>
      <c r="D2679">
        <v>7</v>
      </c>
      <c r="E2679" t="s">
        <v>8728</v>
      </c>
      <c r="F2679">
        <v>7</v>
      </c>
    </row>
    <row r="2680" spans="2:6" x14ac:dyDescent="0.2">
      <c r="B2680" t="s">
        <v>216</v>
      </c>
      <c r="C2680" t="s">
        <v>8729</v>
      </c>
      <c r="D2680">
        <v>7</v>
      </c>
      <c r="E2680" t="s">
        <v>2839</v>
      </c>
      <c r="F2680">
        <v>2</v>
      </c>
    </row>
    <row r="2681" spans="2:6" x14ac:dyDescent="0.2">
      <c r="B2681" t="s">
        <v>8730</v>
      </c>
      <c r="C2681" t="s">
        <v>8731</v>
      </c>
      <c r="D2681">
        <v>7</v>
      </c>
      <c r="E2681" t="s">
        <v>2811</v>
      </c>
      <c r="F2681">
        <v>1</v>
      </c>
    </row>
    <row r="2682" spans="2:6" x14ac:dyDescent="0.2">
      <c r="B2682" t="s">
        <v>1563</v>
      </c>
      <c r="C2682" t="s">
        <v>8732</v>
      </c>
      <c r="D2682">
        <v>7</v>
      </c>
      <c r="E2682" t="s">
        <v>2850</v>
      </c>
      <c r="F2682">
        <v>1</v>
      </c>
    </row>
    <row r="2683" spans="2:6" x14ac:dyDescent="0.2">
      <c r="B2683" t="s">
        <v>8733</v>
      </c>
      <c r="C2683" t="s">
        <v>8734</v>
      </c>
      <c r="D2683">
        <v>7</v>
      </c>
      <c r="E2683" t="s">
        <v>3213</v>
      </c>
      <c r="F2683">
        <v>1</v>
      </c>
    </row>
    <row r="2684" spans="2:6" x14ac:dyDescent="0.2">
      <c r="B2684" t="s">
        <v>1023</v>
      </c>
      <c r="C2684" t="s">
        <v>8735</v>
      </c>
      <c r="D2684">
        <v>7</v>
      </c>
      <c r="E2684" t="s">
        <v>8736</v>
      </c>
      <c r="F2684">
        <v>19</v>
      </c>
    </row>
    <row r="2685" spans="2:6" x14ac:dyDescent="0.2">
      <c r="B2685" t="s">
        <v>8737</v>
      </c>
      <c r="C2685" t="s">
        <v>8738</v>
      </c>
      <c r="D2685">
        <v>7</v>
      </c>
      <c r="E2685" t="s">
        <v>8739</v>
      </c>
      <c r="F2685">
        <v>1</v>
      </c>
    </row>
    <row r="2686" spans="2:6" x14ac:dyDescent="0.2">
      <c r="B2686" t="s">
        <v>8740</v>
      </c>
      <c r="C2686" t="s">
        <v>8741</v>
      </c>
      <c r="D2686">
        <v>7</v>
      </c>
      <c r="E2686" t="s">
        <v>2949</v>
      </c>
      <c r="F2686">
        <v>2</v>
      </c>
    </row>
    <row r="2687" spans="2:6" x14ac:dyDescent="0.2">
      <c r="B2687" t="s">
        <v>8742</v>
      </c>
      <c r="C2687" t="s">
        <v>8743</v>
      </c>
      <c r="D2687">
        <v>7</v>
      </c>
      <c r="E2687" t="s">
        <v>8744</v>
      </c>
      <c r="F2687">
        <v>3</v>
      </c>
    </row>
    <row r="2688" spans="2:6" x14ac:dyDescent="0.2">
      <c r="B2688" t="s">
        <v>8745</v>
      </c>
      <c r="C2688" t="s">
        <v>8746</v>
      </c>
      <c r="D2688">
        <v>7</v>
      </c>
      <c r="E2688" t="s">
        <v>8747</v>
      </c>
      <c r="F2688">
        <v>2</v>
      </c>
    </row>
    <row r="2689" spans="2:6" x14ac:dyDescent="0.2">
      <c r="B2689" t="s">
        <v>8748</v>
      </c>
      <c r="C2689" t="s">
        <v>8749</v>
      </c>
      <c r="D2689">
        <v>7</v>
      </c>
      <c r="E2689" t="s">
        <v>3423</v>
      </c>
      <c r="F2689">
        <v>3</v>
      </c>
    </row>
    <row r="2690" spans="2:6" x14ac:dyDescent="0.2">
      <c r="B2690" t="s">
        <v>8750</v>
      </c>
      <c r="C2690" t="s">
        <v>8751</v>
      </c>
      <c r="D2690">
        <v>7</v>
      </c>
      <c r="E2690" t="s">
        <v>8752</v>
      </c>
      <c r="F2690">
        <v>20</v>
      </c>
    </row>
    <row r="2691" spans="2:6" x14ac:dyDescent="0.2">
      <c r="B2691" t="s">
        <v>8753</v>
      </c>
      <c r="C2691" t="s">
        <v>8754</v>
      </c>
      <c r="D2691">
        <v>7</v>
      </c>
      <c r="E2691" t="s">
        <v>8755</v>
      </c>
      <c r="F2691">
        <v>1</v>
      </c>
    </row>
    <row r="2692" spans="2:6" x14ac:dyDescent="0.2">
      <c r="B2692" t="s">
        <v>8756</v>
      </c>
      <c r="C2692" t="s">
        <v>8757</v>
      </c>
      <c r="D2692">
        <v>7</v>
      </c>
      <c r="E2692" t="s">
        <v>3092</v>
      </c>
      <c r="F2692">
        <v>6</v>
      </c>
    </row>
    <row r="2693" spans="2:6" x14ac:dyDescent="0.2">
      <c r="B2693" t="s">
        <v>8758</v>
      </c>
      <c r="C2693" t="s">
        <v>8759</v>
      </c>
      <c r="D2693">
        <v>7</v>
      </c>
      <c r="E2693" t="s">
        <v>3261</v>
      </c>
      <c r="F2693">
        <v>3</v>
      </c>
    </row>
    <row r="2694" spans="2:6" x14ac:dyDescent="0.2">
      <c r="B2694" t="s">
        <v>8760</v>
      </c>
      <c r="C2694" t="s">
        <v>1153</v>
      </c>
      <c r="D2694">
        <v>7</v>
      </c>
      <c r="E2694" t="s">
        <v>3089</v>
      </c>
      <c r="F2694">
        <v>1</v>
      </c>
    </row>
    <row r="2695" spans="2:6" x14ac:dyDescent="0.2">
      <c r="B2695" t="s">
        <v>8761</v>
      </c>
      <c r="C2695" t="s">
        <v>8762</v>
      </c>
      <c r="D2695">
        <v>7</v>
      </c>
      <c r="E2695" t="s">
        <v>8763</v>
      </c>
      <c r="F2695">
        <v>4</v>
      </c>
    </row>
    <row r="2696" spans="2:6" x14ac:dyDescent="0.2">
      <c r="B2696" t="s">
        <v>8764</v>
      </c>
      <c r="C2696" t="s">
        <v>8765</v>
      </c>
      <c r="D2696">
        <v>7</v>
      </c>
      <c r="E2696" t="s">
        <v>4690</v>
      </c>
      <c r="F2696">
        <v>4</v>
      </c>
    </row>
    <row r="2697" spans="2:6" x14ac:dyDescent="0.2">
      <c r="B2697" t="s">
        <v>8766</v>
      </c>
      <c r="C2697" t="s">
        <v>8767</v>
      </c>
      <c r="D2697">
        <v>7</v>
      </c>
      <c r="E2697" t="s">
        <v>4050</v>
      </c>
      <c r="F2697">
        <v>1</v>
      </c>
    </row>
    <row r="2698" spans="2:6" x14ac:dyDescent="0.2">
      <c r="B2698" t="s">
        <v>8768</v>
      </c>
      <c r="C2698" t="s">
        <v>8769</v>
      </c>
      <c r="D2698">
        <v>7</v>
      </c>
      <c r="E2698" t="s">
        <v>7845</v>
      </c>
      <c r="F2698">
        <v>3</v>
      </c>
    </row>
    <row r="2699" spans="2:6" x14ac:dyDescent="0.2">
      <c r="B2699" t="s">
        <v>8770</v>
      </c>
      <c r="C2699" t="s">
        <v>8771</v>
      </c>
      <c r="D2699">
        <v>7</v>
      </c>
      <c r="E2699" t="s">
        <v>8772</v>
      </c>
      <c r="F2699">
        <v>3</v>
      </c>
    </row>
    <row r="2700" spans="2:6" x14ac:dyDescent="0.2">
      <c r="B2700" t="s">
        <v>8773</v>
      </c>
      <c r="C2700" t="s">
        <v>8774</v>
      </c>
      <c r="D2700">
        <v>7</v>
      </c>
      <c r="E2700" t="s">
        <v>7727</v>
      </c>
      <c r="F2700">
        <v>1</v>
      </c>
    </row>
    <row r="2701" spans="2:6" x14ac:dyDescent="0.2">
      <c r="B2701" t="s">
        <v>8775</v>
      </c>
      <c r="C2701" t="s">
        <v>8776</v>
      </c>
      <c r="D2701">
        <v>7</v>
      </c>
      <c r="E2701" t="s">
        <v>3442</v>
      </c>
      <c r="F2701">
        <v>1</v>
      </c>
    </row>
    <row r="2702" spans="2:6" x14ac:dyDescent="0.2">
      <c r="B2702" t="s">
        <v>8777</v>
      </c>
      <c r="C2702" t="s">
        <v>8778</v>
      </c>
      <c r="D2702">
        <v>7</v>
      </c>
      <c r="E2702" t="s">
        <v>3235</v>
      </c>
      <c r="F2702">
        <v>2</v>
      </c>
    </row>
    <row r="2703" spans="2:6" x14ac:dyDescent="0.2">
      <c r="B2703" t="s">
        <v>8779</v>
      </c>
      <c r="C2703" t="s">
        <v>8780</v>
      </c>
      <c r="D2703">
        <v>7</v>
      </c>
      <c r="E2703" t="s">
        <v>8781</v>
      </c>
      <c r="F2703">
        <v>2</v>
      </c>
    </row>
    <row r="2704" spans="2:6" x14ac:dyDescent="0.2">
      <c r="B2704" t="s">
        <v>8782</v>
      </c>
      <c r="C2704" t="s">
        <v>8783</v>
      </c>
      <c r="D2704">
        <v>7</v>
      </c>
      <c r="E2704" t="s">
        <v>7195</v>
      </c>
      <c r="F2704">
        <v>1</v>
      </c>
    </row>
    <row r="2705" spans="2:6" x14ac:dyDescent="0.2">
      <c r="B2705" t="s">
        <v>8784</v>
      </c>
      <c r="C2705" t="s">
        <v>8785</v>
      </c>
      <c r="D2705">
        <v>7</v>
      </c>
      <c r="E2705" t="s">
        <v>4303</v>
      </c>
      <c r="F2705">
        <v>2</v>
      </c>
    </row>
    <row r="2706" spans="2:6" x14ac:dyDescent="0.2">
      <c r="B2706" t="s">
        <v>8786</v>
      </c>
      <c r="C2706" t="s">
        <v>8787</v>
      </c>
      <c r="D2706">
        <v>7</v>
      </c>
      <c r="E2706" t="s">
        <v>3119</v>
      </c>
      <c r="F2706">
        <v>1</v>
      </c>
    </row>
    <row r="2707" spans="2:6" x14ac:dyDescent="0.2">
      <c r="B2707" t="s">
        <v>1271</v>
      </c>
      <c r="C2707" t="s">
        <v>8788</v>
      </c>
      <c r="D2707">
        <v>7</v>
      </c>
      <c r="E2707" t="s">
        <v>8789</v>
      </c>
      <c r="F2707">
        <v>6</v>
      </c>
    </row>
    <row r="2708" spans="2:6" x14ac:dyDescent="0.2">
      <c r="B2708" t="s">
        <v>1319</v>
      </c>
      <c r="C2708" t="s">
        <v>8790</v>
      </c>
      <c r="D2708">
        <v>7</v>
      </c>
      <c r="E2708" t="s">
        <v>4670</v>
      </c>
      <c r="F2708">
        <v>4</v>
      </c>
    </row>
    <row r="2709" spans="2:6" x14ac:dyDescent="0.2">
      <c r="B2709" t="s">
        <v>8791</v>
      </c>
      <c r="C2709" t="s">
        <v>8792</v>
      </c>
      <c r="D2709">
        <v>7</v>
      </c>
      <c r="E2709" t="s">
        <v>2921</v>
      </c>
      <c r="F2709">
        <v>7</v>
      </c>
    </row>
    <row r="2710" spans="2:6" x14ac:dyDescent="0.2">
      <c r="B2710" t="s">
        <v>1702</v>
      </c>
      <c r="C2710" t="s">
        <v>8793</v>
      </c>
      <c r="D2710">
        <v>7</v>
      </c>
      <c r="E2710" t="s">
        <v>4424</v>
      </c>
      <c r="F2710">
        <v>2</v>
      </c>
    </row>
    <row r="2711" spans="2:6" x14ac:dyDescent="0.2">
      <c r="B2711" t="s">
        <v>8794</v>
      </c>
      <c r="C2711" t="s">
        <v>8795</v>
      </c>
      <c r="D2711">
        <v>7</v>
      </c>
      <c r="E2711" t="s">
        <v>3084</v>
      </c>
      <c r="F2711">
        <v>2</v>
      </c>
    </row>
    <row r="2712" spans="2:6" x14ac:dyDescent="0.2">
      <c r="B2712" t="s">
        <v>8796</v>
      </c>
      <c r="C2712" t="s">
        <v>8797</v>
      </c>
      <c r="D2712">
        <v>7</v>
      </c>
      <c r="E2712" t="s">
        <v>4449</v>
      </c>
      <c r="F2712">
        <v>1</v>
      </c>
    </row>
    <row r="2713" spans="2:6" x14ac:dyDescent="0.2">
      <c r="B2713" t="s">
        <v>8798</v>
      </c>
      <c r="C2713" t="s">
        <v>8799</v>
      </c>
      <c r="D2713">
        <v>7</v>
      </c>
      <c r="E2713" t="s">
        <v>8800</v>
      </c>
      <c r="F2713">
        <v>2</v>
      </c>
    </row>
    <row r="2714" spans="2:6" x14ac:dyDescent="0.2">
      <c r="B2714" t="s">
        <v>8801</v>
      </c>
      <c r="C2714" t="s">
        <v>8802</v>
      </c>
      <c r="D2714">
        <v>7</v>
      </c>
      <c r="E2714" t="s">
        <v>2830</v>
      </c>
      <c r="F2714">
        <v>1</v>
      </c>
    </row>
    <row r="2715" spans="2:6" x14ac:dyDescent="0.2">
      <c r="B2715" t="s">
        <v>8803</v>
      </c>
      <c r="C2715" t="s">
        <v>8804</v>
      </c>
      <c r="D2715">
        <v>7</v>
      </c>
      <c r="E2715" t="s">
        <v>8805</v>
      </c>
      <c r="F2715">
        <v>1</v>
      </c>
    </row>
    <row r="2716" spans="2:6" x14ac:dyDescent="0.2">
      <c r="B2716" t="s">
        <v>8806</v>
      </c>
      <c r="C2716" t="s">
        <v>8807</v>
      </c>
      <c r="D2716">
        <v>7</v>
      </c>
      <c r="E2716" t="s">
        <v>3477</v>
      </c>
      <c r="F2716">
        <v>5</v>
      </c>
    </row>
    <row r="2717" spans="2:6" x14ac:dyDescent="0.2">
      <c r="B2717" t="s">
        <v>1944</v>
      </c>
      <c r="C2717" t="s">
        <v>8808</v>
      </c>
      <c r="D2717">
        <v>7</v>
      </c>
      <c r="E2717" t="s">
        <v>8809</v>
      </c>
      <c r="F2717">
        <v>1</v>
      </c>
    </row>
    <row r="2718" spans="2:6" x14ac:dyDescent="0.2">
      <c r="B2718" t="s">
        <v>8810</v>
      </c>
      <c r="C2718" t="s">
        <v>8811</v>
      </c>
      <c r="D2718">
        <v>7</v>
      </c>
      <c r="E2718" t="s">
        <v>3957</v>
      </c>
      <c r="F2718">
        <v>3</v>
      </c>
    </row>
    <row r="2719" spans="2:6" x14ac:dyDescent="0.2">
      <c r="B2719" t="s">
        <v>8812</v>
      </c>
      <c r="C2719" t="s">
        <v>8813</v>
      </c>
      <c r="D2719">
        <v>7</v>
      </c>
      <c r="E2719" t="s">
        <v>3092</v>
      </c>
      <c r="F2719">
        <v>1</v>
      </c>
    </row>
    <row r="2720" spans="2:6" x14ac:dyDescent="0.2">
      <c r="B2720" t="s">
        <v>8814</v>
      </c>
      <c r="C2720" t="s">
        <v>8815</v>
      </c>
      <c r="D2720">
        <v>7</v>
      </c>
      <c r="E2720" t="s">
        <v>5667</v>
      </c>
      <c r="F2720">
        <v>23</v>
      </c>
    </row>
    <row r="2721" spans="2:6" x14ac:dyDescent="0.2">
      <c r="B2721" t="s">
        <v>8816</v>
      </c>
      <c r="C2721" t="s">
        <v>8817</v>
      </c>
      <c r="D2721">
        <v>7</v>
      </c>
      <c r="E2721" t="s">
        <v>5608</v>
      </c>
      <c r="F2721">
        <v>9</v>
      </c>
    </row>
    <row r="2722" spans="2:6" x14ac:dyDescent="0.2">
      <c r="B2722" t="s">
        <v>8818</v>
      </c>
      <c r="C2722" t="s">
        <v>8819</v>
      </c>
      <c r="D2722">
        <v>7</v>
      </c>
      <c r="E2722" t="s">
        <v>8820</v>
      </c>
      <c r="F2722">
        <v>2</v>
      </c>
    </row>
    <row r="2723" spans="2:6" x14ac:dyDescent="0.2">
      <c r="B2723" t="s">
        <v>8821</v>
      </c>
      <c r="C2723" t="s">
        <v>8822</v>
      </c>
      <c r="D2723">
        <v>7</v>
      </c>
      <c r="E2723" t="s">
        <v>3294</v>
      </c>
      <c r="F2723">
        <v>3</v>
      </c>
    </row>
    <row r="2724" spans="2:6" x14ac:dyDescent="0.2">
      <c r="B2724" t="s">
        <v>8823</v>
      </c>
      <c r="C2724" t="s">
        <v>8824</v>
      </c>
      <c r="D2724">
        <v>7</v>
      </c>
      <c r="E2724" t="s">
        <v>3688</v>
      </c>
      <c r="F2724">
        <v>1</v>
      </c>
    </row>
    <row r="2725" spans="2:6" x14ac:dyDescent="0.2">
      <c r="B2725" t="s">
        <v>8825</v>
      </c>
      <c r="C2725" t="s">
        <v>8826</v>
      </c>
      <c r="D2725">
        <v>7</v>
      </c>
      <c r="E2725" t="s">
        <v>8827</v>
      </c>
      <c r="F2725">
        <v>3</v>
      </c>
    </row>
    <row r="2726" spans="2:6" x14ac:dyDescent="0.2">
      <c r="B2726" t="s">
        <v>8828</v>
      </c>
      <c r="C2726" t="s">
        <v>8829</v>
      </c>
      <c r="D2726">
        <v>7</v>
      </c>
      <c r="E2726" t="s">
        <v>2811</v>
      </c>
      <c r="F2726">
        <v>1</v>
      </c>
    </row>
    <row r="2727" spans="2:6" x14ac:dyDescent="0.2">
      <c r="B2727" t="s">
        <v>8830</v>
      </c>
      <c r="C2727" t="s">
        <v>8831</v>
      </c>
      <c r="D2727">
        <v>7</v>
      </c>
      <c r="E2727" t="s">
        <v>3109</v>
      </c>
      <c r="F2727">
        <v>5</v>
      </c>
    </row>
    <row r="2728" spans="2:6" x14ac:dyDescent="0.2">
      <c r="B2728" t="s">
        <v>8832</v>
      </c>
      <c r="C2728" t="s">
        <v>8833</v>
      </c>
      <c r="D2728">
        <v>7</v>
      </c>
      <c r="E2728" t="s">
        <v>6265</v>
      </c>
      <c r="F2728">
        <v>1</v>
      </c>
    </row>
    <row r="2729" spans="2:6" x14ac:dyDescent="0.2">
      <c r="B2729" t="s">
        <v>8834</v>
      </c>
      <c r="C2729" t="s">
        <v>8835</v>
      </c>
      <c r="D2729">
        <v>7</v>
      </c>
      <c r="E2729" t="s">
        <v>2997</v>
      </c>
      <c r="F2729">
        <v>4</v>
      </c>
    </row>
    <row r="2730" spans="2:6" x14ac:dyDescent="0.2">
      <c r="B2730" t="s">
        <v>167</v>
      </c>
      <c r="C2730" t="s">
        <v>8836</v>
      </c>
      <c r="D2730">
        <v>7</v>
      </c>
      <c r="E2730" t="s">
        <v>3261</v>
      </c>
      <c r="F2730">
        <v>2</v>
      </c>
    </row>
    <row r="2731" spans="2:6" x14ac:dyDescent="0.2">
      <c r="B2731" t="s">
        <v>8837</v>
      </c>
      <c r="C2731" t="s">
        <v>8838</v>
      </c>
      <c r="D2731">
        <v>7</v>
      </c>
      <c r="E2731" t="s">
        <v>3203</v>
      </c>
      <c r="F2731">
        <v>1</v>
      </c>
    </row>
    <row r="2732" spans="2:6" x14ac:dyDescent="0.2">
      <c r="B2732" t="s">
        <v>8839</v>
      </c>
      <c r="C2732" t="s">
        <v>8840</v>
      </c>
      <c r="D2732">
        <v>7</v>
      </c>
      <c r="E2732" t="s">
        <v>3716</v>
      </c>
      <c r="F2732">
        <v>4</v>
      </c>
    </row>
    <row r="2733" spans="2:6" x14ac:dyDescent="0.2">
      <c r="B2733" t="s">
        <v>8841</v>
      </c>
      <c r="C2733" t="s">
        <v>8842</v>
      </c>
      <c r="D2733">
        <v>7</v>
      </c>
      <c r="E2733" t="s">
        <v>3901</v>
      </c>
      <c r="F2733">
        <v>1</v>
      </c>
    </row>
    <row r="2734" spans="2:6" x14ac:dyDescent="0.2">
      <c r="B2734" t="s">
        <v>8843</v>
      </c>
      <c r="C2734" t="s">
        <v>8844</v>
      </c>
      <c r="D2734">
        <v>7</v>
      </c>
      <c r="E2734" t="s">
        <v>2830</v>
      </c>
      <c r="F2734">
        <v>1</v>
      </c>
    </row>
    <row r="2735" spans="2:6" x14ac:dyDescent="0.2">
      <c r="B2735" t="s">
        <v>8845</v>
      </c>
      <c r="C2735" t="s">
        <v>8846</v>
      </c>
      <c r="D2735">
        <v>7</v>
      </c>
      <c r="E2735" t="s">
        <v>2964</v>
      </c>
      <c r="F2735">
        <v>1</v>
      </c>
    </row>
    <row r="2736" spans="2:6" x14ac:dyDescent="0.2">
      <c r="B2736" t="s">
        <v>8847</v>
      </c>
      <c r="C2736" t="s">
        <v>8848</v>
      </c>
      <c r="D2736">
        <v>7</v>
      </c>
      <c r="E2736" t="s">
        <v>8849</v>
      </c>
      <c r="F2736">
        <v>1</v>
      </c>
    </row>
    <row r="2737" spans="2:6" x14ac:dyDescent="0.2">
      <c r="B2737" t="s">
        <v>8850</v>
      </c>
      <c r="C2737" t="s">
        <v>8851</v>
      </c>
      <c r="D2737">
        <v>7</v>
      </c>
      <c r="E2737" t="s">
        <v>8852</v>
      </c>
      <c r="F2737">
        <v>1</v>
      </c>
    </row>
    <row r="2738" spans="2:6" x14ac:dyDescent="0.2">
      <c r="B2738" t="s">
        <v>8853</v>
      </c>
      <c r="C2738" t="s">
        <v>8854</v>
      </c>
      <c r="D2738">
        <v>7</v>
      </c>
      <c r="E2738" t="s">
        <v>2819</v>
      </c>
      <c r="F2738">
        <v>1</v>
      </c>
    </row>
    <row r="2739" spans="2:6" x14ac:dyDescent="0.2">
      <c r="B2739" t="s">
        <v>8855</v>
      </c>
      <c r="C2739" t="s">
        <v>8856</v>
      </c>
      <c r="D2739">
        <v>7</v>
      </c>
      <c r="E2739" t="s">
        <v>8857</v>
      </c>
      <c r="F2739">
        <v>17</v>
      </c>
    </row>
    <row r="2740" spans="2:6" x14ac:dyDescent="0.2">
      <c r="B2740" t="s">
        <v>8858</v>
      </c>
      <c r="C2740" t="s">
        <v>8859</v>
      </c>
      <c r="D2740">
        <v>7</v>
      </c>
      <c r="E2740" t="s">
        <v>8860</v>
      </c>
      <c r="F2740">
        <v>2</v>
      </c>
    </row>
    <row r="2741" spans="2:6" x14ac:dyDescent="0.2">
      <c r="B2741" t="s">
        <v>8861</v>
      </c>
      <c r="C2741" t="s">
        <v>8862</v>
      </c>
      <c r="D2741">
        <v>7</v>
      </c>
      <c r="E2741" t="s">
        <v>3109</v>
      </c>
      <c r="F2741">
        <v>2</v>
      </c>
    </row>
    <row r="2742" spans="2:6" x14ac:dyDescent="0.2">
      <c r="B2742" t="s">
        <v>760</v>
      </c>
      <c r="C2742" t="s">
        <v>8863</v>
      </c>
      <c r="D2742">
        <v>7</v>
      </c>
      <c r="E2742" t="s">
        <v>8864</v>
      </c>
      <c r="F2742">
        <v>2</v>
      </c>
    </row>
    <row r="2743" spans="2:6" x14ac:dyDescent="0.2">
      <c r="B2743" t="s">
        <v>8865</v>
      </c>
      <c r="C2743" t="s">
        <v>8866</v>
      </c>
      <c r="D2743">
        <v>7</v>
      </c>
      <c r="E2743" t="s">
        <v>3316</v>
      </c>
      <c r="F2743">
        <v>2</v>
      </c>
    </row>
    <row r="2744" spans="2:6" x14ac:dyDescent="0.2">
      <c r="B2744" t="s">
        <v>8867</v>
      </c>
      <c r="C2744" t="s">
        <v>8868</v>
      </c>
      <c r="D2744">
        <v>7</v>
      </c>
      <c r="E2744" t="s">
        <v>8869</v>
      </c>
      <c r="F2744">
        <v>1</v>
      </c>
    </row>
    <row r="2745" spans="2:6" x14ac:dyDescent="0.2">
      <c r="B2745" t="s">
        <v>8870</v>
      </c>
      <c r="C2745" t="s">
        <v>8871</v>
      </c>
      <c r="D2745">
        <v>7</v>
      </c>
      <c r="E2745" t="s">
        <v>3235</v>
      </c>
      <c r="F2745">
        <v>1</v>
      </c>
    </row>
    <row r="2746" spans="2:6" x14ac:dyDescent="0.2">
      <c r="B2746" t="s">
        <v>2134</v>
      </c>
      <c r="C2746" t="s">
        <v>8872</v>
      </c>
      <c r="D2746">
        <v>7</v>
      </c>
      <c r="E2746" t="s">
        <v>4180</v>
      </c>
      <c r="F2746">
        <v>2</v>
      </c>
    </row>
    <row r="2747" spans="2:6" x14ac:dyDescent="0.2">
      <c r="B2747" t="s">
        <v>8873</v>
      </c>
      <c r="C2747" t="s">
        <v>8874</v>
      </c>
      <c r="D2747">
        <v>7</v>
      </c>
      <c r="E2747" t="s">
        <v>3643</v>
      </c>
      <c r="F2747">
        <v>1</v>
      </c>
    </row>
    <row r="2748" spans="2:6" x14ac:dyDescent="0.2">
      <c r="B2748" t="s">
        <v>530</v>
      </c>
      <c r="C2748" t="s">
        <v>8875</v>
      </c>
      <c r="D2748">
        <v>7</v>
      </c>
      <c r="E2748" t="s">
        <v>8876</v>
      </c>
      <c r="F2748">
        <v>6</v>
      </c>
    </row>
    <row r="2749" spans="2:6" x14ac:dyDescent="0.2">
      <c r="B2749" t="s">
        <v>8877</v>
      </c>
      <c r="C2749" t="s">
        <v>8878</v>
      </c>
      <c r="D2749">
        <v>7</v>
      </c>
      <c r="E2749" t="s">
        <v>3153</v>
      </c>
      <c r="F2749">
        <v>1</v>
      </c>
    </row>
    <row r="2750" spans="2:6" x14ac:dyDescent="0.2">
      <c r="B2750" t="s">
        <v>8879</v>
      </c>
      <c r="C2750" t="s">
        <v>8880</v>
      </c>
      <c r="D2750">
        <v>7</v>
      </c>
      <c r="E2750" t="s">
        <v>2811</v>
      </c>
      <c r="F2750">
        <v>1</v>
      </c>
    </row>
    <row r="2751" spans="2:6" x14ac:dyDescent="0.2">
      <c r="B2751" t="s">
        <v>8881</v>
      </c>
      <c r="C2751" t="s">
        <v>8882</v>
      </c>
      <c r="D2751">
        <v>7</v>
      </c>
      <c r="E2751" t="s">
        <v>2833</v>
      </c>
      <c r="F2751">
        <v>30</v>
      </c>
    </row>
    <row r="2752" spans="2:6" x14ac:dyDescent="0.2">
      <c r="B2752" t="s">
        <v>8883</v>
      </c>
      <c r="C2752" t="s">
        <v>8884</v>
      </c>
      <c r="D2752">
        <v>7</v>
      </c>
      <c r="E2752" t="s">
        <v>5812</v>
      </c>
      <c r="F2752">
        <v>1</v>
      </c>
    </row>
    <row r="2753" spans="2:6" x14ac:dyDescent="0.2">
      <c r="B2753" t="s">
        <v>331</v>
      </c>
      <c r="C2753" t="s">
        <v>8885</v>
      </c>
      <c r="D2753">
        <v>7</v>
      </c>
      <c r="E2753" t="s">
        <v>3628</v>
      </c>
      <c r="F2753">
        <v>1</v>
      </c>
    </row>
    <row r="2754" spans="2:6" x14ac:dyDescent="0.2">
      <c r="B2754" t="s">
        <v>8886</v>
      </c>
      <c r="C2754" t="s">
        <v>8887</v>
      </c>
      <c r="D2754">
        <v>7</v>
      </c>
      <c r="E2754" t="s">
        <v>4268</v>
      </c>
      <c r="F2754">
        <v>6</v>
      </c>
    </row>
    <row r="2755" spans="2:6" x14ac:dyDescent="0.2">
      <c r="B2755" t="s">
        <v>211</v>
      </c>
      <c r="C2755" t="s">
        <v>8888</v>
      </c>
      <c r="D2755">
        <v>7</v>
      </c>
      <c r="E2755" t="s">
        <v>4823</v>
      </c>
      <c r="F2755">
        <v>1</v>
      </c>
    </row>
    <row r="2756" spans="2:6" x14ac:dyDescent="0.2">
      <c r="B2756" t="s">
        <v>1562</v>
      </c>
      <c r="C2756" t="s">
        <v>8889</v>
      </c>
      <c r="D2756">
        <v>7</v>
      </c>
      <c r="E2756" t="s">
        <v>3643</v>
      </c>
      <c r="F2756">
        <v>1</v>
      </c>
    </row>
    <row r="2757" spans="2:6" x14ac:dyDescent="0.2">
      <c r="B2757" t="s">
        <v>407</v>
      </c>
      <c r="C2757" t="s">
        <v>8890</v>
      </c>
      <c r="D2757">
        <v>7</v>
      </c>
      <c r="E2757" t="s">
        <v>8891</v>
      </c>
      <c r="F2757">
        <v>13</v>
      </c>
    </row>
    <row r="2758" spans="2:6" x14ac:dyDescent="0.2">
      <c r="B2758" t="s">
        <v>163</v>
      </c>
      <c r="C2758" t="s">
        <v>8892</v>
      </c>
      <c r="D2758">
        <v>7</v>
      </c>
      <c r="E2758" t="s">
        <v>8893</v>
      </c>
      <c r="F2758">
        <v>2</v>
      </c>
    </row>
    <row r="2759" spans="2:6" x14ac:dyDescent="0.2">
      <c r="B2759" t="s">
        <v>8894</v>
      </c>
      <c r="C2759" t="s">
        <v>8895</v>
      </c>
      <c r="D2759">
        <v>7</v>
      </c>
      <c r="E2759" t="s">
        <v>3643</v>
      </c>
      <c r="F2759">
        <v>1</v>
      </c>
    </row>
    <row r="2760" spans="2:6" x14ac:dyDescent="0.2">
      <c r="B2760" t="s">
        <v>8896</v>
      </c>
      <c r="C2760" t="s">
        <v>8897</v>
      </c>
      <c r="D2760">
        <v>7</v>
      </c>
      <c r="E2760" t="s">
        <v>2785</v>
      </c>
      <c r="F2760">
        <v>4</v>
      </c>
    </row>
    <row r="2761" spans="2:6" x14ac:dyDescent="0.2">
      <c r="B2761" t="s">
        <v>8898</v>
      </c>
      <c r="C2761" t="s">
        <v>8899</v>
      </c>
      <c r="D2761">
        <v>7</v>
      </c>
      <c r="E2761" t="s">
        <v>7719</v>
      </c>
      <c r="F2761">
        <v>3</v>
      </c>
    </row>
    <row r="2762" spans="2:6" x14ac:dyDescent="0.2">
      <c r="B2762" t="s">
        <v>1402</v>
      </c>
      <c r="C2762" t="s">
        <v>8900</v>
      </c>
      <c r="D2762">
        <v>7</v>
      </c>
      <c r="E2762" t="s">
        <v>2819</v>
      </c>
      <c r="F2762">
        <v>1</v>
      </c>
    </row>
    <row r="2763" spans="2:6" x14ac:dyDescent="0.2">
      <c r="B2763" t="s">
        <v>8901</v>
      </c>
      <c r="C2763" t="s">
        <v>3121</v>
      </c>
      <c r="D2763">
        <v>7</v>
      </c>
      <c r="E2763" t="s">
        <v>8902</v>
      </c>
      <c r="F2763">
        <v>10</v>
      </c>
    </row>
    <row r="2764" spans="2:6" x14ac:dyDescent="0.2">
      <c r="B2764" t="s">
        <v>8903</v>
      </c>
      <c r="C2764" t="s">
        <v>8904</v>
      </c>
      <c r="D2764">
        <v>7</v>
      </c>
      <c r="E2764" t="s">
        <v>2930</v>
      </c>
      <c r="F2764">
        <v>2</v>
      </c>
    </row>
    <row r="2765" spans="2:6" x14ac:dyDescent="0.2">
      <c r="B2765" t="s">
        <v>8905</v>
      </c>
      <c r="C2765" t="s">
        <v>8906</v>
      </c>
      <c r="D2765">
        <v>7</v>
      </c>
      <c r="E2765" t="s">
        <v>2952</v>
      </c>
      <c r="F2765">
        <v>1</v>
      </c>
    </row>
    <row r="2766" spans="2:6" x14ac:dyDescent="0.2">
      <c r="B2766" t="s">
        <v>8907</v>
      </c>
      <c r="C2766" t="s">
        <v>8908</v>
      </c>
      <c r="D2766">
        <v>7</v>
      </c>
      <c r="E2766" t="s">
        <v>3713</v>
      </c>
      <c r="F2766">
        <v>1</v>
      </c>
    </row>
    <row r="2767" spans="2:6" x14ac:dyDescent="0.2">
      <c r="B2767" t="s">
        <v>8909</v>
      </c>
      <c r="C2767" t="s">
        <v>8910</v>
      </c>
      <c r="D2767">
        <v>7</v>
      </c>
      <c r="E2767" t="s">
        <v>8911</v>
      </c>
      <c r="F2767">
        <v>2</v>
      </c>
    </row>
    <row r="2768" spans="2:6" x14ac:dyDescent="0.2">
      <c r="B2768" t="s">
        <v>8912</v>
      </c>
      <c r="C2768" t="s">
        <v>8913</v>
      </c>
      <c r="D2768">
        <v>7</v>
      </c>
      <c r="E2768" t="s">
        <v>2974</v>
      </c>
      <c r="F2768">
        <v>1</v>
      </c>
    </row>
    <row r="2769" spans="2:6" x14ac:dyDescent="0.2">
      <c r="B2769" t="s">
        <v>8914</v>
      </c>
      <c r="C2769" t="s">
        <v>8915</v>
      </c>
      <c r="D2769">
        <v>7</v>
      </c>
      <c r="E2769" t="s">
        <v>3455</v>
      </c>
      <c r="F2769">
        <v>3</v>
      </c>
    </row>
    <row r="2770" spans="2:6" x14ac:dyDescent="0.2">
      <c r="B2770" t="s">
        <v>8916</v>
      </c>
      <c r="C2770" t="s">
        <v>8917</v>
      </c>
      <c r="D2770">
        <v>7</v>
      </c>
      <c r="E2770" t="s">
        <v>8918</v>
      </c>
      <c r="F2770">
        <v>2</v>
      </c>
    </row>
    <row r="2771" spans="2:6" x14ac:dyDescent="0.2">
      <c r="B2771" t="s">
        <v>8919</v>
      </c>
      <c r="C2771" t="s">
        <v>8920</v>
      </c>
      <c r="D2771">
        <v>7</v>
      </c>
      <c r="E2771" t="s">
        <v>8921</v>
      </c>
      <c r="F2771">
        <v>1</v>
      </c>
    </row>
    <row r="2772" spans="2:6" x14ac:dyDescent="0.2">
      <c r="B2772" t="s">
        <v>8922</v>
      </c>
      <c r="C2772" t="s">
        <v>8923</v>
      </c>
      <c r="D2772">
        <v>7</v>
      </c>
      <c r="E2772" t="s">
        <v>2811</v>
      </c>
      <c r="F2772">
        <v>2</v>
      </c>
    </row>
    <row r="2773" spans="2:6" x14ac:dyDescent="0.2">
      <c r="B2773" t="s">
        <v>217</v>
      </c>
      <c r="C2773" t="s">
        <v>8924</v>
      </c>
      <c r="D2773">
        <v>7</v>
      </c>
      <c r="E2773" t="s">
        <v>7642</v>
      </c>
      <c r="F2773">
        <v>7</v>
      </c>
    </row>
    <row r="2774" spans="2:6" x14ac:dyDescent="0.2">
      <c r="B2774" t="s">
        <v>8925</v>
      </c>
      <c r="C2774" t="s">
        <v>8926</v>
      </c>
      <c r="D2774">
        <v>7</v>
      </c>
      <c r="E2774" t="s">
        <v>3621</v>
      </c>
      <c r="F2774">
        <v>1</v>
      </c>
    </row>
    <row r="2775" spans="2:6" x14ac:dyDescent="0.2">
      <c r="B2775" t="s">
        <v>8927</v>
      </c>
      <c r="C2775" t="s">
        <v>8928</v>
      </c>
      <c r="D2775">
        <v>7</v>
      </c>
      <c r="E2775" t="s">
        <v>2785</v>
      </c>
      <c r="F2775">
        <v>7</v>
      </c>
    </row>
    <row r="2776" spans="2:6" x14ac:dyDescent="0.2">
      <c r="B2776" t="s">
        <v>8929</v>
      </c>
      <c r="C2776" t="s">
        <v>8930</v>
      </c>
      <c r="D2776">
        <v>7</v>
      </c>
      <c r="E2776" t="s">
        <v>2964</v>
      </c>
      <c r="F2776">
        <v>6</v>
      </c>
    </row>
    <row r="2777" spans="2:6" x14ac:dyDescent="0.2">
      <c r="B2777" t="s">
        <v>8931</v>
      </c>
      <c r="C2777" t="s">
        <v>8932</v>
      </c>
      <c r="D2777">
        <v>7</v>
      </c>
      <c r="E2777" t="s">
        <v>8933</v>
      </c>
      <c r="F2777">
        <v>16</v>
      </c>
    </row>
    <row r="2778" spans="2:6" x14ac:dyDescent="0.2">
      <c r="B2778" t="s">
        <v>8934</v>
      </c>
      <c r="C2778" t="s">
        <v>8935</v>
      </c>
      <c r="D2778">
        <v>7</v>
      </c>
      <c r="E2778" t="s">
        <v>3294</v>
      </c>
      <c r="F2778">
        <v>2</v>
      </c>
    </row>
    <row r="2779" spans="2:6" x14ac:dyDescent="0.2">
      <c r="B2779" t="s">
        <v>8936</v>
      </c>
      <c r="C2779" t="s">
        <v>8937</v>
      </c>
      <c r="D2779">
        <v>7</v>
      </c>
      <c r="E2779" t="s">
        <v>2921</v>
      </c>
      <c r="F2779">
        <v>4</v>
      </c>
    </row>
    <row r="2780" spans="2:6" x14ac:dyDescent="0.2">
      <c r="B2780" t="s">
        <v>8938</v>
      </c>
      <c r="C2780" t="s">
        <v>8939</v>
      </c>
      <c r="D2780">
        <v>7</v>
      </c>
      <c r="E2780" t="s">
        <v>3113</v>
      </c>
      <c r="F2780">
        <v>1</v>
      </c>
    </row>
    <row r="2781" spans="2:6" x14ac:dyDescent="0.2">
      <c r="B2781" t="s">
        <v>8940</v>
      </c>
      <c r="C2781" t="s">
        <v>8941</v>
      </c>
      <c r="D2781">
        <v>7</v>
      </c>
      <c r="E2781" t="s">
        <v>4580</v>
      </c>
      <c r="F2781">
        <v>1</v>
      </c>
    </row>
    <row r="2782" spans="2:6" x14ac:dyDescent="0.2">
      <c r="B2782" t="s">
        <v>8942</v>
      </c>
      <c r="C2782" t="s">
        <v>8943</v>
      </c>
      <c r="D2782">
        <v>7</v>
      </c>
      <c r="E2782" t="s">
        <v>3551</v>
      </c>
      <c r="F2782">
        <v>1</v>
      </c>
    </row>
    <row r="2783" spans="2:6" x14ac:dyDescent="0.2">
      <c r="B2783" t="s">
        <v>8944</v>
      </c>
      <c r="C2783" t="s">
        <v>8945</v>
      </c>
      <c r="D2783">
        <v>7</v>
      </c>
      <c r="E2783" t="s">
        <v>8946</v>
      </c>
      <c r="F2783">
        <v>1</v>
      </c>
    </row>
    <row r="2784" spans="2:6" x14ac:dyDescent="0.2">
      <c r="B2784" t="s">
        <v>8947</v>
      </c>
      <c r="C2784" t="s">
        <v>8948</v>
      </c>
      <c r="D2784">
        <v>7</v>
      </c>
      <c r="E2784" t="s">
        <v>3957</v>
      </c>
      <c r="F2784">
        <v>7</v>
      </c>
    </row>
    <row r="2785" spans="2:6" x14ac:dyDescent="0.2">
      <c r="B2785" t="s">
        <v>8949</v>
      </c>
      <c r="C2785" t="s">
        <v>8950</v>
      </c>
      <c r="D2785">
        <v>7</v>
      </c>
      <c r="E2785" t="s">
        <v>3176</v>
      </c>
      <c r="F2785">
        <v>1</v>
      </c>
    </row>
    <row r="2786" spans="2:6" x14ac:dyDescent="0.2">
      <c r="B2786" t="s">
        <v>952</v>
      </c>
      <c r="C2786" t="s">
        <v>8951</v>
      </c>
      <c r="D2786">
        <v>7</v>
      </c>
      <c r="E2786" t="s">
        <v>2850</v>
      </c>
      <c r="F2786">
        <v>1</v>
      </c>
    </row>
    <row r="2787" spans="2:6" x14ac:dyDescent="0.2">
      <c r="B2787" t="s">
        <v>8952</v>
      </c>
      <c r="C2787" t="s">
        <v>8953</v>
      </c>
      <c r="D2787">
        <v>7</v>
      </c>
      <c r="E2787" t="s">
        <v>8954</v>
      </c>
      <c r="F2787">
        <v>12</v>
      </c>
    </row>
    <row r="2788" spans="2:6" x14ac:dyDescent="0.2">
      <c r="B2788" t="s">
        <v>8955</v>
      </c>
      <c r="C2788" t="s">
        <v>8956</v>
      </c>
      <c r="D2788">
        <v>7</v>
      </c>
      <c r="E2788" t="s">
        <v>8957</v>
      </c>
      <c r="F2788">
        <v>15</v>
      </c>
    </row>
    <row r="2789" spans="2:6" x14ac:dyDescent="0.2">
      <c r="B2789" t="s">
        <v>8958</v>
      </c>
      <c r="C2789" t="s">
        <v>8959</v>
      </c>
      <c r="D2789">
        <v>7</v>
      </c>
      <c r="E2789" t="s">
        <v>2842</v>
      </c>
      <c r="F2789">
        <v>2</v>
      </c>
    </row>
    <row r="2790" spans="2:6" x14ac:dyDescent="0.2">
      <c r="B2790" t="s">
        <v>609</v>
      </c>
      <c r="C2790" t="s">
        <v>8960</v>
      </c>
      <c r="D2790">
        <v>7</v>
      </c>
      <c r="E2790" t="s">
        <v>3564</v>
      </c>
      <c r="F2790">
        <v>2</v>
      </c>
    </row>
    <row r="2791" spans="2:6" x14ac:dyDescent="0.2">
      <c r="B2791" t="s">
        <v>8961</v>
      </c>
      <c r="C2791" t="s">
        <v>8962</v>
      </c>
      <c r="D2791">
        <v>7</v>
      </c>
      <c r="E2791" t="s">
        <v>3213</v>
      </c>
      <c r="F2791">
        <v>2</v>
      </c>
    </row>
    <row r="2792" spans="2:6" x14ac:dyDescent="0.2">
      <c r="B2792" t="s">
        <v>8963</v>
      </c>
      <c r="C2792" t="s">
        <v>8964</v>
      </c>
      <c r="D2792">
        <v>7</v>
      </c>
      <c r="E2792" t="s">
        <v>8965</v>
      </c>
      <c r="F2792">
        <v>1</v>
      </c>
    </row>
    <row r="2793" spans="2:6" x14ac:dyDescent="0.2">
      <c r="B2793" t="s">
        <v>8966</v>
      </c>
      <c r="C2793" t="s">
        <v>8967</v>
      </c>
      <c r="D2793">
        <v>7</v>
      </c>
      <c r="E2793" t="s">
        <v>3004</v>
      </c>
      <c r="F2793">
        <v>12</v>
      </c>
    </row>
    <row r="2794" spans="2:6" x14ac:dyDescent="0.2">
      <c r="B2794" t="s">
        <v>8968</v>
      </c>
      <c r="C2794" t="s">
        <v>8969</v>
      </c>
      <c r="D2794">
        <v>7</v>
      </c>
      <c r="E2794" t="s">
        <v>2830</v>
      </c>
      <c r="F2794">
        <v>1</v>
      </c>
    </row>
    <row r="2795" spans="2:6" x14ac:dyDescent="0.2">
      <c r="B2795" t="s">
        <v>8970</v>
      </c>
      <c r="C2795" t="s">
        <v>8566</v>
      </c>
      <c r="D2795">
        <v>7</v>
      </c>
      <c r="E2795" t="s">
        <v>2892</v>
      </c>
      <c r="F2795">
        <v>2</v>
      </c>
    </row>
    <row r="2796" spans="2:6" x14ac:dyDescent="0.2">
      <c r="B2796" t="s">
        <v>8971</v>
      </c>
      <c r="C2796" t="s">
        <v>8972</v>
      </c>
      <c r="D2796">
        <v>7</v>
      </c>
      <c r="E2796" t="s">
        <v>4280</v>
      </c>
      <c r="F2796">
        <v>47</v>
      </c>
    </row>
    <row r="2797" spans="2:6" x14ac:dyDescent="0.2">
      <c r="B2797" t="s">
        <v>8973</v>
      </c>
      <c r="C2797" t="s">
        <v>8974</v>
      </c>
      <c r="D2797">
        <v>7</v>
      </c>
      <c r="E2797" t="s">
        <v>6107</v>
      </c>
      <c r="F2797">
        <v>3</v>
      </c>
    </row>
    <row r="2798" spans="2:6" x14ac:dyDescent="0.2">
      <c r="B2798" t="s">
        <v>8975</v>
      </c>
      <c r="C2798" t="s">
        <v>8976</v>
      </c>
      <c r="D2798">
        <v>7</v>
      </c>
      <c r="E2798" t="s">
        <v>3153</v>
      </c>
      <c r="F2798">
        <v>2</v>
      </c>
    </row>
    <row r="2799" spans="2:6" x14ac:dyDescent="0.2">
      <c r="B2799" t="s">
        <v>8977</v>
      </c>
      <c r="C2799" t="s">
        <v>8978</v>
      </c>
      <c r="D2799">
        <v>7</v>
      </c>
      <c r="E2799" t="s">
        <v>3335</v>
      </c>
      <c r="F2799">
        <v>12</v>
      </c>
    </row>
    <row r="2800" spans="2:6" x14ac:dyDescent="0.2">
      <c r="B2800" t="s">
        <v>1357</v>
      </c>
      <c r="C2800" t="s">
        <v>8979</v>
      </c>
      <c r="D2800">
        <v>7</v>
      </c>
      <c r="E2800" t="s">
        <v>8980</v>
      </c>
      <c r="F2800">
        <v>31</v>
      </c>
    </row>
    <row r="2801" spans="2:6" x14ac:dyDescent="0.2">
      <c r="B2801" t="s">
        <v>8981</v>
      </c>
      <c r="C2801" t="s">
        <v>8982</v>
      </c>
      <c r="D2801">
        <v>7</v>
      </c>
      <c r="E2801" t="s">
        <v>8983</v>
      </c>
      <c r="F2801">
        <v>1</v>
      </c>
    </row>
    <row r="2802" spans="2:6" x14ac:dyDescent="0.2">
      <c r="B2802" t="s">
        <v>8984</v>
      </c>
      <c r="C2802" t="s">
        <v>5504</v>
      </c>
      <c r="D2802">
        <v>7</v>
      </c>
      <c r="E2802" t="s">
        <v>8985</v>
      </c>
      <c r="F2802">
        <v>5</v>
      </c>
    </row>
    <row r="2803" spans="2:6" x14ac:dyDescent="0.2">
      <c r="B2803" t="s">
        <v>154</v>
      </c>
      <c r="C2803" t="s">
        <v>8986</v>
      </c>
      <c r="D2803">
        <v>7</v>
      </c>
      <c r="E2803" t="s">
        <v>3623</v>
      </c>
      <c r="F2803">
        <v>7</v>
      </c>
    </row>
    <row r="2804" spans="2:6" x14ac:dyDescent="0.2">
      <c r="B2804" t="s">
        <v>8987</v>
      </c>
      <c r="C2804" t="s">
        <v>8988</v>
      </c>
      <c r="D2804">
        <v>7</v>
      </c>
      <c r="E2804" t="s">
        <v>3004</v>
      </c>
      <c r="F2804">
        <v>13</v>
      </c>
    </row>
    <row r="2805" spans="2:6" x14ac:dyDescent="0.2">
      <c r="B2805" t="s">
        <v>8989</v>
      </c>
      <c r="C2805" t="s">
        <v>8990</v>
      </c>
      <c r="D2805">
        <v>7</v>
      </c>
      <c r="E2805" t="s">
        <v>3095</v>
      </c>
      <c r="F2805">
        <v>1</v>
      </c>
    </row>
    <row r="2806" spans="2:6" x14ac:dyDescent="0.2">
      <c r="B2806" t="s">
        <v>8991</v>
      </c>
      <c r="C2806" t="s">
        <v>8992</v>
      </c>
      <c r="D2806">
        <v>7</v>
      </c>
      <c r="E2806" t="s">
        <v>2949</v>
      </c>
      <c r="F2806">
        <v>1</v>
      </c>
    </row>
    <row r="2807" spans="2:6" x14ac:dyDescent="0.2">
      <c r="B2807" t="s">
        <v>8993</v>
      </c>
      <c r="C2807" t="s">
        <v>8994</v>
      </c>
      <c r="D2807">
        <v>7</v>
      </c>
      <c r="E2807" t="s">
        <v>3335</v>
      </c>
      <c r="F2807">
        <v>4</v>
      </c>
    </row>
    <row r="2808" spans="2:6" x14ac:dyDescent="0.2">
      <c r="B2808" t="s">
        <v>531</v>
      </c>
      <c r="C2808" t="s">
        <v>8995</v>
      </c>
      <c r="D2808">
        <v>7</v>
      </c>
      <c r="E2808" t="s">
        <v>5992</v>
      </c>
      <c r="F2808">
        <v>3</v>
      </c>
    </row>
    <row r="2809" spans="2:6" x14ac:dyDescent="0.2">
      <c r="B2809" t="s">
        <v>8996</v>
      </c>
      <c r="C2809" t="s">
        <v>8997</v>
      </c>
      <c r="D2809">
        <v>7</v>
      </c>
      <c r="E2809" t="s">
        <v>8998</v>
      </c>
      <c r="F2809">
        <v>2</v>
      </c>
    </row>
    <row r="2810" spans="2:6" x14ac:dyDescent="0.2">
      <c r="B2810" t="s">
        <v>8999</v>
      </c>
      <c r="C2810" t="s">
        <v>9000</v>
      </c>
      <c r="D2810">
        <v>7</v>
      </c>
      <c r="E2810" t="s">
        <v>2869</v>
      </c>
      <c r="F2810">
        <v>5</v>
      </c>
    </row>
    <row r="2811" spans="2:6" x14ac:dyDescent="0.2">
      <c r="B2811" t="s">
        <v>9001</v>
      </c>
      <c r="C2811" t="s">
        <v>9002</v>
      </c>
      <c r="D2811">
        <v>7</v>
      </c>
      <c r="E2811" t="s">
        <v>3773</v>
      </c>
      <c r="F2811">
        <v>10</v>
      </c>
    </row>
    <row r="2812" spans="2:6" x14ac:dyDescent="0.2">
      <c r="B2812" t="s">
        <v>9003</v>
      </c>
      <c r="C2812" t="s">
        <v>9004</v>
      </c>
      <c r="D2812">
        <v>7</v>
      </c>
      <c r="E2812" t="s">
        <v>9005</v>
      </c>
      <c r="F2812">
        <v>10</v>
      </c>
    </row>
    <row r="2813" spans="2:6" x14ac:dyDescent="0.2">
      <c r="B2813" t="s">
        <v>9006</v>
      </c>
      <c r="C2813" t="s">
        <v>9007</v>
      </c>
      <c r="D2813">
        <v>7</v>
      </c>
      <c r="E2813" t="s">
        <v>3084</v>
      </c>
      <c r="F2813">
        <v>4</v>
      </c>
    </row>
    <row r="2814" spans="2:6" x14ac:dyDescent="0.2">
      <c r="B2814" t="s">
        <v>9008</v>
      </c>
      <c r="C2814" t="s">
        <v>9009</v>
      </c>
      <c r="D2814">
        <v>7</v>
      </c>
      <c r="E2814" t="s">
        <v>5890</v>
      </c>
      <c r="F2814">
        <v>5</v>
      </c>
    </row>
    <row r="2815" spans="2:6" x14ac:dyDescent="0.2">
      <c r="B2815" t="s">
        <v>9010</v>
      </c>
      <c r="C2815" t="s">
        <v>9011</v>
      </c>
      <c r="D2815">
        <v>7</v>
      </c>
      <c r="E2815" t="s">
        <v>3466</v>
      </c>
      <c r="F2815">
        <v>1</v>
      </c>
    </row>
    <row r="2816" spans="2:6" x14ac:dyDescent="0.2">
      <c r="B2816" t="s">
        <v>9012</v>
      </c>
      <c r="C2816" t="s">
        <v>9013</v>
      </c>
      <c r="D2816">
        <v>7</v>
      </c>
      <c r="E2816" t="s">
        <v>3133</v>
      </c>
      <c r="F2816">
        <v>2</v>
      </c>
    </row>
    <row r="2817" spans="2:6" x14ac:dyDescent="0.2">
      <c r="B2817" t="s">
        <v>9014</v>
      </c>
      <c r="C2817" t="s">
        <v>9015</v>
      </c>
      <c r="D2817">
        <v>7</v>
      </c>
      <c r="E2817" t="s">
        <v>9016</v>
      </c>
      <c r="F2817">
        <v>1</v>
      </c>
    </row>
    <row r="2818" spans="2:6" x14ac:dyDescent="0.2">
      <c r="B2818" t="s">
        <v>9017</v>
      </c>
      <c r="C2818" t="s">
        <v>9018</v>
      </c>
      <c r="D2818">
        <v>7</v>
      </c>
      <c r="E2818" t="s">
        <v>2811</v>
      </c>
      <c r="F2818">
        <v>2</v>
      </c>
    </row>
    <row r="2819" spans="2:6" x14ac:dyDescent="0.2">
      <c r="B2819" t="s">
        <v>9019</v>
      </c>
      <c r="C2819" t="s">
        <v>9020</v>
      </c>
      <c r="D2819">
        <v>7</v>
      </c>
      <c r="E2819" t="s">
        <v>2850</v>
      </c>
      <c r="F2819">
        <v>1</v>
      </c>
    </row>
    <row r="2820" spans="2:6" x14ac:dyDescent="0.2">
      <c r="B2820" t="s">
        <v>9021</v>
      </c>
      <c r="C2820" t="s">
        <v>9022</v>
      </c>
      <c r="D2820">
        <v>7</v>
      </c>
      <c r="E2820" t="s">
        <v>7642</v>
      </c>
      <c r="F2820">
        <v>1</v>
      </c>
    </row>
    <row r="2821" spans="2:6" x14ac:dyDescent="0.2">
      <c r="B2821" t="s">
        <v>1790</v>
      </c>
      <c r="C2821" t="s">
        <v>9023</v>
      </c>
      <c r="D2821">
        <v>7</v>
      </c>
      <c r="E2821" t="s">
        <v>6144</v>
      </c>
      <c r="F2821">
        <v>9</v>
      </c>
    </row>
    <row r="2822" spans="2:6" x14ac:dyDescent="0.2">
      <c r="B2822" t="s">
        <v>9024</v>
      </c>
      <c r="C2822" t="s">
        <v>9025</v>
      </c>
      <c r="D2822">
        <v>7</v>
      </c>
      <c r="E2822" t="s">
        <v>9026</v>
      </c>
      <c r="F2822">
        <v>2</v>
      </c>
    </row>
    <row r="2823" spans="2:6" x14ac:dyDescent="0.2">
      <c r="B2823" t="s">
        <v>9027</v>
      </c>
      <c r="C2823" t="s">
        <v>9028</v>
      </c>
      <c r="D2823">
        <v>7</v>
      </c>
      <c r="E2823" t="s">
        <v>9029</v>
      </c>
      <c r="F2823">
        <v>4</v>
      </c>
    </row>
    <row r="2824" spans="2:6" x14ac:dyDescent="0.2">
      <c r="B2824" t="s">
        <v>9030</v>
      </c>
      <c r="C2824" t="s">
        <v>9031</v>
      </c>
      <c r="D2824">
        <v>7</v>
      </c>
      <c r="E2824" t="s">
        <v>9032</v>
      </c>
      <c r="F2824">
        <v>4</v>
      </c>
    </row>
    <row r="2825" spans="2:6" x14ac:dyDescent="0.2">
      <c r="B2825" t="s">
        <v>412</v>
      </c>
      <c r="C2825" t="s">
        <v>9033</v>
      </c>
      <c r="D2825">
        <v>7</v>
      </c>
      <c r="E2825" t="s">
        <v>6407</v>
      </c>
      <c r="F2825">
        <v>4</v>
      </c>
    </row>
    <row r="2826" spans="2:6" x14ac:dyDescent="0.2">
      <c r="B2826" t="s">
        <v>9034</v>
      </c>
      <c r="C2826" t="s">
        <v>9035</v>
      </c>
      <c r="D2826">
        <v>7</v>
      </c>
      <c r="E2826" t="s">
        <v>3586</v>
      </c>
      <c r="F2826">
        <v>8</v>
      </c>
    </row>
    <row r="2827" spans="2:6" x14ac:dyDescent="0.2">
      <c r="B2827" t="s">
        <v>9036</v>
      </c>
      <c r="C2827" t="s">
        <v>9037</v>
      </c>
      <c r="D2827">
        <v>7</v>
      </c>
      <c r="E2827" t="s">
        <v>3575</v>
      </c>
      <c r="F2827">
        <v>2</v>
      </c>
    </row>
    <row r="2828" spans="2:6" x14ac:dyDescent="0.2">
      <c r="B2828" t="s">
        <v>9038</v>
      </c>
      <c r="C2828" t="s">
        <v>9039</v>
      </c>
      <c r="D2828">
        <v>7</v>
      </c>
      <c r="E2828" t="s">
        <v>6016</v>
      </c>
      <c r="F2828">
        <v>2</v>
      </c>
    </row>
    <row r="2829" spans="2:6" x14ac:dyDescent="0.2">
      <c r="B2829" t="s">
        <v>9040</v>
      </c>
      <c r="C2829" t="s">
        <v>9041</v>
      </c>
      <c r="D2829">
        <v>7</v>
      </c>
      <c r="E2829" t="s">
        <v>3109</v>
      </c>
      <c r="F2829">
        <v>1</v>
      </c>
    </row>
    <row r="2830" spans="2:6" x14ac:dyDescent="0.2">
      <c r="B2830" t="s">
        <v>9042</v>
      </c>
      <c r="C2830" t="s">
        <v>9043</v>
      </c>
      <c r="D2830">
        <v>7</v>
      </c>
      <c r="E2830" t="s">
        <v>3688</v>
      </c>
      <c r="F2830">
        <v>2</v>
      </c>
    </row>
    <row r="2831" spans="2:6" x14ac:dyDescent="0.2">
      <c r="B2831" t="s">
        <v>9044</v>
      </c>
      <c r="C2831" t="s">
        <v>9045</v>
      </c>
      <c r="D2831">
        <v>7</v>
      </c>
      <c r="E2831" t="s">
        <v>3386</v>
      </c>
      <c r="F2831">
        <v>2</v>
      </c>
    </row>
    <row r="2832" spans="2:6" x14ac:dyDescent="0.2">
      <c r="B2832" t="s">
        <v>9046</v>
      </c>
      <c r="C2832" t="s">
        <v>9047</v>
      </c>
      <c r="D2832">
        <v>7</v>
      </c>
      <c r="E2832" t="s">
        <v>4788</v>
      </c>
      <c r="F2832">
        <v>4</v>
      </c>
    </row>
    <row r="2833" spans="2:6" x14ac:dyDescent="0.2">
      <c r="B2833" t="s">
        <v>9048</v>
      </c>
      <c r="C2833" t="s">
        <v>9049</v>
      </c>
      <c r="D2833">
        <v>7</v>
      </c>
      <c r="E2833" t="s">
        <v>9050</v>
      </c>
      <c r="F2833">
        <v>2</v>
      </c>
    </row>
    <row r="2834" spans="2:6" x14ac:dyDescent="0.2">
      <c r="B2834" t="s">
        <v>9051</v>
      </c>
      <c r="C2834" t="s">
        <v>9052</v>
      </c>
      <c r="D2834">
        <v>7</v>
      </c>
      <c r="E2834" t="s">
        <v>9053</v>
      </c>
      <c r="F2834">
        <v>1</v>
      </c>
    </row>
    <row r="2835" spans="2:6" x14ac:dyDescent="0.2">
      <c r="B2835" t="s">
        <v>9054</v>
      </c>
      <c r="C2835" t="s">
        <v>9055</v>
      </c>
      <c r="D2835">
        <v>7</v>
      </c>
      <c r="E2835" t="s">
        <v>2811</v>
      </c>
      <c r="F2835">
        <v>6</v>
      </c>
    </row>
    <row r="2836" spans="2:6" x14ac:dyDescent="0.2">
      <c r="B2836" t="s">
        <v>9056</v>
      </c>
      <c r="C2836" t="s">
        <v>9057</v>
      </c>
      <c r="D2836">
        <v>7</v>
      </c>
      <c r="E2836" t="s">
        <v>7951</v>
      </c>
      <c r="F2836">
        <v>2</v>
      </c>
    </row>
    <row r="2837" spans="2:6" x14ac:dyDescent="0.2">
      <c r="B2837" t="s">
        <v>9058</v>
      </c>
      <c r="C2837" t="s">
        <v>9059</v>
      </c>
      <c r="D2837">
        <v>7</v>
      </c>
      <c r="E2837" t="s">
        <v>9060</v>
      </c>
      <c r="F2837">
        <v>1</v>
      </c>
    </row>
    <row r="2838" spans="2:6" x14ac:dyDescent="0.2">
      <c r="B2838" t="s">
        <v>9061</v>
      </c>
      <c r="C2838" t="s">
        <v>9062</v>
      </c>
      <c r="D2838">
        <v>7</v>
      </c>
      <c r="E2838" t="s">
        <v>4125</v>
      </c>
      <c r="F2838">
        <v>2</v>
      </c>
    </row>
    <row r="2839" spans="2:6" x14ac:dyDescent="0.2">
      <c r="B2839" t="s">
        <v>1875</v>
      </c>
      <c r="C2839" t="s">
        <v>9063</v>
      </c>
      <c r="D2839">
        <v>7</v>
      </c>
      <c r="E2839" t="s">
        <v>4956</v>
      </c>
      <c r="F2839">
        <v>2</v>
      </c>
    </row>
    <row r="2840" spans="2:6" x14ac:dyDescent="0.2">
      <c r="B2840" t="s">
        <v>9064</v>
      </c>
      <c r="C2840" t="s">
        <v>9065</v>
      </c>
      <c r="D2840">
        <v>7</v>
      </c>
      <c r="E2840" t="s">
        <v>3756</v>
      </c>
      <c r="F2840">
        <v>16</v>
      </c>
    </row>
    <row r="2841" spans="2:6" x14ac:dyDescent="0.2">
      <c r="B2841" t="s">
        <v>9066</v>
      </c>
      <c r="C2841" t="s">
        <v>9067</v>
      </c>
      <c r="D2841">
        <v>7</v>
      </c>
      <c r="E2841" t="s">
        <v>3475</v>
      </c>
      <c r="F2841">
        <v>2</v>
      </c>
    </row>
    <row r="2842" spans="2:6" x14ac:dyDescent="0.2">
      <c r="B2842" t="s">
        <v>9068</v>
      </c>
      <c r="C2842" t="s">
        <v>9069</v>
      </c>
      <c r="D2842">
        <v>7</v>
      </c>
      <c r="E2842" t="s">
        <v>9070</v>
      </c>
      <c r="F2842">
        <v>2</v>
      </c>
    </row>
    <row r="2843" spans="2:6" x14ac:dyDescent="0.2">
      <c r="B2843" t="s">
        <v>9071</v>
      </c>
      <c r="C2843" t="s">
        <v>9072</v>
      </c>
      <c r="D2843">
        <v>7</v>
      </c>
      <c r="E2843" t="s">
        <v>5412</v>
      </c>
      <c r="F2843">
        <v>42</v>
      </c>
    </row>
    <row r="2844" spans="2:6" x14ac:dyDescent="0.2">
      <c r="B2844" t="s">
        <v>437</v>
      </c>
      <c r="C2844" t="s">
        <v>9073</v>
      </c>
      <c r="D2844">
        <v>7</v>
      </c>
      <c r="E2844" t="s">
        <v>3327</v>
      </c>
      <c r="F2844">
        <v>3</v>
      </c>
    </row>
    <row r="2845" spans="2:6" x14ac:dyDescent="0.2">
      <c r="B2845" t="s">
        <v>9074</v>
      </c>
      <c r="C2845" t="s">
        <v>9075</v>
      </c>
      <c r="D2845">
        <v>7</v>
      </c>
      <c r="E2845" t="s">
        <v>9076</v>
      </c>
      <c r="F2845">
        <v>2</v>
      </c>
    </row>
    <row r="2846" spans="2:6" x14ac:dyDescent="0.2">
      <c r="B2846" t="s">
        <v>1036</v>
      </c>
      <c r="C2846" t="s">
        <v>9077</v>
      </c>
      <c r="D2846">
        <v>7</v>
      </c>
      <c r="E2846" t="s">
        <v>9078</v>
      </c>
      <c r="F2846">
        <v>4</v>
      </c>
    </row>
    <row r="2847" spans="2:6" x14ac:dyDescent="0.2">
      <c r="B2847" t="s">
        <v>9079</v>
      </c>
      <c r="C2847" t="s">
        <v>9080</v>
      </c>
      <c r="D2847">
        <v>7</v>
      </c>
      <c r="E2847" t="s">
        <v>2895</v>
      </c>
      <c r="F2847">
        <v>1</v>
      </c>
    </row>
    <row r="2848" spans="2:6" x14ac:dyDescent="0.2">
      <c r="B2848" t="s">
        <v>9081</v>
      </c>
      <c r="C2848" t="s">
        <v>9082</v>
      </c>
      <c r="D2848">
        <v>7</v>
      </c>
      <c r="E2848" t="s">
        <v>9083</v>
      </c>
      <c r="F2848">
        <v>5</v>
      </c>
    </row>
    <row r="2849" spans="2:6" x14ac:dyDescent="0.2">
      <c r="B2849" t="s">
        <v>9084</v>
      </c>
      <c r="C2849" t="s">
        <v>9085</v>
      </c>
      <c r="D2849">
        <v>7</v>
      </c>
      <c r="E2849" t="s">
        <v>8148</v>
      </c>
      <c r="F2849">
        <v>19</v>
      </c>
    </row>
    <row r="2850" spans="2:6" x14ac:dyDescent="0.2">
      <c r="B2850" t="s">
        <v>1676</v>
      </c>
      <c r="C2850" t="s">
        <v>9086</v>
      </c>
      <c r="D2850">
        <v>7</v>
      </c>
      <c r="E2850" t="s">
        <v>8151</v>
      </c>
      <c r="F2850">
        <v>23</v>
      </c>
    </row>
    <row r="2851" spans="2:6" x14ac:dyDescent="0.2">
      <c r="B2851" t="s">
        <v>9087</v>
      </c>
      <c r="C2851" t="s">
        <v>8404</v>
      </c>
      <c r="D2851">
        <v>7</v>
      </c>
      <c r="E2851" t="s">
        <v>2915</v>
      </c>
      <c r="F2851">
        <v>1</v>
      </c>
    </row>
    <row r="2852" spans="2:6" x14ac:dyDescent="0.2">
      <c r="B2852" t="s">
        <v>9088</v>
      </c>
      <c r="C2852" t="s">
        <v>4918</v>
      </c>
      <c r="D2852">
        <v>7</v>
      </c>
      <c r="E2852" t="s">
        <v>9089</v>
      </c>
      <c r="F2852">
        <v>8</v>
      </c>
    </row>
    <row r="2853" spans="2:6" x14ac:dyDescent="0.2">
      <c r="B2853" t="s">
        <v>1639</v>
      </c>
      <c r="C2853" t="s">
        <v>9090</v>
      </c>
      <c r="D2853">
        <v>7</v>
      </c>
      <c r="E2853" t="s">
        <v>3957</v>
      </c>
      <c r="F2853">
        <v>4</v>
      </c>
    </row>
    <row r="2854" spans="2:6" x14ac:dyDescent="0.2">
      <c r="B2854" t="s">
        <v>9091</v>
      </c>
      <c r="C2854" t="s">
        <v>9092</v>
      </c>
      <c r="D2854">
        <v>7</v>
      </c>
      <c r="E2854" t="s">
        <v>2788</v>
      </c>
      <c r="F2854">
        <v>2</v>
      </c>
    </row>
    <row r="2855" spans="2:6" x14ac:dyDescent="0.2">
      <c r="B2855" t="s">
        <v>9093</v>
      </c>
      <c r="C2855" t="s">
        <v>9094</v>
      </c>
      <c r="D2855">
        <v>7</v>
      </c>
      <c r="E2855" t="s">
        <v>2969</v>
      </c>
      <c r="F2855">
        <v>3</v>
      </c>
    </row>
    <row r="2856" spans="2:6" x14ac:dyDescent="0.2">
      <c r="B2856" t="s">
        <v>9095</v>
      </c>
      <c r="C2856" t="s">
        <v>9096</v>
      </c>
      <c r="D2856">
        <v>7</v>
      </c>
      <c r="E2856" t="s">
        <v>9097</v>
      </c>
      <c r="F2856">
        <v>6</v>
      </c>
    </row>
    <row r="2857" spans="2:6" x14ac:dyDescent="0.2">
      <c r="B2857" t="s">
        <v>9098</v>
      </c>
      <c r="C2857" t="s">
        <v>9099</v>
      </c>
      <c r="D2857">
        <v>7</v>
      </c>
      <c r="E2857" t="s">
        <v>3824</v>
      </c>
      <c r="F2857">
        <v>1</v>
      </c>
    </row>
    <row r="2858" spans="2:6" x14ac:dyDescent="0.2">
      <c r="B2858" t="s">
        <v>1669</v>
      </c>
      <c r="C2858" t="s">
        <v>9100</v>
      </c>
      <c r="D2858">
        <v>7</v>
      </c>
      <c r="E2858" t="s">
        <v>3316</v>
      </c>
      <c r="F2858">
        <v>3</v>
      </c>
    </row>
    <row r="2859" spans="2:6" x14ac:dyDescent="0.2">
      <c r="B2859" t="s">
        <v>9101</v>
      </c>
      <c r="C2859" t="s">
        <v>9102</v>
      </c>
      <c r="D2859">
        <v>7</v>
      </c>
      <c r="E2859" t="s">
        <v>3106</v>
      </c>
      <c r="F2859">
        <v>2</v>
      </c>
    </row>
    <row r="2860" spans="2:6" x14ac:dyDescent="0.2">
      <c r="B2860" t="s">
        <v>9103</v>
      </c>
      <c r="C2860" t="s">
        <v>9104</v>
      </c>
      <c r="D2860">
        <v>7</v>
      </c>
      <c r="E2860" t="s">
        <v>3139</v>
      </c>
      <c r="F2860">
        <v>1</v>
      </c>
    </row>
    <row r="2861" spans="2:6" x14ac:dyDescent="0.2">
      <c r="B2861" t="s">
        <v>9105</v>
      </c>
      <c r="C2861" t="s">
        <v>9106</v>
      </c>
      <c r="D2861">
        <v>7</v>
      </c>
      <c r="E2861" t="s">
        <v>3495</v>
      </c>
      <c r="F2861">
        <v>1</v>
      </c>
    </row>
    <row r="2862" spans="2:6" x14ac:dyDescent="0.2">
      <c r="B2862" t="s">
        <v>9107</v>
      </c>
      <c r="C2862" t="s">
        <v>9108</v>
      </c>
      <c r="D2862">
        <v>7</v>
      </c>
      <c r="E2862" t="s">
        <v>9109</v>
      </c>
      <c r="F2862">
        <v>1</v>
      </c>
    </row>
    <row r="2863" spans="2:6" x14ac:dyDescent="0.2">
      <c r="B2863" t="s">
        <v>9110</v>
      </c>
      <c r="C2863" t="s">
        <v>9111</v>
      </c>
      <c r="D2863">
        <v>7</v>
      </c>
      <c r="E2863" t="s">
        <v>3564</v>
      </c>
      <c r="F2863">
        <v>2</v>
      </c>
    </row>
    <row r="2864" spans="2:6" x14ac:dyDescent="0.2">
      <c r="B2864" t="s">
        <v>9112</v>
      </c>
      <c r="C2864" t="s">
        <v>9113</v>
      </c>
      <c r="D2864">
        <v>7</v>
      </c>
      <c r="E2864" t="s">
        <v>3575</v>
      </c>
      <c r="F2864">
        <v>1</v>
      </c>
    </row>
    <row r="2865" spans="2:6" x14ac:dyDescent="0.2">
      <c r="B2865" t="s">
        <v>541</v>
      </c>
      <c r="C2865" t="s">
        <v>9114</v>
      </c>
      <c r="D2865">
        <v>7</v>
      </c>
      <c r="E2865" t="s">
        <v>5525</v>
      </c>
      <c r="F2865">
        <v>6</v>
      </c>
    </row>
    <row r="2866" spans="2:6" x14ac:dyDescent="0.2">
      <c r="B2866" t="s">
        <v>697</v>
      </c>
      <c r="C2866" t="s">
        <v>9115</v>
      </c>
      <c r="D2866">
        <v>7</v>
      </c>
      <c r="E2866" t="s">
        <v>3327</v>
      </c>
      <c r="F2866">
        <v>6</v>
      </c>
    </row>
    <row r="2867" spans="2:6" x14ac:dyDescent="0.2">
      <c r="B2867" t="s">
        <v>9116</v>
      </c>
      <c r="C2867" t="s">
        <v>9117</v>
      </c>
      <c r="D2867">
        <v>7</v>
      </c>
      <c r="E2867" t="s">
        <v>2918</v>
      </c>
      <c r="F2867">
        <v>2</v>
      </c>
    </row>
    <row r="2868" spans="2:6" x14ac:dyDescent="0.2">
      <c r="B2868" t="s">
        <v>9118</v>
      </c>
      <c r="C2868" t="s">
        <v>9119</v>
      </c>
      <c r="D2868">
        <v>7</v>
      </c>
      <c r="E2868" t="s">
        <v>3426</v>
      </c>
      <c r="F2868">
        <v>1</v>
      </c>
    </row>
    <row r="2869" spans="2:6" x14ac:dyDescent="0.2">
      <c r="B2869" t="s">
        <v>2140</v>
      </c>
      <c r="C2869" t="s">
        <v>9120</v>
      </c>
      <c r="D2869">
        <v>7</v>
      </c>
      <c r="E2869" t="s">
        <v>9121</v>
      </c>
      <c r="F2869">
        <v>1</v>
      </c>
    </row>
    <row r="2870" spans="2:6" x14ac:dyDescent="0.2">
      <c r="B2870" t="s">
        <v>9122</v>
      </c>
      <c r="C2870" t="s">
        <v>9123</v>
      </c>
      <c r="D2870">
        <v>7</v>
      </c>
      <c r="E2870" t="s">
        <v>9124</v>
      </c>
      <c r="F2870">
        <v>4</v>
      </c>
    </row>
    <row r="2871" spans="2:6" x14ac:dyDescent="0.2">
      <c r="B2871" t="s">
        <v>9125</v>
      </c>
      <c r="C2871" t="s">
        <v>9126</v>
      </c>
      <c r="D2871">
        <v>7</v>
      </c>
      <c r="E2871" t="s">
        <v>9127</v>
      </c>
      <c r="F2871">
        <v>2</v>
      </c>
    </row>
    <row r="2872" spans="2:6" x14ac:dyDescent="0.2">
      <c r="B2872" t="s">
        <v>9128</v>
      </c>
      <c r="C2872" t="s">
        <v>9129</v>
      </c>
      <c r="D2872">
        <v>7</v>
      </c>
      <c r="E2872" t="s">
        <v>6050</v>
      </c>
      <c r="F2872">
        <v>1</v>
      </c>
    </row>
    <row r="2873" spans="2:6" x14ac:dyDescent="0.2">
      <c r="B2873" t="s">
        <v>9130</v>
      </c>
      <c r="C2873" t="s">
        <v>9131</v>
      </c>
      <c r="D2873">
        <v>7</v>
      </c>
      <c r="E2873" t="s">
        <v>9132</v>
      </c>
      <c r="F2873">
        <v>1</v>
      </c>
    </row>
    <row r="2874" spans="2:6" x14ac:dyDescent="0.2">
      <c r="B2874" t="s">
        <v>9133</v>
      </c>
      <c r="C2874" t="s">
        <v>9134</v>
      </c>
      <c r="D2874">
        <v>7</v>
      </c>
      <c r="E2874" t="s">
        <v>2805</v>
      </c>
      <c r="F2874">
        <v>1</v>
      </c>
    </row>
    <row r="2875" spans="2:6" x14ac:dyDescent="0.2">
      <c r="B2875" t="s">
        <v>9135</v>
      </c>
      <c r="C2875" t="s">
        <v>9136</v>
      </c>
      <c r="D2875">
        <v>7</v>
      </c>
      <c r="E2875" t="s">
        <v>3814</v>
      </c>
      <c r="F2875">
        <v>1</v>
      </c>
    </row>
    <row r="2876" spans="2:6" x14ac:dyDescent="0.2">
      <c r="B2876" t="s">
        <v>9137</v>
      </c>
      <c r="C2876" t="s">
        <v>9138</v>
      </c>
      <c r="D2876">
        <v>7</v>
      </c>
      <c r="E2876" t="s">
        <v>8710</v>
      </c>
      <c r="F2876">
        <v>2</v>
      </c>
    </row>
    <row r="2877" spans="2:6" x14ac:dyDescent="0.2">
      <c r="B2877" t="s">
        <v>1581</v>
      </c>
      <c r="C2877" t="s">
        <v>9139</v>
      </c>
      <c r="D2877">
        <v>7</v>
      </c>
      <c r="E2877" t="s">
        <v>9140</v>
      </c>
      <c r="F2877">
        <v>5</v>
      </c>
    </row>
    <row r="2878" spans="2:6" x14ac:dyDescent="0.2">
      <c r="B2878" t="s">
        <v>9141</v>
      </c>
      <c r="C2878" t="s">
        <v>9142</v>
      </c>
      <c r="D2878">
        <v>7</v>
      </c>
      <c r="E2878" t="s">
        <v>2915</v>
      </c>
      <c r="F2878">
        <v>1</v>
      </c>
    </row>
    <row r="2879" spans="2:6" x14ac:dyDescent="0.2">
      <c r="B2879" t="s">
        <v>9143</v>
      </c>
      <c r="C2879" t="s">
        <v>9144</v>
      </c>
      <c r="D2879">
        <v>7</v>
      </c>
      <c r="E2879" t="s">
        <v>9145</v>
      </c>
      <c r="F2879">
        <v>2</v>
      </c>
    </row>
    <row r="2880" spans="2:6" x14ac:dyDescent="0.2">
      <c r="B2880" t="s">
        <v>9146</v>
      </c>
      <c r="C2880" t="s">
        <v>9147</v>
      </c>
      <c r="D2880">
        <v>7</v>
      </c>
      <c r="E2880" t="s">
        <v>9148</v>
      </c>
      <c r="F2880">
        <v>6</v>
      </c>
    </row>
    <row r="2881" spans="2:6" x14ac:dyDescent="0.2">
      <c r="B2881" t="s">
        <v>9149</v>
      </c>
      <c r="C2881" t="s">
        <v>9150</v>
      </c>
      <c r="D2881">
        <v>7</v>
      </c>
      <c r="E2881" t="s">
        <v>8356</v>
      </c>
      <c r="F2881">
        <v>2</v>
      </c>
    </row>
    <row r="2882" spans="2:6" x14ac:dyDescent="0.2">
      <c r="B2882" t="s">
        <v>9151</v>
      </c>
      <c r="C2882" t="s">
        <v>9152</v>
      </c>
      <c r="D2882">
        <v>7</v>
      </c>
      <c r="E2882" t="s">
        <v>3294</v>
      </c>
      <c r="F2882">
        <v>1</v>
      </c>
    </row>
    <row r="2883" spans="2:6" x14ac:dyDescent="0.2">
      <c r="B2883" t="s">
        <v>9153</v>
      </c>
      <c r="C2883" t="s">
        <v>9154</v>
      </c>
      <c r="D2883">
        <v>7</v>
      </c>
      <c r="E2883" t="s">
        <v>3162</v>
      </c>
      <c r="F2883">
        <v>1</v>
      </c>
    </row>
    <row r="2884" spans="2:6" x14ac:dyDescent="0.2">
      <c r="B2884" t="s">
        <v>9155</v>
      </c>
      <c r="C2884" t="s">
        <v>9156</v>
      </c>
      <c r="D2884">
        <v>7</v>
      </c>
      <c r="E2884" t="s">
        <v>3095</v>
      </c>
      <c r="F2884">
        <v>1</v>
      </c>
    </row>
    <row r="2885" spans="2:6" x14ac:dyDescent="0.2">
      <c r="B2885" t="s">
        <v>9157</v>
      </c>
      <c r="C2885" t="s">
        <v>9158</v>
      </c>
      <c r="D2885">
        <v>7</v>
      </c>
      <c r="E2885" t="s">
        <v>3067</v>
      </c>
      <c r="F2885">
        <v>1</v>
      </c>
    </row>
    <row r="2886" spans="2:6" x14ac:dyDescent="0.2">
      <c r="B2886" t="s">
        <v>326</v>
      </c>
      <c r="C2886" t="s">
        <v>9159</v>
      </c>
      <c r="D2886">
        <v>7</v>
      </c>
      <c r="E2886" t="s">
        <v>3628</v>
      </c>
      <c r="F2886">
        <v>6</v>
      </c>
    </row>
    <row r="2887" spans="2:6" x14ac:dyDescent="0.2">
      <c r="B2887" t="s">
        <v>9160</v>
      </c>
      <c r="C2887" t="s">
        <v>9161</v>
      </c>
      <c r="D2887">
        <v>7</v>
      </c>
      <c r="E2887" t="s">
        <v>2915</v>
      </c>
      <c r="F2887">
        <v>2</v>
      </c>
    </row>
    <row r="2888" spans="2:6" x14ac:dyDescent="0.2">
      <c r="B2888" t="s">
        <v>9162</v>
      </c>
      <c r="C2888" t="s">
        <v>9163</v>
      </c>
      <c r="D2888">
        <v>7</v>
      </c>
      <c r="E2888" t="s">
        <v>4062</v>
      </c>
      <c r="F2888">
        <v>9</v>
      </c>
    </row>
    <row r="2889" spans="2:6" x14ac:dyDescent="0.2">
      <c r="B2889" t="s">
        <v>943</v>
      </c>
      <c r="C2889" t="s">
        <v>9164</v>
      </c>
      <c r="D2889">
        <v>7</v>
      </c>
      <c r="E2889" t="s">
        <v>5330</v>
      </c>
      <c r="F2889">
        <v>2</v>
      </c>
    </row>
    <row r="2890" spans="2:6" x14ac:dyDescent="0.2">
      <c r="B2890" t="s">
        <v>9165</v>
      </c>
      <c r="C2890" t="s">
        <v>9166</v>
      </c>
      <c r="D2890">
        <v>7</v>
      </c>
      <c r="E2890" t="s">
        <v>9167</v>
      </c>
      <c r="F2890">
        <v>21</v>
      </c>
    </row>
    <row r="2891" spans="2:6" x14ac:dyDescent="0.2">
      <c r="B2891" t="s">
        <v>9168</v>
      </c>
      <c r="C2891" t="s">
        <v>9169</v>
      </c>
      <c r="D2891">
        <v>7</v>
      </c>
      <c r="E2891" t="s">
        <v>3307</v>
      </c>
      <c r="F2891">
        <v>1</v>
      </c>
    </row>
    <row r="2892" spans="2:6" x14ac:dyDescent="0.2">
      <c r="B2892" t="s">
        <v>9170</v>
      </c>
      <c r="C2892" t="s">
        <v>9171</v>
      </c>
      <c r="D2892">
        <v>7</v>
      </c>
      <c r="E2892" t="s">
        <v>9172</v>
      </c>
      <c r="F2892">
        <v>2</v>
      </c>
    </row>
    <row r="2893" spans="2:6" x14ac:dyDescent="0.2">
      <c r="B2893" t="s">
        <v>9173</v>
      </c>
      <c r="C2893" t="s">
        <v>9174</v>
      </c>
      <c r="D2893">
        <v>7</v>
      </c>
      <c r="E2893" t="s">
        <v>2811</v>
      </c>
      <c r="F2893">
        <v>12</v>
      </c>
    </row>
    <row r="2894" spans="2:6" x14ac:dyDescent="0.2">
      <c r="B2894" t="s">
        <v>9175</v>
      </c>
      <c r="C2894" t="s">
        <v>9176</v>
      </c>
      <c r="D2894">
        <v>7</v>
      </c>
      <c r="E2894" t="s">
        <v>4222</v>
      </c>
      <c r="F2894">
        <v>3</v>
      </c>
    </row>
    <row r="2895" spans="2:6" x14ac:dyDescent="0.2">
      <c r="B2895" t="s">
        <v>520</v>
      </c>
      <c r="C2895" t="s">
        <v>9177</v>
      </c>
      <c r="D2895">
        <v>7</v>
      </c>
      <c r="E2895" t="s">
        <v>9178</v>
      </c>
      <c r="F2895">
        <v>9</v>
      </c>
    </row>
    <row r="2896" spans="2:6" x14ac:dyDescent="0.2">
      <c r="B2896" t="s">
        <v>9179</v>
      </c>
      <c r="C2896" t="s">
        <v>9180</v>
      </c>
      <c r="D2896">
        <v>7</v>
      </c>
      <c r="E2896" t="s">
        <v>5992</v>
      </c>
      <c r="F2896">
        <v>1</v>
      </c>
    </row>
    <row r="2897" spans="2:6" x14ac:dyDescent="0.2">
      <c r="B2897" t="s">
        <v>9181</v>
      </c>
      <c r="C2897" t="s">
        <v>9182</v>
      </c>
      <c r="D2897">
        <v>7</v>
      </c>
      <c r="E2897" t="s">
        <v>2830</v>
      </c>
      <c r="F2897">
        <v>1</v>
      </c>
    </row>
    <row r="2898" spans="2:6" x14ac:dyDescent="0.2">
      <c r="B2898" t="s">
        <v>9183</v>
      </c>
      <c r="C2898" t="s">
        <v>9184</v>
      </c>
      <c r="D2898">
        <v>7</v>
      </c>
      <c r="E2898" t="s">
        <v>3688</v>
      </c>
      <c r="F2898">
        <v>1</v>
      </c>
    </row>
    <row r="2899" spans="2:6" x14ac:dyDescent="0.2">
      <c r="B2899" t="s">
        <v>9185</v>
      </c>
      <c r="C2899" t="s">
        <v>9186</v>
      </c>
      <c r="D2899">
        <v>7</v>
      </c>
      <c r="E2899" t="s">
        <v>5856</v>
      </c>
      <c r="F2899">
        <v>1</v>
      </c>
    </row>
    <row r="2900" spans="2:6" x14ac:dyDescent="0.2">
      <c r="B2900" t="s">
        <v>9187</v>
      </c>
      <c r="C2900" t="s">
        <v>9188</v>
      </c>
      <c r="D2900">
        <v>7</v>
      </c>
      <c r="E2900" t="s">
        <v>3455</v>
      </c>
      <c r="F2900">
        <v>2</v>
      </c>
    </row>
    <row r="2901" spans="2:6" x14ac:dyDescent="0.2">
      <c r="B2901" t="s">
        <v>9189</v>
      </c>
      <c r="C2901" t="s">
        <v>9190</v>
      </c>
      <c r="D2901">
        <v>7</v>
      </c>
      <c r="E2901" t="s">
        <v>3031</v>
      </c>
      <c r="F2901">
        <v>2</v>
      </c>
    </row>
    <row r="2902" spans="2:6" x14ac:dyDescent="0.2">
      <c r="B2902" t="s">
        <v>403</v>
      </c>
      <c r="C2902" t="s">
        <v>9191</v>
      </c>
      <c r="D2902">
        <v>7</v>
      </c>
      <c r="E2902" t="s">
        <v>7066</v>
      </c>
      <c r="F2902">
        <v>8</v>
      </c>
    </row>
    <row r="2903" spans="2:6" x14ac:dyDescent="0.2">
      <c r="B2903" t="s">
        <v>9192</v>
      </c>
      <c r="C2903" t="s">
        <v>9193</v>
      </c>
      <c r="D2903">
        <v>7</v>
      </c>
      <c r="E2903" t="s">
        <v>5502</v>
      </c>
      <c r="F2903">
        <v>6</v>
      </c>
    </row>
    <row r="2904" spans="2:6" x14ac:dyDescent="0.2">
      <c r="B2904" t="s">
        <v>621</v>
      </c>
      <c r="C2904" t="s">
        <v>9194</v>
      </c>
      <c r="D2904">
        <v>7</v>
      </c>
      <c r="E2904" t="s">
        <v>2788</v>
      </c>
      <c r="F2904">
        <v>2</v>
      </c>
    </row>
    <row r="2905" spans="2:6" x14ac:dyDescent="0.2">
      <c r="B2905" t="s">
        <v>9195</v>
      </c>
      <c r="C2905" t="s">
        <v>9196</v>
      </c>
      <c r="D2905">
        <v>7</v>
      </c>
      <c r="E2905" t="s">
        <v>3213</v>
      </c>
      <c r="F2905">
        <v>1</v>
      </c>
    </row>
    <row r="2906" spans="2:6" x14ac:dyDescent="0.2">
      <c r="B2906" t="s">
        <v>9197</v>
      </c>
      <c r="C2906" t="s">
        <v>9198</v>
      </c>
      <c r="D2906">
        <v>7</v>
      </c>
      <c r="E2906" t="s">
        <v>3109</v>
      </c>
      <c r="F2906">
        <v>1</v>
      </c>
    </row>
    <row r="2907" spans="2:6" x14ac:dyDescent="0.2">
      <c r="B2907" t="s">
        <v>9199</v>
      </c>
      <c r="C2907" t="s">
        <v>9200</v>
      </c>
      <c r="D2907">
        <v>7</v>
      </c>
      <c r="E2907" t="s">
        <v>9201</v>
      </c>
      <c r="F2907">
        <v>5</v>
      </c>
    </row>
    <row r="2908" spans="2:6" x14ac:dyDescent="0.2">
      <c r="B2908" t="s">
        <v>9202</v>
      </c>
      <c r="C2908" t="s">
        <v>9203</v>
      </c>
      <c r="D2908">
        <v>7</v>
      </c>
      <c r="E2908" t="s">
        <v>9204</v>
      </c>
      <c r="F2908">
        <v>2</v>
      </c>
    </row>
    <row r="2909" spans="2:6" x14ac:dyDescent="0.2">
      <c r="B2909" t="s">
        <v>9205</v>
      </c>
      <c r="C2909" t="s">
        <v>9206</v>
      </c>
      <c r="D2909">
        <v>7</v>
      </c>
      <c r="E2909" t="s">
        <v>3686</v>
      </c>
      <c r="F2909">
        <v>8</v>
      </c>
    </row>
    <row r="2910" spans="2:6" x14ac:dyDescent="0.2">
      <c r="B2910" t="s">
        <v>743</v>
      </c>
      <c r="C2910" t="s">
        <v>9207</v>
      </c>
      <c r="D2910">
        <v>7</v>
      </c>
      <c r="E2910" t="s">
        <v>3957</v>
      </c>
      <c r="F2910">
        <v>2</v>
      </c>
    </row>
    <row r="2911" spans="2:6" x14ac:dyDescent="0.2">
      <c r="B2911" t="s">
        <v>9208</v>
      </c>
      <c r="C2911" t="s">
        <v>9209</v>
      </c>
      <c r="D2911">
        <v>7</v>
      </c>
      <c r="E2911" t="s">
        <v>3113</v>
      </c>
      <c r="F2911">
        <v>1</v>
      </c>
    </row>
    <row r="2912" spans="2:6" x14ac:dyDescent="0.2">
      <c r="B2912" t="s">
        <v>9210</v>
      </c>
      <c r="C2912" t="s">
        <v>9211</v>
      </c>
      <c r="D2912">
        <v>7</v>
      </c>
      <c r="E2912" t="s">
        <v>5165</v>
      </c>
      <c r="F2912">
        <v>1</v>
      </c>
    </row>
    <row r="2913" spans="2:6" x14ac:dyDescent="0.2">
      <c r="B2913" t="s">
        <v>9212</v>
      </c>
      <c r="C2913" t="s">
        <v>4918</v>
      </c>
      <c r="D2913">
        <v>7</v>
      </c>
      <c r="E2913" t="s">
        <v>5829</v>
      </c>
      <c r="F2913">
        <v>8</v>
      </c>
    </row>
    <row r="2914" spans="2:6" x14ac:dyDescent="0.2">
      <c r="B2914" t="s">
        <v>9213</v>
      </c>
      <c r="C2914" t="s">
        <v>9214</v>
      </c>
      <c r="D2914">
        <v>7</v>
      </c>
      <c r="E2914" t="s">
        <v>3933</v>
      </c>
      <c r="F2914">
        <v>2</v>
      </c>
    </row>
    <row r="2915" spans="2:6" x14ac:dyDescent="0.2">
      <c r="B2915" t="s">
        <v>9215</v>
      </c>
      <c r="C2915" t="s">
        <v>9216</v>
      </c>
      <c r="D2915">
        <v>7</v>
      </c>
      <c r="E2915" t="s">
        <v>3133</v>
      </c>
      <c r="F2915">
        <v>1</v>
      </c>
    </row>
    <row r="2916" spans="2:6" x14ac:dyDescent="0.2">
      <c r="B2916" t="s">
        <v>9217</v>
      </c>
      <c r="C2916" t="s">
        <v>9218</v>
      </c>
      <c r="D2916">
        <v>7</v>
      </c>
      <c r="E2916" t="s">
        <v>9219</v>
      </c>
      <c r="F2916">
        <v>1</v>
      </c>
    </row>
    <row r="2917" spans="2:6" x14ac:dyDescent="0.2">
      <c r="B2917" t="s">
        <v>9220</v>
      </c>
      <c r="C2917" t="s">
        <v>9221</v>
      </c>
      <c r="D2917">
        <v>7</v>
      </c>
      <c r="E2917" t="s">
        <v>2863</v>
      </c>
      <c r="F2917">
        <v>2</v>
      </c>
    </row>
    <row r="2918" spans="2:6" x14ac:dyDescent="0.2">
      <c r="B2918" t="s">
        <v>9222</v>
      </c>
      <c r="C2918" t="s">
        <v>3168</v>
      </c>
      <c r="D2918">
        <v>7</v>
      </c>
      <c r="E2918" t="s">
        <v>3957</v>
      </c>
      <c r="F2918">
        <v>2</v>
      </c>
    </row>
    <row r="2919" spans="2:6" x14ac:dyDescent="0.2">
      <c r="B2919" t="s">
        <v>9223</v>
      </c>
      <c r="C2919" t="s">
        <v>9224</v>
      </c>
      <c r="D2919">
        <v>7</v>
      </c>
      <c r="E2919" t="s">
        <v>2889</v>
      </c>
      <c r="F2919">
        <v>1</v>
      </c>
    </row>
    <row r="2920" spans="2:6" x14ac:dyDescent="0.2">
      <c r="B2920" t="s">
        <v>9225</v>
      </c>
      <c r="C2920" t="s">
        <v>9226</v>
      </c>
      <c r="D2920">
        <v>7</v>
      </c>
      <c r="E2920" t="s">
        <v>2952</v>
      </c>
      <c r="F2920">
        <v>2</v>
      </c>
    </row>
    <row r="2921" spans="2:6" x14ac:dyDescent="0.2">
      <c r="B2921" t="s">
        <v>1351</v>
      </c>
      <c r="C2921" t="s">
        <v>9227</v>
      </c>
      <c r="D2921">
        <v>7</v>
      </c>
      <c r="E2921" t="s">
        <v>2958</v>
      </c>
      <c r="F2921">
        <v>4</v>
      </c>
    </row>
    <row r="2922" spans="2:6" x14ac:dyDescent="0.2">
      <c r="B2922" t="s">
        <v>9228</v>
      </c>
      <c r="C2922" t="s">
        <v>9229</v>
      </c>
      <c r="D2922">
        <v>7</v>
      </c>
      <c r="E2922" t="s">
        <v>3628</v>
      </c>
      <c r="F2922">
        <v>3</v>
      </c>
    </row>
    <row r="2923" spans="2:6" x14ac:dyDescent="0.2">
      <c r="B2923" t="s">
        <v>9230</v>
      </c>
      <c r="C2923" t="s">
        <v>9231</v>
      </c>
      <c r="D2923">
        <v>7</v>
      </c>
      <c r="E2923" t="s">
        <v>2788</v>
      </c>
      <c r="F2923">
        <v>7</v>
      </c>
    </row>
    <row r="2924" spans="2:6" x14ac:dyDescent="0.2">
      <c r="B2924" t="s">
        <v>9232</v>
      </c>
      <c r="C2924" t="s">
        <v>9233</v>
      </c>
      <c r="D2924">
        <v>7</v>
      </c>
      <c r="E2924" t="s">
        <v>9234</v>
      </c>
      <c r="F2924">
        <v>3</v>
      </c>
    </row>
    <row r="2925" spans="2:6" x14ac:dyDescent="0.2">
      <c r="B2925" t="s">
        <v>9235</v>
      </c>
      <c r="C2925" t="s">
        <v>9236</v>
      </c>
      <c r="D2925">
        <v>7</v>
      </c>
      <c r="E2925" t="s">
        <v>4823</v>
      </c>
      <c r="F2925">
        <v>1</v>
      </c>
    </row>
    <row r="2926" spans="2:6" x14ac:dyDescent="0.2">
      <c r="B2926" t="s">
        <v>9237</v>
      </c>
      <c r="C2926" t="s">
        <v>9238</v>
      </c>
      <c r="D2926">
        <v>7</v>
      </c>
      <c r="E2926" t="s">
        <v>9239</v>
      </c>
      <c r="F2926">
        <v>1</v>
      </c>
    </row>
    <row r="2927" spans="2:6" x14ac:dyDescent="0.2">
      <c r="B2927" t="s">
        <v>9240</v>
      </c>
      <c r="C2927" t="s">
        <v>9241</v>
      </c>
      <c r="D2927">
        <v>7</v>
      </c>
      <c r="E2927" t="s">
        <v>3455</v>
      </c>
      <c r="F2927">
        <v>13</v>
      </c>
    </row>
    <row r="2928" spans="2:6" x14ac:dyDescent="0.2">
      <c r="B2928" t="s">
        <v>9242</v>
      </c>
      <c r="C2928" t="s">
        <v>9243</v>
      </c>
      <c r="D2928">
        <v>7</v>
      </c>
      <c r="E2928" t="s">
        <v>9244</v>
      </c>
      <c r="F2928">
        <v>6</v>
      </c>
    </row>
    <row r="2929" spans="2:6" x14ac:dyDescent="0.2">
      <c r="B2929" t="s">
        <v>9245</v>
      </c>
      <c r="C2929" t="s">
        <v>9246</v>
      </c>
      <c r="D2929">
        <v>7</v>
      </c>
      <c r="E2929" t="s">
        <v>5502</v>
      </c>
      <c r="F2929">
        <v>2</v>
      </c>
    </row>
    <row r="2930" spans="2:6" x14ac:dyDescent="0.2">
      <c r="B2930" t="s">
        <v>1542</v>
      </c>
      <c r="C2930" t="s">
        <v>9247</v>
      </c>
      <c r="D2930">
        <v>7</v>
      </c>
      <c r="E2930" t="s">
        <v>4778</v>
      </c>
      <c r="F2930">
        <v>4</v>
      </c>
    </row>
    <row r="2931" spans="2:6" x14ac:dyDescent="0.2">
      <c r="B2931" t="s">
        <v>9248</v>
      </c>
      <c r="C2931" t="s">
        <v>9249</v>
      </c>
      <c r="D2931">
        <v>7</v>
      </c>
      <c r="E2931" t="s">
        <v>9250</v>
      </c>
      <c r="F2931">
        <v>15</v>
      </c>
    </row>
    <row r="2932" spans="2:6" x14ac:dyDescent="0.2">
      <c r="B2932" t="s">
        <v>9251</v>
      </c>
      <c r="C2932" t="s">
        <v>9252</v>
      </c>
      <c r="D2932">
        <v>7</v>
      </c>
      <c r="E2932" t="s">
        <v>3227</v>
      </c>
      <c r="F2932">
        <v>2</v>
      </c>
    </row>
    <row r="2933" spans="2:6" x14ac:dyDescent="0.2">
      <c r="B2933" t="s">
        <v>689</v>
      </c>
      <c r="C2933" t="s">
        <v>688</v>
      </c>
      <c r="D2933">
        <v>7</v>
      </c>
      <c r="E2933" t="s">
        <v>3092</v>
      </c>
      <c r="F2933">
        <v>107</v>
      </c>
    </row>
    <row r="2934" spans="2:6" x14ac:dyDescent="0.2">
      <c r="B2934" t="s">
        <v>1169</v>
      </c>
      <c r="C2934" t="s">
        <v>8243</v>
      </c>
      <c r="D2934">
        <v>7</v>
      </c>
      <c r="E2934" t="s">
        <v>6730</v>
      </c>
      <c r="F2934">
        <v>5</v>
      </c>
    </row>
    <row r="2935" spans="2:6" x14ac:dyDescent="0.2">
      <c r="B2935" t="s">
        <v>677</v>
      </c>
      <c r="C2935" t="s">
        <v>9253</v>
      </c>
      <c r="D2935">
        <v>7</v>
      </c>
      <c r="E2935" t="s">
        <v>3591</v>
      </c>
      <c r="F2935">
        <v>12</v>
      </c>
    </row>
    <row r="2936" spans="2:6" x14ac:dyDescent="0.2">
      <c r="B2936" t="s">
        <v>9254</v>
      </c>
      <c r="C2936" t="s">
        <v>9255</v>
      </c>
      <c r="D2936">
        <v>7</v>
      </c>
      <c r="E2936" t="s">
        <v>9256</v>
      </c>
      <c r="F2936">
        <v>3</v>
      </c>
    </row>
    <row r="2937" spans="2:6" x14ac:dyDescent="0.2">
      <c r="B2937" t="s">
        <v>9257</v>
      </c>
      <c r="C2937" t="s">
        <v>9258</v>
      </c>
      <c r="D2937">
        <v>7</v>
      </c>
      <c r="E2937" t="s">
        <v>8666</v>
      </c>
      <c r="F2937">
        <v>1</v>
      </c>
    </row>
    <row r="2938" spans="2:6" x14ac:dyDescent="0.2">
      <c r="B2938" t="s">
        <v>9259</v>
      </c>
      <c r="C2938" t="s">
        <v>9260</v>
      </c>
      <c r="D2938">
        <v>7</v>
      </c>
      <c r="E2938" t="s">
        <v>9261</v>
      </c>
      <c r="F2938">
        <v>2</v>
      </c>
    </row>
    <row r="2939" spans="2:6" x14ac:dyDescent="0.2">
      <c r="B2939" t="s">
        <v>646</v>
      </c>
      <c r="C2939" t="s">
        <v>9262</v>
      </c>
      <c r="D2939">
        <v>7</v>
      </c>
      <c r="E2939" t="s">
        <v>3281</v>
      </c>
      <c r="F2939">
        <v>3</v>
      </c>
    </row>
    <row r="2940" spans="2:6" x14ac:dyDescent="0.2">
      <c r="B2940" t="s">
        <v>771</v>
      </c>
      <c r="C2940" t="s">
        <v>9263</v>
      </c>
      <c r="D2940">
        <v>7</v>
      </c>
      <c r="E2940" t="s">
        <v>3820</v>
      </c>
      <c r="F2940">
        <v>19</v>
      </c>
    </row>
    <row r="2941" spans="2:6" x14ac:dyDescent="0.2">
      <c r="B2941" t="s">
        <v>9264</v>
      </c>
      <c r="C2941" t="s">
        <v>9265</v>
      </c>
      <c r="D2941">
        <v>7</v>
      </c>
      <c r="E2941" t="s">
        <v>9266</v>
      </c>
      <c r="F2941">
        <v>2</v>
      </c>
    </row>
    <row r="2942" spans="2:6" x14ac:dyDescent="0.2">
      <c r="B2942" t="s">
        <v>9267</v>
      </c>
      <c r="C2942" t="s">
        <v>9268</v>
      </c>
      <c r="D2942">
        <v>7</v>
      </c>
      <c r="E2942" t="s">
        <v>2785</v>
      </c>
      <c r="F2942">
        <v>1</v>
      </c>
    </row>
    <row r="2943" spans="2:6" x14ac:dyDescent="0.2">
      <c r="B2943" t="s">
        <v>9269</v>
      </c>
      <c r="C2943" t="s">
        <v>9270</v>
      </c>
      <c r="D2943">
        <v>7</v>
      </c>
      <c r="E2943" t="s">
        <v>7174</v>
      </c>
      <c r="F2943">
        <v>8</v>
      </c>
    </row>
    <row r="2944" spans="2:6" x14ac:dyDescent="0.2">
      <c r="B2944" t="s">
        <v>9271</v>
      </c>
      <c r="C2944" t="s">
        <v>9272</v>
      </c>
      <c r="D2944">
        <v>7</v>
      </c>
      <c r="E2944" t="s">
        <v>3688</v>
      </c>
      <c r="F2944">
        <v>2</v>
      </c>
    </row>
    <row r="2945" spans="2:6" x14ac:dyDescent="0.2">
      <c r="B2945" t="s">
        <v>9273</v>
      </c>
      <c r="C2945" t="s">
        <v>9274</v>
      </c>
      <c r="D2945">
        <v>7</v>
      </c>
      <c r="E2945" t="s">
        <v>3426</v>
      </c>
      <c r="F2945">
        <v>2</v>
      </c>
    </row>
    <row r="2946" spans="2:6" x14ac:dyDescent="0.2">
      <c r="B2946" t="s">
        <v>9275</v>
      </c>
      <c r="C2946" t="s">
        <v>9276</v>
      </c>
      <c r="D2946">
        <v>7</v>
      </c>
      <c r="E2946" t="s">
        <v>9277</v>
      </c>
      <c r="F2946">
        <v>2</v>
      </c>
    </row>
    <row r="2947" spans="2:6" x14ac:dyDescent="0.2">
      <c r="B2947" t="s">
        <v>190</v>
      </c>
      <c r="C2947" t="s">
        <v>9278</v>
      </c>
      <c r="D2947">
        <v>7</v>
      </c>
      <c r="E2947" t="s">
        <v>7805</v>
      </c>
      <c r="F2947">
        <v>4</v>
      </c>
    </row>
    <row r="2948" spans="2:6" x14ac:dyDescent="0.2">
      <c r="B2948" t="s">
        <v>9279</v>
      </c>
      <c r="C2948" t="s">
        <v>9280</v>
      </c>
      <c r="D2948">
        <v>7</v>
      </c>
      <c r="E2948" t="s">
        <v>9281</v>
      </c>
      <c r="F2948">
        <v>6</v>
      </c>
    </row>
    <row r="2949" spans="2:6" x14ac:dyDescent="0.2">
      <c r="B2949" t="s">
        <v>9282</v>
      </c>
      <c r="C2949" t="s">
        <v>9283</v>
      </c>
      <c r="D2949">
        <v>7</v>
      </c>
      <c r="E2949" t="s">
        <v>9284</v>
      </c>
      <c r="F2949">
        <v>4</v>
      </c>
    </row>
    <row r="2950" spans="2:6" x14ac:dyDescent="0.2">
      <c r="B2950" t="s">
        <v>9285</v>
      </c>
      <c r="C2950" t="s">
        <v>9286</v>
      </c>
      <c r="D2950">
        <v>7</v>
      </c>
      <c r="E2950" t="s">
        <v>9287</v>
      </c>
      <c r="F2950">
        <v>1</v>
      </c>
    </row>
    <row r="2951" spans="2:6" x14ac:dyDescent="0.2">
      <c r="B2951" t="s">
        <v>9288</v>
      </c>
      <c r="C2951" t="s">
        <v>9289</v>
      </c>
      <c r="D2951">
        <v>7</v>
      </c>
      <c r="E2951" t="s">
        <v>9290</v>
      </c>
      <c r="F2951">
        <v>2</v>
      </c>
    </row>
    <row r="2952" spans="2:6" x14ac:dyDescent="0.2">
      <c r="B2952" t="s">
        <v>9291</v>
      </c>
      <c r="C2952" t="s">
        <v>9292</v>
      </c>
      <c r="D2952">
        <v>7</v>
      </c>
      <c r="E2952" t="s">
        <v>2952</v>
      </c>
      <c r="F2952">
        <v>3</v>
      </c>
    </row>
    <row r="2953" spans="2:6" x14ac:dyDescent="0.2">
      <c r="B2953" t="s">
        <v>1948</v>
      </c>
      <c r="C2953" t="s">
        <v>9293</v>
      </c>
      <c r="D2953">
        <v>7</v>
      </c>
      <c r="E2953" t="s">
        <v>3688</v>
      </c>
      <c r="F2953">
        <v>1</v>
      </c>
    </row>
    <row r="2954" spans="2:6" x14ac:dyDescent="0.2">
      <c r="B2954" t="s">
        <v>9294</v>
      </c>
      <c r="C2954" t="s">
        <v>9295</v>
      </c>
      <c r="D2954">
        <v>7</v>
      </c>
      <c r="E2954" t="s">
        <v>9296</v>
      </c>
      <c r="F2954">
        <v>1</v>
      </c>
    </row>
    <row r="2955" spans="2:6" x14ac:dyDescent="0.2">
      <c r="B2955" t="s">
        <v>9297</v>
      </c>
      <c r="C2955" t="s">
        <v>9298</v>
      </c>
      <c r="D2955">
        <v>7</v>
      </c>
      <c r="E2955" t="s">
        <v>4342</v>
      </c>
      <c r="F2955">
        <v>8</v>
      </c>
    </row>
    <row r="2956" spans="2:6" x14ac:dyDescent="0.2">
      <c r="B2956" t="s">
        <v>9299</v>
      </c>
      <c r="C2956" t="s">
        <v>9300</v>
      </c>
      <c r="D2956">
        <v>7</v>
      </c>
      <c r="E2956" t="s">
        <v>2811</v>
      </c>
      <c r="F2956">
        <v>1</v>
      </c>
    </row>
    <row r="2957" spans="2:6" x14ac:dyDescent="0.2">
      <c r="B2957" t="s">
        <v>2118</v>
      </c>
      <c r="C2957" t="s">
        <v>9301</v>
      </c>
      <c r="D2957">
        <v>7</v>
      </c>
      <c r="E2957" t="s">
        <v>3746</v>
      </c>
      <c r="F2957">
        <v>11</v>
      </c>
    </row>
    <row r="2958" spans="2:6" x14ac:dyDescent="0.2">
      <c r="B2958" t="s">
        <v>485</v>
      </c>
      <c r="C2958" t="s">
        <v>9302</v>
      </c>
      <c r="D2958">
        <v>7</v>
      </c>
      <c r="E2958" t="s">
        <v>3316</v>
      </c>
      <c r="F2958">
        <v>6</v>
      </c>
    </row>
    <row r="2959" spans="2:6" x14ac:dyDescent="0.2">
      <c r="B2959" t="s">
        <v>9303</v>
      </c>
      <c r="C2959" t="s">
        <v>9304</v>
      </c>
      <c r="D2959">
        <v>7</v>
      </c>
      <c r="E2959" t="s">
        <v>9305</v>
      </c>
      <c r="F2959">
        <v>1</v>
      </c>
    </row>
    <row r="2960" spans="2:6" x14ac:dyDescent="0.2">
      <c r="B2960" t="s">
        <v>9306</v>
      </c>
      <c r="C2960" t="s">
        <v>9307</v>
      </c>
      <c r="D2960">
        <v>7</v>
      </c>
      <c r="E2960" t="s">
        <v>3031</v>
      </c>
      <c r="F2960">
        <v>1</v>
      </c>
    </row>
    <row r="2961" spans="2:6" x14ac:dyDescent="0.2">
      <c r="B2961" t="s">
        <v>9308</v>
      </c>
      <c r="C2961" t="s">
        <v>9309</v>
      </c>
      <c r="D2961">
        <v>7</v>
      </c>
      <c r="E2961" t="s">
        <v>2863</v>
      </c>
      <c r="F2961">
        <v>2</v>
      </c>
    </row>
    <row r="2962" spans="2:6" x14ac:dyDescent="0.2">
      <c r="B2962" t="s">
        <v>9310</v>
      </c>
      <c r="C2962" t="s">
        <v>9311</v>
      </c>
      <c r="D2962">
        <v>7</v>
      </c>
      <c r="E2962" t="s">
        <v>3321</v>
      </c>
      <c r="F2962">
        <v>4</v>
      </c>
    </row>
    <row r="2963" spans="2:6" x14ac:dyDescent="0.2">
      <c r="B2963" t="s">
        <v>9312</v>
      </c>
      <c r="C2963" t="s">
        <v>9313</v>
      </c>
      <c r="D2963">
        <v>7</v>
      </c>
      <c r="E2963" t="s">
        <v>9314</v>
      </c>
      <c r="F2963">
        <v>8</v>
      </c>
    </row>
    <row r="2964" spans="2:6" x14ac:dyDescent="0.2">
      <c r="B2964" t="s">
        <v>9315</v>
      </c>
      <c r="C2964" t="s">
        <v>9316</v>
      </c>
      <c r="D2964">
        <v>7</v>
      </c>
      <c r="E2964" t="s">
        <v>2952</v>
      </c>
      <c r="F2964">
        <v>2</v>
      </c>
    </row>
    <row r="2965" spans="2:6" x14ac:dyDescent="0.2">
      <c r="B2965" t="s">
        <v>479</v>
      </c>
      <c r="C2965" t="s">
        <v>9317</v>
      </c>
      <c r="D2965">
        <v>7</v>
      </c>
      <c r="E2965" t="s">
        <v>2850</v>
      </c>
      <c r="F2965">
        <v>2</v>
      </c>
    </row>
    <row r="2966" spans="2:6" x14ac:dyDescent="0.2">
      <c r="B2966" t="s">
        <v>358</v>
      </c>
      <c r="C2966" t="s">
        <v>9318</v>
      </c>
      <c r="D2966">
        <v>7</v>
      </c>
      <c r="E2966" t="s">
        <v>9319</v>
      </c>
      <c r="F2966">
        <v>1</v>
      </c>
    </row>
    <row r="2967" spans="2:6" x14ac:dyDescent="0.2">
      <c r="B2967" t="s">
        <v>9320</v>
      </c>
      <c r="C2967" t="s">
        <v>9321</v>
      </c>
      <c r="D2967">
        <v>7</v>
      </c>
      <c r="E2967" t="s">
        <v>2930</v>
      </c>
      <c r="F2967">
        <v>2</v>
      </c>
    </row>
    <row r="2968" spans="2:6" x14ac:dyDescent="0.2">
      <c r="B2968" t="s">
        <v>9322</v>
      </c>
      <c r="C2968" t="s">
        <v>356</v>
      </c>
      <c r="D2968">
        <v>7</v>
      </c>
      <c r="E2968" t="s">
        <v>9323</v>
      </c>
      <c r="F2968">
        <v>47</v>
      </c>
    </row>
    <row r="2969" spans="2:6" x14ac:dyDescent="0.2">
      <c r="B2969" t="s">
        <v>9324</v>
      </c>
      <c r="C2969" t="s">
        <v>9325</v>
      </c>
      <c r="D2969">
        <v>7</v>
      </c>
      <c r="E2969" t="s">
        <v>3623</v>
      </c>
      <c r="F2969">
        <v>4</v>
      </c>
    </row>
    <row r="2970" spans="2:6" x14ac:dyDescent="0.2">
      <c r="B2970" t="s">
        <v>9326</v>
      </c>
      <c r="C2970" t="s">
        <v>9327</v>
      </c>
      <c r="D2970">
        <v>7</v>
      </c>
      <c r="E2970" t="s">
        <v>2785</v>
      </c>
      <c r="F2970">
        <v>1</v>
      </c>
    </row>
    <row r="2971" spans="2:6" x14ac:dyDescent="0.2">
      <c r="B2971" t="s">
        <v>9328</v>
      </c>
      <c r="C2971" t="s">
        <v>9329</v>
      </c>
      <c r="D2971">
        <v>7</v>
      </c>
      <c r="E2971" t="s">
        <v>2788</v>
      </c>
      <c r="F2971">
        <v>2</v>
      </c>
    </row>
    <row r="2972" spans="2:6" x14ac:dyDescent="0.2">
      <c r="B2972" t="s">
        <v>9330</v>
      </c>
      <c r="C2972" t="s">
        <v>9331</v>
      </c>
      <c r="D2972">
        <v>7</v>
      </c>
      <c r="E2972" t="s">
        <v>9332</v>
      </c>
      <c r="F2972">
        <v>1</v>
      </c>
    </row>
    <row r="2973" spans="2:6" x14ac:dyDescent="0.2">
      <c r="B2973" t="s">
        <v>9333</v>
      </c>
      <c r="C2973" t="s">
        <v>4179</v>
      </c>
      <c r="D2973">
        <v>7</v>
      </c>
      <c r="E2973" t="s">
        <v>4632</v>
      </c>
      <c r="F2973">
        <v>5</v>
      </c>
    </row>
    <row r="2974" spans="2:6" x14ac:dyDescent="0.2">
      <c r="B2974" t="s">
        <v>9334</v>
      </c>
      <c r="C2974" t="s">
        <v>9335</v>
      </c>
      <c r="D2974">
        <v>7</v>
      </c>
      <c r="E2974" t="s">
        <v>2814</v>
      </c>
      <c r="F2974">
        <v>5</v>
      </c>
    </row>
    <row r="2975" spans="2:6" x14ac:dyDescent="0.2">
      <c r="B2975" t="s">
        <v>9336</v>
      </c>
      <c r="C2975" t="s">
        <v>9337</v>
      </c>
      <c r="D2975">
        <v>7</v>
      </c>
      <c r="E2975" t="s">
        <v>3452</v>
      </c>
      <c r="F2975">
        <v>2</v>
      </c>
    </row>
    <row r="2976" spans="2:6" x14ac:dyDescent="0.2">
      <c r="B2976" t="s">
        <v>9338</v>
      </c>
      <c r="C2976" t="s">
        <v>9339</v>
      </c>
      <c r="D2976">
        <v>7</v>
      </c>
      <c r="E2976" t="s">
        <v>3048</v>
      </c>
      <c r="F2976">
        <v>1</v>
      </c>
    </row>
    <row r="2977" spans="2:6" x14ac:dyDescent="0.2">
      <c r="B2977" t="s">
        <v>9340</v>
      </c>
      <c r="C2977" t="s">
        <v>9341</v>
      </c>
      <c r="D2977">
        <v>7</v>
      </c>
      <c r="E2977" t="s">
        <v>9342</v>
      </c>
      <c r="F2977">
        <v>2</v>
      </c>
    </row>
    <row r="2978" spans="2:6" x14ac:dyDescent="0.2">
      <c r="B2978" t="s">
        <v>9343</v>
      </c>
      <c r="C2978" t="s">
        <v>9344</v>
      </c>
      <c r="D2978">
        <v>7</v>
      </c>
      <c r="E2978" t="s">
        <v>4449</v>
      </c>
      <c r="F2978">
        <v>3</v>
      </c>
    </row>
    <row r="2979" spans="2:6" x14ac:dyDescent="0.2">
      <c r="B2979" t="s">
        <v>9345</v>
      </c>
      <c r="C2979" t="s">
        <v>8396</v>
      </c>
      <c r="D2979">
        <v>7</v>
      </c>
      <c r="E2979" t="s">
        <v>2921</v>
      </c>
      <c r="F2979">
        <v>7</v>
      </c>
    </row>
    <row r="2980" spans="2:6" x14ac:dyDescent="0.2">
      <c r="B2980" t="s">
        <v>9346</v>
      </c>
      <c r="C2980" t="s">
        <v>9347</v>
      </c>
      <c r="D2980">
        <v>7</v>
      </c>
      <c r="E2980" t="s">
        <v>3136</v>
      </c>
      <c r="F2980">
        <v>1</v>
      </c>
    </row>
    <row r="2981" spans="2:6" x14ac:dyDescent="0.2">
      <c r="B2981" t="s">
        <v>9348</v>
      </c>
      <c r="C2981" t="s">
        <v>9349</v>
      </c>
      <c r="D2981">
        <v>7</v>
      </c>
      <c r="E2981" t="s">
        <v>3957</v>
      </c>
      <c r="F2981">
        <v>2</v>
      </c>
    </row>
    <row r="2982" spans="2:6" x14ac:dyDescent="0.2">
      <c r="B2982" t="s">
        <v>9350</v>
      </c>
      <c r="C2982" t="s">
        <v>9351</v>
      </c>
      <c r="D2982">
        <v>7</v>
      </c>
      <c r="E2982" t="s">
        <v>3697</v>
      </c>
      <c r="F2982">
        <v>2</v>
      </c>
    </row>
    <row r="2983" spans="2:6" x14ac:dyDescent="0.2">
      <c r="B2983" t="s">
        <v>9352</v>
      </c>
      <c r="C2983" t="s">
        <v>9353</v>
      </c>
      <c r="D2983">
        <v>7</v>
      </c>
      <c r="E2983" t="s">
        <v>9354</v>
      </c>
      <c r="F2983">
        <v>10</v>
      </c>
    </row>
    <row r="2984" spans="2:6" x14ac:dyDescent="0.2">
      <c r="B2984" t="s">
        <v>9355</v>
      </c>
      <c r="C2984" t="s">
        <v>9356</v>
      </c>
      <c r="D2984">
        <v>7</v>
      </c>
      <c r="E2984" t="s">
        <v>3213</v>
      </c>
      <c r="F2984">
        <v>1</v>
      </c>
    </row>
    <row r="2985" spans="2:6" x14ac:dyDescent="0.2">
      <c r="B2985" t="s">
        <v>9357</v>
      </c>
      <c r="C2985" t="s">
        <v>9358</v>
      </c>
      <c r="D2985">
        <v>7</v>
      </c>
      <c r="E2985" t="s">
        <v>3213</v>
      </c>
      <c r="F2985">
        <v>1</v>
      </c>
    </row>
    <row r="2986" spans="2:6" x14ac:dyDescent="0.2">
      <c r="B2986" t="s">
        <v>2071</v>
      </c>
      <c r="C2986" t="s">
        <v>9359</v>
      </c>
      <c r="D2986">
        <v>7</v>
      </c>
      <c r="E2986" t="s">
        <v>3466</v>
      </c>
      <c r="F2986">
        <v>2</v>
      </c>
    </row>
    <row r="2987" spans="2:6" x14ac:dyDescent="0.2">
      <c r="B2987" t="s">
        <v>9360</v>
      </c>
      <c r="C2987" t="s">
        <v>9361</v>
      </c>
      <c r="D2987">
        <v>7</v>
      </c>
      <c r="E2987" t="s">
        <v>9362</v>
      </c>
      <c r="F2987">
        <v>2</v>
      </c>
    </row>
    <row r="2988" spans="2:6" x14ac:dyDescent="0.2">
      <c r="B2988" t="s">
        <v>9363</v>
      </c>
      <c r="C2988" t="s">
        <v>9364</v>
      </c>
      <c r="D2988">
        <v>7</v>
      </c>
      <c r="E2988" t="s">
        <v>3551</v>
      </c>
      <c r="F2988">
        <v>169</v>
      </c>
    </row>
    <row r="2989" spans="2:6" x14ac:dyDescent="0.2">
      <c r="B2989" t="s">
        <v>9365</v>
      </c>
      <c r="C2989" t="s">
        <v>9366</v>
      </c>
      <c r="D2989">
        <v>7</v>
      </c>
      <c r="E2989" t="s">
        <v>5474</v>
      </c>
      <c r="F2989">
        <v>1</v>
      </c>
    </row>
    <row r="2990" spans="2:6" x14ac:dyDescent="0.2">
      <c r="B2990" t="s">
        <v>9367</v>
      </c>
      <c r="C2990" t="s">
        <v>7189</v>
      </c>
      <c r="D2990">
        <v>7</v>
      </c>
      <c r="E2990" t="s">
        <v>9368</v>
      </c>
      <c r="F2990">
        <v>2</v>
      </c>
    </row>
    <row r="2991" spans="2:6" x14ac:dyDescent="0.2">
      <c r="B2991" t="s">
        <v>9369</v>
      </c>
      <c r="C2991" t="s">
        <v>9370</v>
      </c>
      <c r="D2991">
        <v>7</v>
      </c>
      <c r="E2991" t="s">
        <v>9371</v>
      </c>
      <c r="F2991">
        <v>12</v>
      </c>
    </row>
    <row r="2992" spans="2:6" x14ac:dyDescent="0.2">
      <c r="B2992" t="s">
        <v>9372</v>
      </c>
      <c r="C2992" t="s">
        <v>9373</v>
      </c>
      <c r="D2992">
        <v>7</v>
      </c>
      <c r="E2992" t="s">
        <v>7831</v>
      </c>
      <c r="F2992">
        <v>4</v>
      </c>
    </row>
    <row r="2993" spans="2:6" x14ac:dyDescent="0.2">
      <c r="B2993" t="s">
        <v>9374</v>
      </c>
      <c r="C2993" t="s">
        <v>9375</v>
      </c>
      <c r="D2993">
        <v>7</v>
      </c>
      <c r="E2993" t="s">
        <v>3442</v>
      </c>
      <c r="F2993">
        <v>1</v>
      </c>
    </row>
    <row r="2994" spans="2:6" x14ac:dyDescent="0.2">
      <c r="B2994" t="s">
        <v>657</v>
      </c>
      <c r="C2994" t="s">
        <v>9376</v>
      </c>
      <c r="D2994">
        <v>7</v>
      </c>
      <c r="E2994" t="s">
        <v>9377</v>
      </c>
      <c r="F2994">
        <v>3</v>
      </c>
    </row>
    <row r="2995" spans="2:6" x14ac:dyDescent="0.2">
      <c r="B2995" t="s">
        <v>9378</v>
      </c>
      <c r="C2995" t="s">
        <v>9379</v>
      </c>
      <c r="D2995">
        <v>7</v>
      </c>
      <c r="E2995" t="s">
        <v>9380</v>
      </c>
      <c r="F2995">
        <v>1</v>
      </c>
    </row>
    <row r="2996" spans="2:6" x14ac:dyDescent="0.2">
      <c r="B2996" t="s">
        <v>9381</v>
      </c>
      <c r="C2996" t="s">
        <v>9382</v>
      </c>
      <c r="D2996">
        <v>7</v>
      </c>
      <c r="E2996" t="s">
        <v>3153</v>
      </c>
      <c r="F2996">
        <v>1</v>
      </c>
    </row>
    <row r="2997" spans="2:6" x14ac:dyDescent="0.2">
      <c r="B2997" t="s">
        <v>9383</v>
      </c>
      <c r="C2997" t="s">
        <v>9384</v>
      </c>
      <c r="D2997">
        <v>7</v>
      </c>
      <c r="E2997" t="s">
        <v>3335</v>
      </c>
      <c r="F2997">
        <v>1</v>
      </c>
    </row>
    <row r="2998" spans="2:6" x14ac:dyDescent="0.2">
      <c r="B2998" t="s">
        <v>9385</v>
      </c>
      <c r="C2998" t="s">
        <v>9386</v>
      </c>
      <c r="D2998">
        <v>7</v>
      </c>
      <c r="E2998" t="s">
        <v>2930</v>
      </c>
      <c r="F2998">
        <v>1</v>
      </c>
    </row>
    <row r="2999" spans="2:6" x14ac:dyDescent="0.2">
      <c r="B2999" t="s">
        <v>9387</v>
      </c>
      <c r="C2999" t="s">
        <v>9388</v>
      </c>
      <c r="D2999">
        <v>7</v>
      </c>
      <c r="E2999" t="s">
        <v>3071</v>
      </c>
      <c r="F2999">
        <v>6</v>
      </c>
    </row>
    <row r="3000" spans="2:6" x14ac:dyDescent="0.2">
      <c r="B3000" t="s">
        <v>9389</v>
      </c>
      <c r="C3000" t="s">
        <v>9390</v>
      </c>
      <c r="D3000">
        <v>7</v>
      </c>
      <c r="E3000" t="s">
        <v>5443</v>
      </c>
      <c r="F3000">
        <v>1</v>
      </c>
    </row>
    <row r="3001" spans="2:6" x14ac:dyDescent="0.2">
      <c r="B3001" t="s">
        <v>153</v>
      </c>
      <c r="C3001" t="s">
        <v>9391</v>
      </c>
      <c r="D3001">
        <v>7</v>
      </c>
      <c r="E3001" t="s">
        <v>5631</v>
      </c>
      <c r="F3001">
        <v>1</v>
      </c>
    </row>
    <row r="3002" spans="2:6" x14ac:dyDescent="0.2">
      <c r="B3002" t="s">
        <v>9392</v>
      </c>
      <c r="C3002" t="s">
        <v>9393</v>
      </c>
      <c r="D3002">
        <v>7</v>
      </c>
      <c r="E3002" t="s">
        <v>9394</v>
      </c>
      <c r="F3002">
        <v>3</v>
      </c>
    </row>
    <row r="3003" spans="2:6" x14ac:dyDescent="0.2">
      <c r="B3003" t="s">
        <v>9395</v>
      </c>
      <c r="C3003" t="s">
        <v>9396</v>
      </c>
      <c r="D3003">
        <v>7</v>
      </c>
      <c r="E3003" t="s">
        <v>2958</v>
      </c>
      <c r="F3003">
        <v>1</v>
      </c>
    </row>
    <row r="3004" spans="2:6" x14ac:dyDescent="0.2">
      <c r="B3004" t="s">
        <v>9397</v>
      </c>
      <c r="C3004" t="s">
        <v>9398</v>
      </c>
      <c r="D3004">
        <v>7</v>
      </c>
      <c r="E3004" t="s">
        <v>9399</v>
      </c>
      <c r="F3004">
        <v>1</v>
      </c>
    </row>
    <row r="3005" spans="2:6" x14ac:dyDescent="0.2">
      <c r="B3005" t="s">
        <v>9400</v>
      </c>
      <c r="C3005" t="s">
        <v>9401</v>
      </c>
      <c r="D3005">
        <v>7</v>
      </c>
      <c r="E3005" t="s">
        <v>2811</v>
      </c>
      <c r="F3005">
        <v>1</v>
      </c>
    </row>
    <row r="3006" spans="2:6" x14ac:dyDescent="0.2">
      <c r="B3006" t="s">
        <v>9402</v>
      </c>
      <c r="C3006" t="s">
        <v>9403</v>
      </c>
      <c r="D3006">
        <v>7</v>
      </c>
      <c r="E3006" t="s">
        <v>2811</v>
      </c>
      <c r="F3006">
        <v>3</v>
      </c>
    </row>
    <row r="3007" spans="2:6" x14ac:dyDescent="0.2">
      <c r="B3007" t="s">
        <v>9404</v>
      </c>
      <c r="C3007" t="s">
        <v>9405</v>
      </c>
      <c r="D3007">
        <v>7</v>
      </c>
      <c r="E3007" t="s">
        <v>9406</v>
      </c>
      <c r="F3007">
        <v>6</v>
      </c>
    </row>
    <row r="3008" spans="2:6" x14ac:dyDescent="0.2">
      <c r="B3008" t="s">
        <v>9407</v>
      </c>
      <c r="C3008" t="s">
        <v>9408</v>
      </c>
      <c r="D3008">
        <v>7</v>
      </c>
      <c r="E3008" t="s">
        <v>7704</v>
      </c>
      <c r="F3008">
        <v>3</v>
      </c>
    </row>
    <row r="3009" spans="2:6" x14ac:dyDescent="0.2">
      <c r="B3009" t="s">
        <v>623</v>
      </c>
      <c r="C3009" t="s">
        <v>9409</v>
      </c>
      <c r="D3009">
        <v>7</v>
      </c>
      <c r="E3009" t="s">
        <v>3098</v>
      </c>
      <c r="F3009">
        <v>1</v>
      </c>
    </row>
    <row r="3010" spans="2:6" x14ac:dyDescent="0.2">
      <c r="B3010" t="s">
        <v>9410</v>
      </c>
      <c r="C3010" t="s">
        <v>9411</v>
      </c>
      <c r="D3010">
        <v>7</v>
      </c>
      <c r="E3010" t="s">
        <v>5474</v>
      </c>
      <c r="F3010">
        <v>1</v>
      </c>
    </row>
    <row r="3011" spans="2:6" x14ac:dyDescent="0.2">
      <c r="B3011" t="s">
        <v>9412</v>
      </c>
      <c r="C3011" t="s">
        <v>9413</v>
      </c>
      <c r="D3011">
        <v>7</v>
      </c>
      <c r="E3011" t="s">
        <v>4280</v>
      </c>
      <c r="F3011">
        <v>4</v>
      </c>
    </row>
    <row r="3012" spans="2:6" x14ac:dyDescent="0.2">
      <c r="B3012" t="s">
        <v>9414</v>
      </c>
      <c r="C3012" t="s">
        <v>9415</v>
      </c>
      <c r="D3012">
        <v>7</v>
      </c>
      <c r="E3012" t="s">
        <v>3559</v>
      </c>
      <c r="F3012">
        <v>3</v>
      </c>
    </row>
    <row r="3013" spans="2:6" x14ac:dyDescent="0.2">
      <c r="B3013" t="s">
        <v>9416</v>
      </c>
      <c r="C3013" t="s">
        <v>9417</v>
      </c>
      <c r="D3013">
        <v>7</v>
      </c>
      <c r="E3013" t="s">
        <v>2814</v>
      </c>
      <c r="F3013">
        <v>2</v>
      </c>
    </row>
    <row r="3014" spans="2:6" x14ac:dyDescent="0.2">
      <c r="B3014" t="s">
        <v>1101</v>
      </c>
      <c r="C3014" t="s">
        <v>9418</v>
      </c>
      <c r="D3014">
        <v>7</v>
      </c>
      <c r="E3014" t="s">
        <v>4260</v>
      </c>
      <c r="F3014">
        <v>8</v>
      </c>
    </row>
    <row r="3015" spans="2:6" x14ac:dyDescent="0.2">
      <c r="B3015" t="s">
        <v>9419</v>
      </c>
      <c r="C3015" t="s">
        <v>9420</v>
      </c>
      <c r="D3015">
        <v>7</v>
      </c>
      <c r="E3015" t="s">
        <v>3031</v>
      </c>
      <c r="F3015">
        <v>7</v>
      </c>
    </row>
    <row r="3016" spans="2:6" x14ac:dyDescent="0.2">
      <c r="B3016" t="s">
        <v>9421</v>
      </c>
      <c r="C3016" t="s">
        <v>9422</v>
      </c>
      <c r="D3016">
        <v>7</v>
      </c>
      <c r="E3016" t="s">
        <v>3133</v>
      </c>
      <c r="F3016">
        <v>3</v>
      </c>
    </row>
    <row r="3017" spans="2:6" x14ac:dyDescent="0.2">
      <c r="B3017" t="s">
        <v>9423</v>
      </c>
      <c r="C3017" t="s">
        <v>9424</v>
      </c>
      <c r="D3017">
        <v>7</v>
      </c>
      <c r="E3017" t="s">
        <v>3230</v>
      </c>
      <c r="F3017">
        <v>2</v>
      </c>
    </row>
    <row r="3018" spans="2:6" x14ac:dyDescent="0.2">
      <c r="B3018" t="s">
        <v>9425</v>
      </c>
      <c r="C3018" t="s">
        <v>9426</v>
      </c>
      <c r="D3018">
        <v>7</v>
      </c>
      <c r="E3018" t="s">
        <v>4052</v>
      </c>
      <c r="F3018">
        <v>2</v>
      </c>
    </row>
    <row r="3019" spans="2:6" x14ac:dyDescent="0.2">
      <c r="B3019" t="s">
        <v>9427</v>
      </c>
      <c r="C3019" t="s">
        <v>9428</v>
      </c>
      <c r="D3019">
        <v>7</v>
      </c>
      <c r="E3019" t="s">
        <v>9429</v>
      </c>
      <c r="F3019">
        <v>1</v>
      </c>
    </row>
    <row r="3020" spans="2:6" x14ac:dyDescent="0.2">
      <c r="B3020" t="s">
        <v>9430</v>
      </c>
      <c r="C3020" t="s">
        <v>9431</v>
      </c>
      <c r="D3020">
        <v>7</v>
      </c>
      <c r="E3020" t="s">
        <v>3153</v>
      </c>
      <c r="F3020">
        <v>1</v>
      </c>
    </row>
    <row r="3021" spans="2:6" x14ac:dyDescent="0.2">
      <c r="B3021" t="s">
        <v>9432</v>
      </c>
      <c r="C3021" t="s">
        <v>9433</v>
      </c>
      <c r="D3021">
        <v>7</v>
      </c>
      <c r="E3021" t="s">
        <v>9204</v>
      </c>
      <c r="F3021">
        <v>16</v>
      </c>
    </row>
    <row r="3022" spans="2:6" x14ac:dyDescent="0.2">
      <c r="B3022" t="s">
        <v>9434</v>
      </c>
      <c r="C3022" t="s">
        <v>9435</v>
      </c>
      <c r="D3022">
        <v>7</v>
      </c>
      <c r="E3022" t="s">
        <v>4299</v>
      </c>
      <c r="F3022">
        <v>3</v>
      </c>
    </row>
    <row r="3023" spans="2:6" x14ac:dyDescent="0.2">
      <c r="B3023" t="s">
        <v>9436</v>
      </c>
      <c r="C3023" t="s">
        <v>9437</v>
      </c>
      <c r="D3023">
        <v>7</v>
      </c>
      <c r="E3023" t="s">
        <v>3031</v>
      </c>
      <c r="F3023">
        <v>4</v>
      </c>
    </row>
    <row r="3024" spans="2:6" x14ac:dyDescent="0.2">
      <c r="B3024" t="s">
        <v>9438</v>
      </c>
      <c r="C3024" t="s">
        <v>9439</v>
      </c>
      <c r="D3024">
        <v>7</v>
      </c>
      <c r="E3024" t="s">
        <v>6265</v>
      </c>
      <c r="F3024">
        <v>1</v>
      </c>
    </row>
    <row r="3025" spans="2:6" x14ac:dyDescent="0.2">
      <c r="B3025" t="s">
        <v>9440</v>
      </c>
      <c r="C3025" t="s">
        <v>9441</v>
      </c>
      <c r="D3025">
        <v>7</v>
      </c>
      <c r="E3025" t="s">
        <v>9442</v>
      </c>
      <c r="F3025">
        <v>1</v>
      </c>
    </row>
    <row r="3026" spans="2:6" x14ac:dyDescent="0.2">
      <c r="B3026" t="s">
        <v>9443</v>
      </c>
      <c r="C3026" t="s">
        <v>9444</v>
      </c>
      <c r="D3026">
        <v>7</v>
      </c>
      <c r="E3026" t="s">
        <v>9445</v>
      </c>
      <c r="F3026">
        <v>1</v>
      </c>
    </row>
    <row r="3027" spans="2:6" x14ac:dyDescent="0.2">
      <c r="B3027" t="s">
        <v>9446</v>
      </c>
      <c r="C3027" t="s">
        <v>9447</v>
      </c>
      <c r="D3027">
        <v>7</v>
      </c>
      <c r="E3027" t="s">
        <v>5443</v>
      </c>
      <c r="F3027">
        <v>2</v>
      </c>
    </row>
    <row r="3028" spans="2:6" x14ac:dyDescent="0.2">
      <c r="B3028" t="s">
        <v>9448</v>
      </c>
      <c r="C3028" t="s">
        <v>9449</v>
      </c>
      <c r="D3028">
        <v>7</v>
      </c>
      <c r="E3028" t="s">
        <v>9450</v>
      </c>
      <c r="F3028">
        <v>1</v>
      </c>
    </row>
    <row r="3029" spans="2:6" x14ac:dyDescent="0.2">
      <c r="B3029" t="s">
        <v>9451</v>
      </c>
      <c r="C3029" t="s">
        <v>9452</v>
      </c>
      <c r="D3029">
        <v>7</v>
      </c>
      <c r="E3029" t="s">
        <v>9453</v>
      </c>
      <c r="F3029">
        <v>1</v>
      </c>
    </row>
    <row r="3030" spans="2:6" x14ac:dyDescent="0.2">
      <c r="B3030" t="s">
        <v>9454</v>
      </c>
      <c r="C3030" t="s">
        <v>9455</v>
      </c>
      <c r="D3030">
        <v>7</v>
      </c>
      <c r="E3030" t="s">
        <v>3495</v>
      </c>
      <c r="F3030">
        <v>3</v>
      </c>
    </row>
    <row r="3031" spans="2:6" x14ac:dyDescent="0.2">
      <c r="B3031" t="s">
        <v>9456</v>
      </c>
      <c r="C3031" t="s">
        <v>9457</v>
      </c>
      <c r="D3031">
        <v>7</v>
      </c>
      <c r="E3031" t="s">
        <v>4580</v>
      </c>
      <c r="F3031">
        <v>3</v>
      </c>
    </row>
    <row r="3032" spans="2:6" x14ac:dyDescent="0.2">
      <c r="B3032" t="s">
        <v>9458</v>
      </c>
      <c r="C3032" t="s">
        <v>9459</v>
      </c>
      <c r="D3032">
        <v>7</v>
      </c>
      <c r="E3032" t="s">
        <v>9460</v>
      </c>
      <c r="F3032">
        <v>18</v>
      </c>
    </row>
    <row r="3033" spans="2:6" x14ac:dyDescent="0.2">
      <c r="B3033" t="s">
        <v>9461</v>
      </c>
      <c r="C3033" t="s">
        <v>9462</v>
      </c>
      <c r="D3033">
        <v>7</v>
      </c>
      <c r="E3033" t="s">
        <v>2811</v>
      </c>
      <c r="F3033">
        <v>1</v>
      </c>
    </row>
    <row r="3034" spans="2:6" x14ac:dyDescent="0.2">
      <c r="B3034" t="s">
        <v>649</v>
      </c>
      <c r="C3034" t="s">
        <v>9463</v>
      </c>
      <c r="D3034">
        <v>7</v>
      </c>
      <c r="E3034" t="s">
        <v>2842</v>
      </c>
      <c r="F3034">
        <v>12</v>
      </c>
    </row>
    <row r="3035" spans="2:6" x14ac:dyDescent="0.2">
      <c r="B3035" t="s">
        <v>9464</v>
      </c>
      <c r="C3035" t="s">
        <v>9465</v>
      </c>
      <c r="D3035">
        <v>7</v>
      </c>
      <c r="E3035" t="s">
        <v>5128</v>
      </c>
      <c r="F3035">
        <v>2</v>
      </c>
    </row>
    <row r="3036" spans="2:6" x14ac:dyDescent="0.2">
      <c r="B3036" t="s">
        <v>9466</v>
      </c>
      <c r="C3036" t="s">
        <v>9467</v>
      </c>
      <c r="D3036">
        <v>7</v>
      </c>
      <c r="E3036" t="s">
        <v>9468</v>
      </c>
      <c r="F3036">
        <v>2</v>
      </c>
    </row>
    <row r="3037" spans="2:6" x14ac:dyDescent="0.2">
      <c r="B3037" t="s">
        <v>1876</v>
      </c>
      <c r="C3037" t="s">
        <v>9469</v>
      </c>
      <c r="D3037">
        <v>7</v>
      </c>
      <c r="E3037" t="s">
        <v>3227</v>
      </c>
      <c r="F3037">
        <v>2</v>
      </c>
    </row>
    <row r="3038" spans="2:6" x14ac:dyDescent="0.2">
      <c r="B3038" t="s">
        <v>9470</v>
      </c>
      <c r="C3038" t="s">
        <v>9471</v>
      </c>
      <c r="D3038">
        <v>7</v>
      </c>
      <c r="E3038" t="s">
        <v>3375</v>
      </c>
      <c r="F3038">
        <v>26</v>
      </c>
    </row>
    <row r="3039" spans="2:6" x14ac:dyDescent="0.2">
      <c r="B3039" t="s">
        <v>9472</v>
      </c>
      <c r="C3039" t="s">
        <v>9473</v>
      </c>
      <c r="D3039">
        <v>7</v>
      </c>
      <c r="E3039" t="s">
        <v>9474</v>
      </c>
      <c r="F3039">
        <v>2</v>
      </c>
    </row>
    <row r="3040" spans="2:6" x14ac:dyDescent="0.2">
      <c r="B3040" t="s">
        <v>9475</v>
      </c>
      <c r="C3040" t="s">
        <v>9476</v>
      </c>
      <c r="D3040">
        <v>7</v>
      </c>
      <c r="E3040" t="s">
        <v>3153</v>
      </c>
      <c r="F3040">
        <v>1</v>
      </c>
    </row>
    <row r="3041" spans="2:6" x14ac:dyDescent="0.2">
      <c r="B3041" t="s">
        <v>9477</v>
      </c>
      <c r="C3041" t="s">
        <v>9478</v>
      </c>
      <c r="D3041">
        <v>7</v>
      </c>
      <c r="E3041" t="s">
        <v>3933</v>
      </c>
      <c r="F3041">
        <v>11</v>
      </c>
    </row>
    <row r="3042" spans="2:6" x14ac:dyDescent="0.2">
      <c r="B3042" t="s">
        <v>9479</v>
      </c>
      <c r="C3042" t="s">
        <v>9480</v>
      </c>
      <c r="D3042">
        <v>7</v>
      </c>
      <c r="E3042" t="s">
        <v>5742</v>
      </c>
      <c r="F3042">
        <v>91</v>
      </c>
    </row>
    <row r="3043" spans="2:6" x14ac:dyDescent="0.2">
      <c r="B3043" t="s">
        <v>1043</v>
      </c>
      <c r="C3043" t="s">
        <v>9481</v>
      </c>
      <c r="D3043">
        <v>7</v>
      </c>
      <c r="E3043" t="s">
        <v>3136</v>
      </c>
      <c r="F3043">
        <v>1</v>
      </c>
    </row>
    <row r="3044" spans="2:6" x14ac:dyDescent="0.2">
      <c r="B3044" t="s">
        <v>9482</v>
      </c>
      <c r="C3044" t="s">
        <v>9483</v>
      </c>
      <c r="D3044">
        <v>7</v>
      </c>
      <c r="E3044" t="s">
        <v>5121</v>
      </c>
      <c r="F3044">
        <v>2</v>
      </c>
    </row>
    <row r="3045" spans="2:6" x14ac:dyDescent="0.2">
      <c r="B3045" t="s">
        <v>9484</v>
      </c>
      <c r="C3045" t="s">
        <v>9485</v>
      </c>
      <c r="D3045">
        <v>7</v>
      </c>
      <c r="E3045" t="s">
        <v>3106</v>
      </c>
      <c r="F3045">
        <v>1</v>
      </c>
    </row>
    <row r="3046" spans="2:6" x14ac:dyDescent="0.2">
      <c r="B3046" t="s">
        <v>9486</v>
      </c>
      <c r="C3046" t="s">
        <v>9487</v>
      </c>
      <c r="D3046">
        <v>7</v>
      </c>
      <c r="E3046" t="s">
        <v>3213</v>
      </c>
      <c r="F3046">
        <v>1</v>
      </c>
    </row>
    <row r="3047" spans="2:6" x14ac:dyDescent="0.2">
      <c r="B3047" t="s">
        <v>9488</v>
      </c>
      <c r="C3047" t="s">
        <v>9489</v>
      </c>
      <c r="D3047">
        <v>7</v>
      </c>
      <c r="E3047" t="s">
        <v>9490</v>
      </c>
      <c r="F3047">
        <v>12</v>
      </c>
    </row>
    <row r="3048" spans="2:6" x14ac:dyDescent="0.2">
      <c r="B3048" t="s">
        <v>9491</v>
      </c>
      <c r="C3048" t="s">
        <v>9492</v>
      </c>
      <c r="D3048">
        <v>7</v>
      </c>
      <c r="E3048" t="s">
        <v>9493</v>
      </c>
      <c r="F3048">
        <v>3</v>
      </c>
    </row>
    <row r="3049" spans="2:6" x14ac:dyDescent="0.2">
      <c r="B3049" t="s">
        <v>9494</v>
      </c>
      <c r="C3049" t="s">
        <v>9495</v>
      </c>
      <c r="D3049">
        <v>7</v>
      </c>
      <c r="E3049" t="s">
        <v>9496</v>
      </c>
      <c r="F3049">
        <v>2</v>
      </c>
    </row>
    <row r="3050" spans="2:6" x14ac:dyDescent="0.2">
      <c r="B3050" t="s">
        <v>9497</v>
      </c>
      <c r="C3050" t="s">
        <v>9498</v>
      </c>
      <c r="D3050">
        <v>7</v>
      </c>
      <c r="E3050" t="s">
        <v>9499</v>
      </c>
      <c r="F3050">
        <v>3</v>
      </c>
    </row>
    <row r="3051" spans="2:6" x14ac:dyDescent="0.2">
      <c r="B3051" t="s">
        <v>9500</v>
      </c>
      <c r="C3051" t="s">
        <v>9501</v>
      </c>
      <c r="D3051">
        <v>7</v>
      </c>
      <c r="E3051" t="s">
        <v>3674</v>
      </c>
      <c r="F3051">
        <v>2</v>
      </c>
    </row>
    <row r="3052" spans="2:6" x14ac:dyDescent="0.2">
      <c r="B3052" t="s">
        <v>9502</v>
      </c>
      <c r="C3052" t="s">
        <v>9503</v>
      </c>
      <c r="D3052">
        <v>7</v>
      </c>
      <c r="E3052" t="s">
        <v>9504</v>
      </c>
      <c r="F3052">
        <v>5</v>
      </c>
    </row>
    <row r="3053" spans="2:6" x14ac:dyDescent="0.2">
      <c r="B3053" t="s">
        <v>9505</v>
      </c>
      <c r="C3053" t="s">
        <v>9506</v>
      </c>
      <c r="D3053">
        <v>7</v>
      </c>
      <c r="E3053" t="s">
        <v>3455</v>
      </c>
      <c r="F3053">
        <v>1</v>
      </c>
    </row>
    <row r="3054" spans="2:6" x14ac:dyDescent="0.2">
      <c r="B3054" t="s">
        <v>9507</v>
      </c>
      <c r="C3054" t="s">
        <v>9508</v>
      </c>
      <c r="D3054">
        <v>7</v>
      </c>
      <c r="E3054" t="s">
        <v>3106</v>
      </c>
      <c r="F3054">
        <v>1</v>
      </c>
    </row>
    <row r="3055" spans="2:6" x14ac:dyDescent="0.2">
      <c r="B3055" t="s">
        <v>9509</v>
      </c>
      <c r="C3055" t="s">
        <v>9510</v>
      </c>
      <c r="D3055">
        <v>7</v>
      </c>
      <c r="E3055" t="s">
        <v>9511</v>
      </c>
      <c r="F3055">
        <v>6</v>
      </c>
    </row>
    <row r="3056" spans="2:6" x14ac:dyDescent="0.2">
      <c r="B3056" t="s">
        <v>1326</v>
      </c>
      <c r="C3056" t="s">
        <v>9512</v>
      </c>
      <c r="D3056">
        <v>7</v>
      </c>
      <c r="E3056" t="s">
        <v>7831</v>
      </c>
      <c r="F3056">
        <v>14</v>
      </c>
    </row>
    <row r="3057" spans="2:6" x14ac:dyDescent="0.2">
      <c r="B3057" t="s">
        <v>1301</v>
      </c>
      <c r="C3057" t="s">
        <v>9513</v>
      </c>
      <c r="D3057">
        <v>7</v>
      </c>
      <c r="E3057" t="s">
        <v>7528</v>
      </c>
      <c r="F3057">
        <v>22</v>
      </c>
    </row>
    <row r="3058" spans="2:6" x14ac:dyDescent="0.2">
      <c r="B3058" t="s">
        <v>9514</v>
      </c>
      <c r="C3058" t="s">
        <v>9515</v>
      </c>
      <c r="D3058">
        <v>7</v>
      </c>
      <c r="E3058" t="s">
        <v>3031</v>
      </c>
      <c r="F3058">
        <v>2</v>
      </c>
    </row>
    <row r="3059" spans="2:6" x14ac:dyDescent="0.2">
      <c r="B3059" t="s">
        <v>467</v>
      </c>
      <c r="C3059" t="s">
        <v>9516</v>
      </c>
      <c r="D3059">
        <v>7</v>
      </c>
      <c r="E3059" t="s">
        <v>9517</v>
      </c>
      <c r="F3059">
        <v>3</v>
      </c>
    </row>
    <row r="3060" spans="2:6" x14ac:dyDescent="0.2">
      <c r="B3060" t="s">
        <v>9518</v>
      </c>
      <c r="C3060" t="s">
        <v>9519</v>
      </c>
      <c r="D3060">
        <v>7</v>
      </c>
      <c r="E3060" t="s">
        <v>6050</v>
      </c>
      <c r="F3060">
        <v>6</v>
      </c>
    </row>
    <row r="3061" spans="2:6" x14ac:dyDescent="0.2">
      <c r="B3061" t="s">
        <v>158</v>
      </c>
      <c r="C3061" t="s">
        <v>9520</v>
      </c>
      <c r="D3061">
        <v>7</v>
      </c>
      <c r="E3061" t="s">
        <v>4956</v>
      </c>
      <c r="F3061">
        <v>5</v>
      </c>
    </row>
    <row r="3062" spans="2:6" x14ac:dyDescent="0.2">
      <c r="B3062" t="s">
        <v>9521</v>
      </c>
      <c r="C3062" t="s">
        <v>9522</v>
      </c>
      <c r="D3062">
        <v>7</v>
      </c>
      <c r="E3062" t="s">
        <v>3621</v>
      </c>
      <c r="F3062">
        <v>3</v>
      </c>
    </row>
    <row r="3063" spans="2:6" x14ac:dyDescent="0.2">
      <c r="B3063" t="s">
        <v>457</v>
      </c>
      <c r="C3063" t="s">
        <v>9523</v>
      </c>
      <c r="D3063">
        <v>7</v>
      </c>
      <c r="E3063" t="s">
        <v>9524</v>
      </c>
      <c r="F3063">
        <v>2</v>
      </c>
    </row>
    <row r="3064" spans="2:6" x14ac:dyDescent="0.2">
      <c r="B3064" t="s">
        <v>1366</v>
      </c>
      <c r="C3064" t="s">
        <v>9525</v>
      </c>
      <c r="D3064">
        <v>7</v>
      </c>
      <c r="E3064" t="s">
        <v>7616</v>
      </c>
      <c r="F3064">
        <v>1</v>
      </c>
    </row>
    <row r="3065" spans="2:6" x14ac:dyDescent="0.2">
      <c r="B3065" t="s">
        <v>9526</v>
      </c>
      <c r="C3065" t="s">
        <v>9527</v>
      </c>
      <c r="D3065">
        <v>7</v>
      </c>
      <c r="E3065" t="s">
        <v>9528</v>
      </c>
      <c r="F3065">
        <v>6</v>
      </c>
    </row>
    <row r="3066" spans="2:6" x14ac:dyDescent="0.2">
      <c r="B3066" t="s">
        <v>9529</v>
      </c>
      <c r="C3066" t="s">
        <v>2690</v>
      </c>
      <c r="D3066">
        <v>7</v>
      </c>
      <c r="E3066" t="s">
        <v>5364</v>
      </c>
      <c r="F3066">
        <v>1</v>
      </c>
    </row>
    <row r="3067" spans="2:6" x14ac:dyDescent="0.2">
      <c r="B3067" t="s">
        <v>9530</v>
      </c>
      <c r="C3067" t="s">
        <v>9531</v>
      </c>
      <c r="D3067">
        <v>7</v>
      </c>
      <c r="E3067" t="s">
        <v>3213</v>
      </c>
      <c r="F3067">
        <v>5</v>
      </c>
    </row>
    <row r="3068" spans="2:6" x14ac:dyDescent="0.2">
      <c r="B3068" t="s">
        <v>1447</v>
      </c>
      <c r="C3068" t="s">
        <v>9532</v>
      </c>
      <c r="D3068">
        <v>7</v>
      </c>
      <c r="E3068" t="s">
        <v>2830</v>
      </c>
      <c r="F3068">
        <v>7</v>
      </c>
    </row>
    <row r="3069" spans="2:6" x14ac:dyDescent="0.2">
      <c r="B3069" t="s">
        <v>9533</v>
      </c>
      <c r="C3069" t="s">
        <v>9534</v>
      </c>
      <c r="D3069">
        <v>7</v>
      </c>
      <c r="E3069" t="s">
        <v>3960</v>
      </c>
      <c r="F3069">
        <v>1</v>
      </c>
    </row>
    <row r="3070" spans="2:6" x14ac:dyDescent="0.2">
      <c r="B3070" t="s">
        <v>9535</v>
      </c>
      <c r="C3070" t="s">
        <v>9536</v>
      </c>
      <c r="D3070">
        <v>7</v>
      </c>
      <c r="E3070" t="s">
        <v>4972</v>
      </c>
      <c r="F3070">
        <v>1</v>
      </c>
    </row>
    <row r="3071" spans="2:6" x14ac:dyDescent="0.2">
      <c r="B3071" t="s">
        <v>9537</v>
      </c>
      <c r="C3071" t="s">
        <v>9538</v>
      </c>
      <c r="D3071">
        <v>7</v>
      </c>
      <c r="E3071" t="s">
        <v>9539</v>
      </c>
      <c r="F3071">
        <v>1</v>
      </c>
    </row>
    <row r="3072" spans="2:6" x14ac:dyDescent="0.2">
      <c r="B3072" t="s">
        <v>310</v>
      </c>
      <c r="C3072" t="s">
        <v>9540</v>
      </c>
      <c r="D3072">
        <v>7</v>
      </c>
      <c r="E3072" t="s">
        <v>7054</v>
      </c>
      <c r="F3072">
        <v>1</v>
      </c>
    </row>
    <row r="3073" spans="2:6" x14ac:dyDescent="0.2">
      <c r="B3073" t="s">
        <v>9541</v>
      </c>
      <c r="C3073" t="s">
        <v>9542</v>
      </c>
      <c r="D3073">
        <v>7</v>
      </c>
      <c r="E3073" t="s">
        <v>3535</v>
      </c>
      <c r="F3073">
        <v>4</v>
      </c>
    </row>
    <row r="3074" spans="2:6" x14ac:dyDescent="0.2">
      <c r="B3074" t="s">
        <v>9543</v>
      </c>
      <c r="C3074" t="s">
        <v>9544</v>
      </c>
      <c r="D3074">
        <v>7</v>
      </c>
      <c r="E3074" t="s">
        <v>9545</v>
      </c>
      <c r="F3074">
        <v>3</v>
      </c>
    </row>
    <row r="3075" spans="2:6" x14ac:dyDescent="0.2">
      <c r="B3075" t="s">
        <v>9546</v>
      </c>
      <c r="C3075" t="s">
        <v>9547</v>
      </c>
      <c r="D3075">
        <v>7</v>
      </c>
      <c r="E3075" t="s">
        <v>9548</v>
      </c>
      <c r="F3075">
        <v>1</v>
      </c>
    </row>
    <row r="3076" spans="2:6" x14ac:dyDescent="0.2">
      <c r="B3076" t="s">
        <v>9549</v>
      </c>
      <c r="C3076" t="s">
        <v>9550</v>
      </c>
      <c r="D3076">
        <v>7</v>
      </c>
      <c r="E3076" t="s">
        <v>6566</v>
      </c>
      <c r="F3076">
        <v>2</v>
      </c>
    </row>
    <row r="3077" spans="2:6" x14ac:dyDescent="0.2">
      <c r="B3077" t="s">
        <v>9551</v>
      </c>
      <c r="C3077" t="s">
        <v>9552</v>
      </c>
      <c r="D3077">
        <v>7</v>
      </c>
      <c r="E3077" t="s">
        <v>3213</v>
      </c>
      <c r="F3077">
        <v>1</v>
      </c>
    </row>
    <row r="3078" spans="2:6" x14ac:dyDescent="0.2">
      <c r="B3078" t="s">
        <v>9553</v>
      </c>
      <c r="C3078" t="s">
        <v>9554</v>
      </c>
      <c r="D3078">
        <v>7</v>
      </c>
      <c r="E3078" t="s">
        <v>5932</v>
      </c>
      <c r="F3078">
        <v>3</v>
      </c>
    </row>
    <row r="3079" spans="2:6" x14ac:dyDescent="0.2">
      <c r="B3079" t="s">
        <v>9555</v>
      </c>
      <c r="C3079" t="s">
        <v>9556</v>
      </c>
      <c r="D3079">
        <v>7</v>
      </c>
      <c r="E3079" t="s">
        <v>5443</v>
      </c>
      <c r="F3079">
        <v>1</v>
      </c>
    </row>
    <row r="3080" spans="2:6" x14ac:dyDescent="0.2">
      <c r="B3080" t="s">
        <v>9557</v>
      </c>
      <c r="C3080" t="s">
        <v>9558</v>
      </c>
      <c r="D3080">
        <v>7</v>
      </c>
      <c r="E3080" t="s">
        <v>4645</v>
      </c>
      <c r="F3080">
        <v>2</v>
      </c>
    </row>
    <row r="3081" spans="2:6" x14ac:dyDescent="0.2">
      <c r="B3081" t="s">
        <v>1616</v>
      </c>
      <c r="C3081" t="s">
        <v>9559</v>
      </c>
      <c r="D3081">
        <v>7</v>
      </c>
      <c r="E3081" t="s">
        <v>2850</v>
      </c>
      <c r="F3081">
        <v>1</v>
      </c>
    </row>
    <row r="3082" spans="2:6" x14ac:dyDescent="0.2">
      <c r="B3082" t="s">
        <v>9560</v>
      </c>
      <c r="C3082" t="s">
        <v>9561</v>
      </c>
      <c r="D3082">
        <v>7</v>
      </c>
      <c r="E3082" t="s">
        <v>3031</v>
      </c>
      <c r="F3082">
        <v>1</v>
      </c>
    </row>
    <row r="3083" spans="2:6" x14ac:dyDescent="0.2">
      <c r="B3083" t="s">
        <v>9562</v>
      </c>
      <c r="C3083" t="s">
        <v>9563</v>
      </c>
      <c r="D3083">
        <v>7</v>
      </c>
      <c r="E3083" t="s">
        <v>2869</v>
      </c>
      <c r="F3083">
        <v>34</v>
      </c>
    </row>
    <row r="3084" spans="2:6" x14ac:dyDescent="0.2">
      <c r="B3084" t="s">
        <v>9564</v>
      </c>
      <c r="C3084" t="s">
        <v>9565</v>
      </c>
      <c r="D3084">
        <v>7</v>
      </c>
      <c r="E3084" t="s">
        <v>2941</v>
      </c>
      <c r="F3084">
        <v>4</v>
      </c>
    </row>
    <row r="3085" spans="2:6" x14ac:dyDescent="0.2">
      <c r="B3085" t="s">
        <v>333</v>
      </c>
      <c r="C3085" t="s">
        <v>9566</v>
      </c>
      <c r="D3085">
        <v>7</v>
      </c>
      <c r="E3085" t="s">
        <v>9567</v>
      </c>
      <c r="F3085">
        <v>2</v>
      </c>
    </row>
    <row r="3086" spans="2:6" x14ac:dyDescent="0.2">
      <c r="B3086" t="s">
        <v>9568</v>
      </c>
      <c r="C3086" t="s">
        <v>9569</v>
      </c>
      <c r="D3086">
        <v>7</v>
      </c>
      <c r="E3086" t="s">
        <v>2958</v>
      </c>
      <c r="F3086">
        <v>4</v>
      </c>
    </row>
    <row r="3087" spans="2:6" x14ac:dyDescent="0.2">
      <c r="B3087" t="s">
        <v>836</v>
      </c>
      <c r="C3087" t="s">
        <v>9570</v>
      </c>
      <c r="D3087">
        <v>7</v>
      </c>
      <c r="E3087" t="s">
        <v>3495</v>
      </c>
      <c r="F3087">
        <v>3</v>
      </c>
    </row>
    <row r="3088" spans="2:6" x14ac:dyDescent="0.2">
      <c r="B3088" t="s">
        <v>9571</v>
      </c>
      <c r="C3088" t="s">
        <v>9572</v>
      </c>
      <c r="D3088">
        <v>7</v>
      </c>
      <c r="E3088" t="s">
        <v>9573</v>
      </c>
      <c r="F3088">
        <v>1</v>
      </c>
    </row>
    <row r="3089" spans="2:6" x14ac:dyDescent="0.2">
      <c r="B3089" t="s">
        <v>9574</v>
      </c>
      <c r="C3089" t="s">
        <v>9575</v>
      </c>
      <c r="D3089">
        <v>7</v>
      </c>
      <c r="E3089" t="s">
        <v>4525</v>
      </c>
      <c r="F3089">
        <v>1</v>
      </c>
    </row>
    <row r="3090" spans="2:6" x14ac:dyDescent="0.2">
      <c r="B3090" t="s">
        <v>9576</v>
      </c>
      <c r="C3090" t="s">
        <v>9577</v>
      </c>
      <c r="D3090">
        <v>7</v>
      </c>
      <c r="E3090" t="s">
        <v>6073</v>
      </c>
      <c r="F3090">
        <v>3</v>
      </c>
    </row>
    <row r="3091" spans="2:6" x14ac:dyDescent="0.2">
      <c r="B3091" t="s">
        <v>9578</v>
      </c>
      <c r="C3091" t="s">
        <v>9579</v>
      </c>
      <c r="D3091">
        <v>7</v>
      </c>
      <c r="E3091" t="s">
        <v>2785</v>
      </c>
      <c r="F3091">
        <v>1</v>
      </c>
    </row>
    <row r="3092" spans="2:6" x14ac:dyDescent="0.2">
      <c r="B3092" t="s">
        <v>953</v>
      </c>
      <c r="C3092" t="s">
        <v>9580</v>
      </c>
      <c r="D3092">
        <v>7</v>
      </c>
      <c r="E3092" t="s">
        <v>3591</v>
      </c>
      <c r="F3092">
        <v>18</v>
      </c>
    </row>
    <row r="3093" spans="2:6" x14ac:dyDescent="0.2">
      <c r="B3093" t="s">
        <v>9581</v>
      </c>
      <c r="C3093" t="s">
        <v>9582</v>
      </c>
      <c r="D3093">
        <v>7</v>
      </c>
      <c r="E3093" t="s">
        <v>3702</v>
      </c>
      <c r="F3093">
        <v>1</v>
      </c>
    </row>
    <row r="3094" spans="2:6" x14ac:dyDescent="0.2">
      <c r="B3094" t="s">
        <v>9583</v>
      </c>
      <c r="C3094" t="s">
        <v>9584</v>
      </c>
      <c r="D3094">
        <v>7</v>
      </c>
      <c r="E3094" t="s">
        <v>2857</v>
      </c>
      <c r="F3094">
        <v>2</v>
      </c>
    </row>
    <row r="3095" spans="2:6" x14ac:dyDescent="0.2">
      <c r="B3095" t="s">
        <v>9585</v>
      </c>
      <c r="C3095" t="s">
        <v>9586</v>
      </c>
      <c r="D3095">
        <v>7</v>
      </c>
      <c r="E3095" t="s">
        <v>2903</v>
      </c>
      <c r="F3095">
        <v>3</v>
      </c>
    </row>
    <row r="3096" spans="2:6" x14ac:dyDescent="0.2">
      <c r="B3096" t="s">
        <v>9587</v>
      </c>
      <c r="C3096" t="s">
        <v>3186</v>
      </c>
      <c r="D3096">
        <v>7</v>
      </c>
      <c r="E3096" t="s">
        <v>9588</v>
      </c>
      <c r="F3096">
        <v>3</v>
      </c>
    </row>
    <row r="3097" spans="2:6" x14ac:dyDescent="0.2">
      <c r="B3097" t="s">
        <v>9589</v>
      </c>
      <c r="C3097" t="s">
        <v>9590</v>
      </c>
      <c r="D3097">
        <v>7</v>
      </c>
      <c r="E3097" t="s">
        <v>9591</v>
      </c>
      <c r="F3097">
        <v>12</v>
      </c>
    </row>
    <row r="3098" spans="2:6" x14ac:dyDescent="0.2">
      <c r="B3098" t="s">
        <v>9592</v>
      </c>
      <c r="C3098" t="s">
        <v>9593</v>
      </c>
      <c r="D3098">
        <v>7</v>
      </c>
      <c r="E3098" t="s">
        <v>9594</v>
      </c>
      <c r="F3098">
        <v>12</v>
      </c>
    </row>
    <row r="3099" spans="2:6" x14ac:dyDescent="0.2">
      <c r="B3099" t="s">
        <v>9595</v>
      </c>
      <c r="C3099" t="s">
        <v>9596</v>
      </c>
      <c r="D3099">
        <v>7</v>
      </c>
      <c r="E3099" t="s">
        <v>4659</v>
      </c>
      <c r="F3099">
        <v>5</v>
      </c>
    </row>
    <row r="3100" spans="2:6" x14ac:dyDescent="0.2">
      <c r="B3100" t="s">
        <v>9597</v>
      </c>
      <c r="C3100" t="s">
        <v>9598</v>
      </c>
      <c r="D3100">
        <v>7</v>
      </c>
      <c r="E3100" t="s">
        <v>9599</v>
      </c>
      <c r="F3100">
        <v>1</v>
      </c>
    </row>
    <row r="3101" spans="2:6" x14ac:dyDescent="0.2">
      <c r="B3101" t="s">
        <v>9600</v>
      </c>
      <c r="C3101" t="s">
        <v>9601</v>
      </c>
      <c r="D3101">
        <v>7</v>
      </c>
      <c r="E3101" t="s">
        <v>3028</v>
      </c>
      <c r="F3101">
        <v>2</v>
      </c>
    </row>
    <row r="3102" spans="2:6" x14ac:dyDescent="0.2">
      <c r="B3102" t="s">
        <v>9602</v>
      </c>
      <c r="C3102" t="s">
        <v>9603</v>
      </c>
      <c r="D3102">
        <v>7</v>
      </c>
      <c r="E3102" t="s">
        <v>2788</v>
      </c>
      <c r="F3102">
        <v>1</v>
      </c>
    </row>
    <row r="3103" spans="2:6" x14ac:dyDescent="0.2">
      <c r="B3103" t="s">
        <v>9604</v>
      </c>
      <c r="C3103" t="s">
        <v>9605</v>
      </c>
      <c r="D3103">
        <v>7</v>
      </c>
      <c r="E3103" t="s">
        <v>3933</v>
      </c>
      <c r="F3103">
        <v>9</v>
      </c>
    </row>
    <row r="3104" spans="2:6" x14ac:dyDescent="0.2">
      <c r="B3104" t="s">
        <v>9606</v>
      </c>
      <c r="C3104" t="s">
        <v>9607</v>
      </c>
      <c r="D3104">
        <v>7</v>
      </c>
      <c r="E3104" t="s">
        <v>4962</v>
      </c>
      <c r="F3104">
        <v>10</v>
      </c>
    </row>
    <row r="3105" spans="2:6" x14ac:dyDescent="0.2">
      <c r="B3105" t="s">
        <v>208</v>
      </c>
      <c r="C3105" t="s">
        <v>9608</v>
      </c>
      <c r="D3105">
        <v>7</v>
      </c>
      <c r="E3105" t="s">
        <v>3621</v>
      </c>
      <c r="F3105">
        <v>1</v>
      </c>
    </row>
    <row r="3106" spans="2:6" x14ac:dyDescent="0.2">
      <c r="B3106" t="s">
        <v>9609</v>
      </c>
      <c r="C3106" t="s">
        <v>9610</v>
      </c>
      <c r="D3106">
        <v>7</v>
      </c>
      <c r="E3106" t="s">
        <v>8130</v>
      </c>
      <c r="F3106">
        <v>13</v>
      </c>
    </row>
    <row r="3107" spans="2:6" x14ac:dyDescent="0.2">
      <c r="B3107" t="s">
        <v>9611</v>
      </c>
      <c r="C3107" t="s">
        <v>9612</v>
      </c>
      <c r="D3107">
        <v>7</v>
      </c>
      <c r="E3107" t="s">
        <v>6801</v>
      </c>
      <c r="F3107">
        <v>4</v>
      </c>
    </row>
    <row r="3108" spans="2:6" x14ac:dyDescent="0.2">
      <c r="B3108" t="s">
        <v>9613</v>
      </c>
      <c r="C3108" t="s">
        <v>9614</v>
      </c>
      <c r="D3108">
        <v>7</v>
      </c>
      <c r="E3108" t="s">
        <v>9615</v>
      </c>
      <c r="F3108">
        <v>1</v>
      </c>
    </row>
    <row r="3109" spans="2:6" x14ac:dyDescent="0.2">
      <c r="B3109" t="s">
        <v>9616</v>
      </c>
      <c r="C3109" t="s">
        <v>9617</v>
      </c>
      <c r="D3109">
        <v>7</v>
      </c>
      <c r="E3109" t="s">
        <v>9618</v>
      </c>
      <c r="F3109">
        <v>2</v>
      </c>
    </row>
    <row r="3110" spans="2:6" x14ac:dyDescent="0.2">
      <c r="B3110" t="s">
        <v>9619</v>
      </c>
      <c r="C3110" t="s">
        <v>9620</v>
      </c>
      <c r="D3110">
        <v>7</v>
      </c>
      <c r="E3110" t="s">
        <v>5165</v>
      </c>
      <c r="F3110">
        <v>1</v>
      </c>
    </row>
    <row r="3111" spans="2:6" x14ac:dyDescent="0.2">
      <c r="B3111" t="s">
        <v>9621</v>
      </c>
      <c r="C3111" t="s">
        <v>9622</v>
      </c>
      <c r="D3111">
        <v>7</v>
      </c>
      <c r="E3111" t="s">
        <v>4263</v>
      </c>
      <c r="F3111">
        <v>2</v>
      </c>
    </row>
    <row r="3112" spans="2:6" x14ac:dyDescent="0.2">
      <c r="B3112" t="s">
        <v>1406</v>
      </c>
      <c r="C3112" t="s">
        <v>9623</v>
      </c>
      <c r="D3112">
        <v>7</v>
      </c>
      <c r="E3112" t="s">
        <v>2949</v>
      </c>
      <c r="F3112">
        <v>1</v>
      </c>
    </row>
    <row r="3113" spans="2:6" x14ac:dyDescent="0.2">
      <c r="B3113" t="s">
        <v>1873</v>
      </c>
      <c r="C3113" t="s">
        <v>9624</v>
      </c>
      <c r="D3113">
        <v>7</v>
      </c>
      <c r="E3113" t="s">
        <v>3688</v>
      </c>
      <c r="F3113">
        <v>2</v>
      </c>
    </row>
    <row r="3114" spans="2:6" x14ac:dyDescent="0.2">
      <c r="B3114" t="s">
        <v>9625</v>
      </c>
      <c r="C3114" t="s">
        <v>9626</v>
      </c>
      <c r="D3114">
        <v>7</v>
      </c>
      <c r="E3114" t="s">
        <v>3162</v>
      </c>
      <c r="F3114">
        <v>2</v>
      </c>
    </row>
    <row r="3115" spans="2:6" x14ac:dyDescent="0.2">
      <c r="B3115" t="s">
        <v>9627</v>
      </c>
      <c r="C3115" t="s">
        <v>9628</v>
      </c>
      <c r="D3115">
        <v>7</v>
      </c>
      <c r="E3115" t="s">
        <v>3957</v>
      </c>
      <c r="F3115">
        <v>1</v>
      </c>
    </row>
    <row r="3116" spans="2:6" x14ac:dyDescent="0.2">
      <c r="B3116" t="s">
        <v>9629</v>
      </c>
      <c r="C3116" t="s">
        <v>9630</v>
      </c>
      <c r="D3116">
        <v>7</v>
      </c>
      <c r="E3116" t="s">
        <v>2921</v>
      </c>
      <c r="F3116">
        <v>6</v>
      </c>
    </row>
    <row r="3117" spans="2:6" x14ac:dyDescent="0.2">
      <c r="B3117" t="s">
        <v>9631</v>
      </c>
      <c r="C3117" t="s">
        <v>9632</v>
      </c>
      <c r="D3117">
        <v>7</v>
      </c>
      <c r="E3117" t="s">
        <v>3031</v>
      </c>
      <c r="F3117">
        <v>1</v>
      </c>
    </row>
    <row r="3118" spans="2:6" x14ac:dyDescent="0.2">
      <c r="B3118" t="s">
        <v>9633</v>
      </c>
      <c r="C3118" t="s">
        <v>9634</v>
      </c>
      <c r="D3118">
        <v>7</v>
      </c>
      <c r="E3118" t="s">
        <v>4295</v>
      </c>
      <c r="F3118">
        <v>2</v>
      </c>
    </row>
    <row r="3119" spans="2:6" x14ac:dyDescent="0.2">
      <c r="B3119" t="s">
        <v>1032</v>
      </c>
      <c r="C3119" t="s">
        <v>9635</v>
      </c>
      <c r="D3119">
        <v>7</v>
      </c>
      <c r="E3119" t="s">
        <v>3307</v>
      </c>
      <c r="F3119">
        <v>3</v>
      </c>
    </row>
    <row r="3120" spans="2:6" x14ac:dyDescent="0.2">
      <c r="B3120" t="s">
        <v>9636</v>
      </c>
      <c r="C3120" t="s">
        <v>9637</v>
      </c>
      <c r="D3120">
        <v>7</v>
      </c>
      <c r="E3120" t="s">
        <v>3591</v>
      </c>
      <c r="F3120">
        <v>1</v>
      </c>
    </row>
    <row r="3121" spans="2:6" x14ac:dyDescent="0.2">
      <c r="B3121" t="s">
        <v>9638</v>
      </c>
      <c r="C3121" t="s">
        <v>9639</v>
      </c>
      <c r="D3121">
        <v>7</v>
      </c>
      <c r="E3121" t="s">
        <v>9377</v>
      </c>
      <c r="F3121">
        <v>4</v>
      </c>
    </row>
    <row r="3122" spans="2:6" x14ac:dyDescent="0.2">
      <c r="B3122" t="s">
        <v>422</v>
      </c>
      <c r="C3122" t="s">
        <v>9640</v>
      </c>
      <c r="D3122">
        <v>7</v>
      </c>
      <c r="E3122" t="s">
        <v>9641</v>
      </c>
      <c r="F3122">
        <v>5</v>
      </c>
    </row>
    <row r="3123" spans="2:6" x14ac:dyDescent="0.2">
      <c r="B3123" t="s">
        <v>9642</v>
      </c>
      <c r="C3123" t="s">
        <v>9643</v>
      </c>
      <c r="D3123">
        <v>7</v>
      </c>
      <c r="E3123" t="s">
        <v>3904</v>
      </c>
      <c r="F3123">
        <v>3</v>
      </c>
    </row>
    <row r="3124" spans="2:6" x14ac:dyDescent="0.2">
      <c r="B3124" t="s">
        <v>9644</v>
      </c>
      <c r="C3124" t="s">
        <v>9645</v>
      </c>
      <c r="D3124">
        <v>7</v>
      </c>
      <c r="E3124" t="s">
        <v>3824</v>
      </c>
      <c r="F3124">
        <v>1</v>
      </c>
    </row>
    <row r="3125" spans="2:6" x14ac:dyDescent="0.2">
      <c r="B3125" t="s">
        <v>9646</v>
      </c>
      <c r="C3125" t="s">
        <v>9647</v>
      </c>
      <c r="D3125">
        <v>7</v>
      </c>
      <c r="E3125" t="s">
        <v>9648</v>
      </c>
      <c r="F3125">
        <v>7</v>
      </c>
    </row>
    <row r="3126" spans="2:6" x14ac:dyDescent="0.2">
      <c r="B3126">
        <v>1110239</v>
      </c>
      <c r="C3126" t="s">
        <v>9649</v>
      </c>
      <c r="D3126">
        <v>7</v>
      </c>
      <c r="E3126" t="s">
        <v>3095</v>
      </c>
      <c r="F3126">
        <v>12</v>
      </c>
    </row>
    <row r="3127" spans="2:6" x14ac:dyDescent="0.2">
      <c r="B3127" t="s">
        <v>9650</v>
      </c>
      <c r="C3127" t="s">
        <v>9651</v>
      </c>
      <c r="D3127">
        <v>7</v>
      </c>
      <c r="E3127" t="s">
        <v>3153</v>
      </c>
      <c r="F3127">
        <v>1</v>
      </c>
    </row>
    <row r="3128" spans="2:6" x14ac:dyDescent="0.2">
      <c r="B3128" t="s">
        <v>9652</v>
      </c>
      <c r="C3128" t="s">
        <v>9653</v>
      </c>
      <c r="D3128">
        <v>7</v>
      </c>
      <c r="E3128" t="s">
        <v>3294</v>
      </c>
      <c r="F3128">
        <v>2</v>
      </c>
    </row>
    <row r="3129" spans="2:6" x14ac:dyDescent="0.2">
      <c r="B3129" t="s">
        <v>9654</v>
      </c>
      <c r="C3129" t="s">
        <v>9655</v>
      </c>
      <c r="D3129">
        <v>7</v>
      </c>
      <c r="E3129" t="s">
        <v>2958</v>
      </c>
      <c r="F3129">
        <v>2</v>
      </c>
    </row>
    <row r="3130" spans="2:6" x14ac:dyDescent="0.2">
      <c r="B3130" t="s">
        <v>9656</v>
      </c>
      <c r="C3130" t="s">
        <v>9657</v>
      </c>
      <c r="D3130">
        <v>7</v>
      </c>
      <c r="E3130" t="s">
        <v>9658</v>
      </c>
      <c r="F3130">
        <v>2</v>
      </c>
    </row>
    <row r="3131" spans="2:6" x14ac:dyDescent="0.2">
      <c r="B3131" t="s">
        <v>9659</v>
      </c>
      <c r="C3131" t="s">
        <v>9660</v>
      </c>
      <c r="D3131">
        <v>7</v>
      </c>
      <c r="E3131" t="s">
        <v>9661</v>
      </c>
      <c r="F3131">
        <v>6</v>
      </c>
    </row>
    <row r="3132" spans="2:6" x14ac:dyDescent="0.2">
      <c r="B3132" t="s">
        <v>9662</v>
      </c>
      <c r="C3132" t="s">
        <v>9663</v>
      </c>
      <c r="D3132">
        <v>7</v>
      </c>
      <c r="E3132" t="s">
        <v>9664</v>
      </c>
      <c r="F3132">
        <v>3</v>
      </c>
    </row>
    <row r="3133" spans="2:6" x14ac:dyDescent="0.2">
      <c r="B3133" t="s">
        <v>9665</v>
      </c>
      <c r="C3133" t="s">
        <v>9666</v>
      </c>
      <c r="D3133">
        <v>7</v>
      </c>
      <c r="E3133" t="s">
        <v>5147</v>
      </c>
      <c r="F3133">
        <v>3</v>
      </c>
    </row>
    <row r="3134" spans="2:6" x14ac:dyDescent="0.2">
      <c r="B3134" t="s">
        <v>9667</v>
      </c>
      <c r="C3134" t="s">
        <v>9668</v>
      </c>
      <c r="D3134">
        <v>7</v>
      </c>
      <c r="E3134" t="s">
        <v>3136</v>
      </c>
      <c r="F3134">
        <v>2</v>
      </c>
    </row>
    <row r="3135" spans="2:6" x14ac:dyDescent="0.2">
      <c r="B3135" t="s">
        <v>9669</v>
      </c>
      <c r="C3135" t="s">
        <v>9670</v>
      </c>
      <c r="D3135">
        <v>7</v>
      </c>
      <c r="E3135" t="s">
        <v>4367</v>
      </c>
      <c r="F3135">
        <v>15</v>
      </c>
    </row>
    <row r="3136" spans="2:6" x14ac:dyDescent="0.2">
      <c r="B3136" t="s">
        <v>2029</v>
      </c>
      <c r="C3136" t="s">
        <v>9671</v>
      </c>
      <c r="D3136">
        <v>7</v>
      </c>
      <c r="E3136" t="s">
        <v>4972</v>
      </c>
      <c r="F3136">
        <v>1</v>
      </c>
    </row>
    <row r="3137" spans="2:6" x14ac:dyDescent="0.2">
      <c r="B3137" t="s">
        <v>944</v>
      </c>
      <c r="C3137" t="s">
        <v>9672</v>
      </c>
      <c r="D3137">
        <v>7</v>
      </c>
      <c r="E3137" t="s">
        <v>5330</v>
      </c>
      <c r="F3137">
        <v>3</v>
      </c>
    </row>
    <row r="3138" spans="2:6" x14ac:dyDescent="0.2">
      <c r="B3138" t="s">
        <v>9673</v>
      </c>
      <c r="C3138" t="s">
        <v>9674</v>
      </c>
      <c r="D3138">
        <v>7</v>
      </c>
      <c r="E3138" t="s">
        <v>3109</v>
      </c>
      <c r="F3138">
        <v>5</v>
      </c>
    </row>
    <row r="3139" spans="2:6" x14ac:dyDescent="0.2">
      <c r="B3139" t="s">
        <v>9675</v>
      </c>
      <c r="C3139" t="s">
        <v>9676</v>
      </c>
      <c r="D3139">
        <v>7</v>
      </c>
      <c r="E3139" t="s">
        <v>9677</v>
      </c>
      <c r="F3139">
        <v>3</v>
      </c>
    </row>
    <row r="3140" spans="2:6" x14ac:dyDescent="0.2">
      <c r="B3140" t="s">
        <v>9678</v>
      </c>
      <c r="C3140" t="s">
        <v>9679</v>
      </c>
      <c r="D3140">
        <v>7</v>
      </c>
      <c r="E3140" t="s">
        <v>3407</v>
      </c>
      <c r="F3140">
        <v>6</v>
      </c>
    </row>
    <row r="3141" spans="2:6" x14ac:dyDescent="0.2">
      <c r="B3141" t="s">
        <v>9680</v>
      </c>
      <c r="C3141" t="s">
        <v>9681</v>
      </c>
      <c r="D3141">
        <v>7</v>
      </c>
      <c r="E3141" t="s">
        <v>2915</v>
      </c>
      <c r="F3141">
        <v>2</v>
      </c>
    </row>
    <row r="3142" spans="2:6" x14ac:dyDescent="0.2">
      <c r="B3142" t="s">
        <v>9682</v>
      </c>
      <c r="C3142" t="s">
        <v>9683</v>
      </c>
      <c r="D3142">
        <v>7</v>
      </c>
      <c r="E3142" t="s">
        <v>2857</v>
      </c>
      <c r="F3142">
        <v>1</v>
      </c>
    </row>
    <row r="3143" spans="2:6" x14ac:dyDescent="0.2">
      <c r="B3143" t="s">
        <v>9684</v>
      </c>
      <c r="C3143" t="s">
        <v>9685</v>
      </c>
      <c r="D3143">
        <v>7</v>
      </c>
      <c r="E3143" t="s">
        <v>2915</v>
      </c>
      <c r="F3143">
        <v>1</v>
      </c>
    </row>
    <row r="3144" spans="2:6" x14ac:dyDescent="0.2">
      <c r="B3144" t="s">
        <v>9686</v>
      </c>
      <c r="C3144" t="s">
        <v>9687</v>
      </c>
      <c r="D3144">
        <v>7</v>
      </c>
      <c r="E3144" t="s">
        <v>3955</v>
      </c>
      <c r="F3144">
        <v>3</v>
      </c>
    </row>
    <row r="3145" spans="2:6" x14ac:dyDescent="0.2">
      <c r="B3145" t="s">
        <v>9688</v>
      </c>
      <c r="C3145" t="s">
        <v>9689</v>
      </c>
      <c r="D3145">
        <v>7</v>
      </c>
      <c r="E3145" t="s">
        <v>7577</v>
      </c>
      <c r="F3145">
        <v>11</v>
      </c>
    </row>
    <row r="3146" spans="2:6" x14ac:dyDescent="0.2">
      <c r="B3146" t="s">
        <v>9690</v>
      </c>
      <c r="C3146" t="s">
        <v>5712</v>
      </c>
      <c r="D3146">
        <v>7</v>
      </c>
      <c r="E3146" t="s">
        <v>2866</v>
      </c>
      <c r="F3146">
        <v>2</v>
      </c>
    </row>
    <row r="3147" spans="2:6" x14ac:dyDescent="0.2">
      <c r="B3147" t="s">
        <v>9691</v>
      </c>
      <c r="C3147" t="s">
        <v>9692</v>
      </c>
      <c r="D3147">
        <v>7</v>
      </c>
      <c r="E3147" t="s">
        <v>4151</v>
      </c>
      <c r="F3147">
        <v>1</v>
      </c>
    </row>
    <row r="3148" spans="2:6" x14ac:dyDescent="0.2">
      <c r="B3148" t="s">
        <v>9693</v>
      </c>
      <c r="C3148" t="s">
        <v>9694</v>
      </c>
      <c r="D3148">
        <v>7</v>
      </c>
      <c r="E3148" t="s">
        <v>9695</v>
      </c>
      <c r="F3148">
        <v>1</v>
      </c>
    </row>
    <row r="3149" spans="2:6" x14ac:dyDescent="0.2">
      <c r="B3149" t="s">
        <v>9696</v>
      </c>
      <c r="C3149" t="s">
        <v>9697</v>
      </c>
      <c r="D3149">
        <v>7</v>
      </c>
      <c r="E3149" t="s">
        <v>2830</v>
      </c>
      <c r="F3149">
        <v>6</v>
      </c>
    </row>
    <row r="3150" spans="2:6" x14ac:dyDescent="0.2">
      <c r="B3150" t="s">
        <v>9698</v>
      </c>
      <c r="C3150" t="s">
        <v>9699</v>
      </c>
      <c r="D3150">
        <v>7</v>
      </c>
      <c r="E3150" t="s">
        <v>2952</v>
      </c>
      <c r="F3150">
        <v>1</v>
      </c>
    </row>
    <row r="3151" spans="2:6" x14ac:dyDescent="0.2">
      <c r="B3151" t="s">
        <v>9700</v>
      </c>
      <c r="C3151" t="s">
        <v>9701</v>
      </c>
      <c r="D3151">
        <v>7</v>
      </c>
      <c r="E3151" t="s">
        <v>2839</v>
      </c>
      <c r="F3151">
        <v>1</v>
      </c>
    </row>
    <row r="3152" spans="2:6" x14ac:dyDescent="0.2">
      <c r="B3152" t="s">
        <v>9702</v>
      </c>
      <c r="C3152" t="s">
        <v>9703</v>
      </c>
      <c r="D3152">
        <v>7</v>
      </c>
      <c r="E3152" t="s">
        <v>7831</v>
      </c>
      <c r="F3152">
        <v>3</v>
      </c>
    </row>
    <row r="3153" spans="2:6" x14ac:dyDescent="0.2">
      <c r="B3153" t="s">
        <v>9704</v>
      </c>
      <c r="C3153" t="s">
        <v>9705</v>
      </c>
      <c r="D3153">
        <v>7</v>
      </c>
      <c r="E3153" t="s">
        <v>2949</v>
      </c>
      <c r="F3153">
        <v>1</v>
      </c>
    </row>
    <row r="3154" spans="2:6" x14ac:dyDescent="0.2">
      <c r="B3154" t="s">
        <v>9706</v>
      </c>
      <c r="C3154" t="s">
        <v>9707</v>
      </c>
      <c r="D3154">
        <v>7</v>
      </c>
      <c r="E3154" t="s">
        <v>2857</v>
      </c>
      <c r="F3154">
        <v>2</v>
      </c>
    </row>
    <row r="3155" spans="2:6" x14ac:dyDescent="0.2">
      <c r="B3155" t="s">
        <v>701</v>
      </c>
      <c r="C3155" t="s">
        <v>9708</v>
      </c>
      <c r="D3155">
        <v>7</v>
      </c>
      <c r="E3155" t="s">
        <v>9709</v>
      </c>
      <c r="F3155">
        <v>3</v>
      </c>
    </row>
    <row r="3156" spans="2:6" x14ac:dyDescent="0.2">
      <c r="B3156" t="s">
        <v>9710</v>
      </c>
      <c r="C3156" t="s">
        <v>9711</v>
      </c>
      <c r="D3156">
        <v>7</v>
      </c>
      <c r="E3156" t="s">
        <v>2889</v>
      </c>
      <c r="F3156">
        <v>8</v>
      </c>
    </row>
    <row r="3157" spans="2:6" x14ac:dyDescent="0.2">
      <c r="B3157" t="s">
        <v>9712</v>
      </c>
      <c r="C3157" t="s">
        <v>9713</v>
      </c>
      <c r="D3157">
        <v>7</v>
      </c>
      <c r="E3157" t="s">
        <v>3294</v>
      </c>
      <c r="F3157">
        <v>2</v>
      </c>
    </row>
    <row r="3158" spans="2:6" x14ac:dyDescent="0.2">
      <c r="B3158" t="s">
        <v>9714</v>
      </c>
      <c r="C3158" t="s">
        <v>9715</v>
      </c>
      <c r="D3158">
        <v>7</v>
      </c>
      <c r="E3158" t="s">
        <v>2988</v>
      </c>
      <c r="F3158">
        <v>2</v>
      </c>
    </row>
    <row r="3159" spans="2:6" x14ac:dyDescent="0.2">
      <c r="B3159" t="s">
        <v>9716</v>
      </c>
      <c r="C3159" t="s">
        <v>9717</v>
      </c>
      <c r="D3159">
        <v>7</v>
      </c>
      <c r="E3159" t="s">
        <v>3423</v>
      </c>
      <c r="F3159">
        <v>9</v>
      </c>
    </row>
    <row r="3160" spans="2:6" x14ac:dyDescent="0.2">
      <c r="B3160" t="s">
        <v>9718</v>
      </c>
      <c r="C3160" t="s">
        <v>9719</v>
      </c>
      <c r="D3160">
        <v>7</v>
      </c>
      <c r="E3160" t="s">
        <v>3162</v>
      </c>
      <c r="F3160">
        <v>2</v>
      </c>
    </row>
    <row r="3161" spans="2:6" x14ac:dyDescent="0.2">
      <c r="B3161" t="s">
        <v>241</v>
      </c>
      <c r="C3161" t="s">
        <v>9720</v>
      </c>
      <c r="D3161">
        <v>7</v>
      </c>
      <c r="E3161" t="s">
        <v>4104</v>
      </c>
      <c r="F3161">
        <v>4</v>
      </c>
    </row>
    <row r="3162" spans="2:6" x14ac:dyDescent="0.2">
      <c r="B3162" t="s">
        <v>9721</v>
      </c>
      <c r="C3162" t="s">
        <v>9722</v>
      </c>
      <c r="D3162">
        <v>7</v>
      </c>
      <c r="E3162" t="s">
        <v>9723</v>
      </c>
      <c r="F3162">
        <v>10</v>
      </c>
    </row>
    <row r="3163" spans="2:6" x14ac:dyDescent="0.2">
      <c r="B3163" t="s">
        <v>9724</v>
      </c>
      <c r="C3163" t="s">
        <v>9725</v>
      </c>
      <c r="D3163">
        <v>7</v>
      </c>
      <c r="E3163" t="s">
        <v>3746</v>
      </c>
      <c r="F3163">
        <v>4</v>
      </c>
    </row>
    <row r="3164" spans="2:6" x14ac:dyDescent="0.2">
      <c r="B3164" t="s">
        <v>1085</v>
      </c>
      <c r="C3164" t="s">
        <v>9726</v>
      </c>
      <c r="D3164">
        <v>7</v>
      </c>
      <c r="E3164" t="s">
        <v>3106</v>
      </c>
      <c r="F3164">
        <v>2</v>
      </c>
    </row>
    <row r="3165" spans="2:6" x14ac:dyDescent="0.2">
      <c r="B3165" t="s">
        <v>9727</v>
      </c>
      <c r="C3165" t="s">
        <v>9728</v>
      </c>
      <c r="D3165">
        <v>7</v>
      </c>
      <c r="E3165" t="s">
        <v>3028</v>
      </c>
      <c r="F3165">
        <v>6</v>
      </c>
    </row>
    <row r="3166" spans="2:6" x14ac:dyDescent="0.2">
      <c r="B3166" t="s">
        <v>9729</v>
      </c>
      <c r="C3166" t="s">
        <v>9730</v>
      </c>
      <c r="D3166">
        <v>7</v>
      </c>
      <c r="E3166" t="s">
        <v>9731</v>
      </c>
      <c r="F3166">
        <v>2</v>
      </c>
    </row>
    <row r="3167" spans="2:6" x14ac:dyDescent="0.2">
      <c r="B3167" t="s">
        <v>9732</v>
      </c>
      <c r="C3167" t="s">
        <v>9733</v>
      </c>
      <c r="D3167">
        <v>7</v>
      </c>
      <c r="E3167" t="s">
        <v>5036</v>
      </c>
      <c r="F3167">
        <v>1</v>
      </c>
    </row>
    <row r="3168" spans="2:6" x14ac:dyDescent="0.2">
      <c r="B3168" t="s">
        <v>9734</v>
      </c>
      <c r="C3168" t="s">
        <v>9735</v>
      </c>
      <c r="D3168">
        <v>7</v>
      </c>
      <c r="E3168" t="s">
        <v>3084</v>
      </c>
      <c r="F3168">
        <v>2</v>
      </c>
    </row>
    <row r="3169" spans="2:6" x14ac:dyDescent="0.2">
      <c r="B3169" t="s">
        <v>738</v>
      </c>
      <c r="C3169" t="s">
        <v>9736</v>
      </c>
      <c r="D3169">
        <v>7</v>
      </c>
      <c r="E3169" t="s">
        <v>3281</v>
      </c>
      <c r="F3169">
        <v>51</v>
      </c>
    </row>
    <row r="3170" spans="2:6" x14ac:dyDescent="0.2">
      <c r="B3170" t="s">
        <v>9737</v>
      </c>
      <c r="C3170" t="s">
        <v>9738</v>
      </c>
      <c r="D3170">
        <v>7</v>
      </c>
      <c r="E3170" t="s">
        <v>3820</v>
      </c>
      <c r="F3170">
        <v>14</v>
      </c>
    </row>
    <row r="3171" spans="2:6" x14ac:dyDescent="0.2">
      <c r="B3171" t="s">
        <v>9739</v>
      </c>
      <c r="C3171" t="s">
        <v>9740</v>
      </c>
      <c r="D3171">
        <v>7</v>
      </c>
      <c r="E3171" t="s">
        <v>2933</v>
      </c>
      <c r="F3171">
        <v>3</v>
      </c>
    </row>
    <row r="3172" spans="2:6" x14ac:dyDescent="0.2">
      <c r="B3172" t="s">
        <v>9741</v>
      </c>
      <c r="C3172" t="s">
        <v>9742</v>
      </c>
      <c r="D3172">
        <v>7</v>
      </c>
      <c r="E3172" t="s">
        <v>3327</v>
      </c>
      <c r="F3172">
        <v>4</v>
      </c>
    </row>
    <row r="3173" spans="2:6" x14ac:dyDescent="0.2">
      <c r="B3173" t="s">
        <v>9743</v>
      </c>
      <c r="C3173" t="s">
        <v>9744</v>
      </c>
      <c r="D3173">
        <v>7</v>
      </c>
      <c r="E3173" t="s">
        <v>2969</v>
      </c>
      <c r="F3173">
        <v>4</v>
      </c>
    </row>
    <row r="3174" spans="2:6" x14ac:dyDescent="0.2">
      <c r="B3174" t="s">
        <v>471</v>
      </c>
      <c r="C3174" t="s">
        <v>9745</v>
      </c>
      <c r="D3174">
        <v>7</v>
      </c>
      <c r="E3174" t="s">
        <v>9746</v>
      </c>
      <c r="F3174">
        <v>6</v>
      </c>
    </row>
    <row r="3175" spans="2:6" x14ac:dyDescent="0.2">
      <c r="B3175" t="s">
        <v>9747</v>
      </c>
      <c r="C3175" t="s">
        <v>9748</v>
      </c>
      <c r="D3175">
        <v>7</v>
      </c>
      <c r="E3175" t="s">
        <v>3109</v>
      </c>
      <c r="F3175">
        <v>2</v>
      </c>
    </row>
    <row r="3176" spans="2:6" x14ac:dyDescent="0.2">
      <c r="B3176" t="s">
        <v>1294</v>
      </c>
      <c r="C3176" t="s">
        <v>9749</v>
      </c>
      <c r="D3176">
        <v>7</v>
      </c>
      <c r="E3176" t="s">
        <v>9750</v>
      </c>
      <c r="F3176">
        <v>23</v>
      </c>
    </row>
    <row r="3177" spans="2:6" x14ac:dyDescent="0.2">
      <c r="B3177" t="s">
        <v>9751</v>
      </c>
      <c r="C3177" t="s">
        <v>9752</v>
      </c>
      <c r="D3177">
        <v>7</v>
      </c>
      <c r="E3177" t="s">
        <v>4884</v>
      </c>
      <c r="F3177">
        <v>2</v>
      </c>
    </row>
    <row r="3178" spans="2:6" x14ac:dyDescent="0.2">
      <c r="B3178" t="s">
        <v>314</v>
      </c>
      <c r="C3178" t="s">
        <v>9753</v>
      </c>
      <c r="D3178">
        <v>7</v>
      </c>
      <c r="E3178" t="s">
        <v>2819</v>
      </c>
      <c r="F3178">
        <v>1</v>
      </c>
    </row>
    <row r="3179" spans="2:6" x14ac:dyDescent="0.2">
      <c r="B3179" t="s">
        <v>9754</v>
      </c>
      <c r="C3179" t="s">
        <v>9755</v>
      </c>
      <c r="D3179">
        <v>7</v>
      </c>
      <c r="E3179" t="s">
        <v>2788</v>
      </c>
      <c r="F3179">
        <v>2</v>
      </c>
    </row>
    <row r="3180" spans="2:6" x14ac:dyDescent="0.2">
      <c r="B3180" t="s">
        <v>9756</v>
      </c>
      <c r="C3180" t="s">
        <v>9757</v>
      </c>
      <c r="D3180">
        <v>7</v>
      </c>
      <c r="E3180" t="s">
        <v>3688</v>
      </c>
      <c r="F3180">
        <v>1</v>
      </c>
    </row>
    <row r="3181" spans="2:6" x14ac:dyDescent="0.2">
      <c r="B3181" t="s">
        <v>1190</v>
      </c>
      <c r="C3181" t="s">
        <v>9758</v>
      </c>
      <c r="D3181">
        <v>7</v>
      </c>
      <c r="E3181" t="s">
        <v>7528</v>
      </c>
      <c r="F3181">
        <v>5</v>
      </c>
    </row>
    <row r="3182" spans="2:6" x14ac:dyDescent="0.2">
      <c r="B3182">
        <v>1110491</v>
      </c>
      <c r="C3182" t="s">
        <v>9759</v>
      </c>
      <c r="D3182">
        <v>7</v>
      </c>
      <c r="E3182" t="s">
        <v>2974</v>
      </c>
      <c r="F3182">
        <v>9</v>
      </c>
    </row>
    <row r="3183" spans="2:6" x14ac:dyDescent="0.2">
      <c r="B3183" t="s">
        <v>2015</v>
      </c>
      <c r="C3183" t="s">
        <v>9760</v>
      </c>
      <c r="D3183">
        <v>7</v>
      </c>
      <c r="E3183" t="s">
        <v>4645</v>
      </c>
      <c r="F3183">
        <v>4</v>
      </c>
    </row>
    <row r="3184" spans="2:6" x14ac:dyDescent="0.2">
      <c r="B3184" t="s">
        <v>9761</v>
      </c>
      <c r="C3184" t="s">
        <v>9762</v>
      </c>
      <c r="D3184">
        <v>7</v>
      </c>
      <c r="E3184" t="s">
        <v>3235</v>
      </c>
      <c r="F3184">
        <v>1</v>
      </c>
    </row>
    <row r="3185" spans="2:6" x14ac:dyDescent="0.2">
      <c r="B3185" t="s">
        <v>9763</v>
      </c>
      <c r="C3185" t="s">
        <v>9764</v>
      </c>
      <c r="D3185">
        <v>7</v>
      </c>
      <c r="E3185" t="s">
        <v>6410</v>
      </c>
      <c r="F3185">
        <v>4</v>
      </c>
    </row>
    <row r="3186" spans="2:6" x14ac:dyDescent="0.2">
      <c r="B3186" t="s">
        <v>9765</v>
      </c>
      <c r="C3186" t="s">
        <v>9766</v>
      </c>
      <c r="D3186">
        <v>7</v>
      </c>
      <c r="E3186" t="s">
        <v>3071</v>
      </c>
      <c r="F3186">
        <v>13</v>
      </c>
    </row>
    <row r="3187" spans="2:6" x14ac:dyDescent="0.2">
      <c r="B3187" t="s">
        <v>9767</v>
      </c>
      <c r="C3187" t="s">
        <v>9768</v>
      </c>
      <c r="D3187">
        <v>7</v>
      </c>
      <c r="E3187" t="s">
        <v>3139</v>
      </c>
      <c r="F3187">
        <v>2</v>
      </c>
    </row>
    <row r="3188" spans="2:6" x14ac:dyDescent="0.2">
      <c r="B3188" t="s">
        <v>9769</v>
      </c>
      <c r="C3188" t="s">
        <v>9770</v>
      </c>
      <c r="D3188">
        <v>7</v>
      </c>
      <c r="E3188" t="s">
        <v>3716</v>
      </c>
      <c r="F3188">
        <v>2</v>
      </c>
    </row>
    <row r="3189" spans="2:6" x14ac:dyDescent="0.2">
      <c r="B3189" t="s">
        <v>9771</v>
      </c>
      <c r="C3189" t="s">
        <v>9772</v>
      </c>
      <c r="D3189">
        <v>7</v>
      </c>
      <c r="E3189" t="s">
        <v>9773</v>
      </c>
      <c r="F3189">
        <v>9</v>
      </c>
    </row>
    <row r="3190" spans="2:6" x14ac:dyDescent="0.2">
      <c r="B3190" t="s">
        <v>9774</v>
      </c>
      <c r="C3190" t="s">
        <v>9775</v>
      </c>
      <c r="D3190">
        <v>7</v>
      </c>
      <c r="E3190" t="s">
        <v>2974</v>
      </c>
      <c r="F3190">
        <v>1</v>
      </c>
    </row>
    <row r="3191" spans="2:6" x14ac:dyDescent="0.2">
      <c r="B3191" t="s">
        <v>9776</v>
      </c>
      <c r="C3191" t="s">
        <v>9777</v>
      </c>
      <c r="D3191">
        <v>7</v>
      </c>
      <c r="E3191" t="s">
        <v>5992</v>
      </c>
      <c r="F3191">
        <v>1</v>
      </c>
    </row>
    <row r="3192" spans="2:6" x14ac:dyDescent="0.2">
      <c r="B3192" t="s">
        <v>1976</v>
      </c>
      <c r="C3192" t="s">
        <v>9778</v>
      </c>
      <c r="D3192">
        <v>7</v>
      </c>
      <c r="E3192" t="s">
        <v>9779</v>
      </c>
      <c r="F3192">
        <v>1</v>
      </c>
    </row>
    <row r="3193" spans="2:6" x14ac:dyDescent="0.2">
      <c r="B3193" t="s">
        <v>1042</v>
      </c>
      <c r="C3193" t="s">
        <v>9780</v>
      </c>
      <c r="D3193">
        <v>7</v>
      </c>
      <c r="E3193" t="s">
        <v>3136</v>
      </c>
      <c r="F3193">
        <v>2</v>
      </c>
    </row>
    <row r="3194" spans="2:6" x14ac:dyDescent="0.2">
      <c r="B3194" t="s">
        <v>350</v>
      </c>
      <c r="C3194" t="s">
        <v>9781</v>
      </c>
      <c r="D3194">
        <v>7</v>
      </c>
      <c r="E3194" t="s">
        <v>4006</v>
      </c>
      <c r="F3194">
        <v>1</v>
      </c>
    </row>
    <row r="3195" spans="2:6" x14ac:dyDescent="0.2">
      <c r="B3195" t="s">
        <v>9782</v>
      </c>
      <c r="C3195" t="s">
        <v>9783</v>
      </c>
      <c r="D3195">
        <v>7</v>
      </c>
      <c r="E3195" t="s">
        <v>5020</v>
      </c>
      <c r="F3195">
        <v>6</v>
      </c>
    </row>
    <row r="3196" spans="2:6" x14ac:dyDescent="0.2">
      <c r="B3196" t="s">
        <v>9784</v>
      </c>
      <c r="C3196" t="s">
        <v>9785</v>
      </c>
      <c r="D3196">
        <v>7</v>
      </c>
      <c r="E3196" t="s">
        <v>9234</v>
      </c>
      <c r="F3196">
        <v>1</v>
      </c>
    </row>
    <row r="3197" spans="2:6" x14ac:dyDescent="0.2">
      <c r="B3197" t="s">
        <v>9786</v>
      </c>
      <c r="C3197" t="s">
        <v>9787</v>
      </c>
      <c r="D3197">
        <v>7</v>
      </c>
      <c r="E3197" t="s">
        <v>4335</v>
      </c>
      <c r="F3197">
        <v>6</v>
      </c>
    </row>
    <row r="3198" spans="2:6" x14ac:dyDescent="0.2">
      <c r="B3198" t="s">
        <v>9788</v>
      </c>
      <c r="C3198" t="s">
        <v>9789</v>
      </c>
      <c r="D3198">
        <v>7</v>
      </c>
      <c r="E3198" t="s">
        <v>3364</v>
      </c>
      <c r="F3198">
        <v>5</v>
      </c>
    </row>
    <row r="3199" spans="2:6" x14ac:dyDescent="0.2">
      <c r="B3199" t="s">
        <v>9790</v>
      </c>
      <c r="C3199" t="s">
        <v>9791</v>
      </c>
      <c r="D3199">
        <v>7</v>
      </c>
      <c r="E3199" t="s">
        <v>3586</v>
      </c>
      <c r="F3199">
        <v>4</v>
      </c>
    </row>
    <row r="3200" spans="2:6" x14ac:dyDescent="0.2">
      <c r="B3200" t="s">
        <v>9792</v>
      </c>
      <c r="C3200" t="s">
        <v>9793</v>
      </c>
      <c r="D3200">
        <v>7</v>
      </c>
      <c r="E3200" t="s">
        <v>3261</v>
      </c>
      <c r="F3200">
        <v>3</v>
      </c>
    </row>
    <row r="3201" spans="2:6" x14ac:dyDescent="0.2">
      <c r="B3201" t="s">
        <v>9794</v>
      </c>
      <c r="C3201" t="s">
        <v>9795</v>
      </c>
      <c r="D3201">
        <v>7</v>
      </c>
      <c r="E3201" t="s">
        <v>9796</v>
      </c>
      <c r="F3201">
        <v>4</v>
      </c>
    </row>
    <row r="3202" spans="2:6" x14ac:dyDescent="0.2">
      <c r="B3202" t="s">
        <v>9797</v>
      </c>
      <c r="C3202" t="s">
        <v>9798</v>
      </c>
      <c r="D3202">
        <v>7</v>
      </c>
      <c r="E3202" t="s">
        <v>9799</v>
      </c>
      <c r="F3202">
        <v>3</v>
      </c>
    </row>
    <row r="3203" spans="2:6" x14ac:dyDescent="0.2">
      <c r="B3203" t="s">
        <v>1151</v>
      </c>
      <c r="C3203" t="s">
        <v>9800</v>
      </c>
      <c r="D3203">
        <v>7</v>
      </c>
      <c r="E3203" t="s">
        <v>9801</v>
      </c>
      <c r="F3203">
        <v>6</v>
      </c>
    </row>
    <row r="3204" spans="2:6" x14ac:dyDescent="0.2">
      <c r="B3204" t="s">
        <v>9802</v>
      </c>
      <c r="C3204" t="s">
        <v>9803</v>
      </c>
      <c r="D3204">
        <v>7</v>
      </c>
      <c r="E3204" t="s">
        <v>5191</v>
      </c>
      <c r="F3204">
        <v>1</v>
      </c>
    </row>
    <row r="3205" spans="2:6" x14ac:dyDescent="0.2">
      <c r="B3205" t="s">
        <v>9804</v>
      </c>
      <c r="C3205" t="s">
        <v>9805</v>
      </c>
      <c r="D3205">
        <v>7</v>
      </c>
      <c r="E3205" t="s">
        <v>3031</v>
      </c>
      <c r="F3205">
        <v>2</v>
      </c>
    </row>
    <row r="3206" spans="2:6" x14ac:dyDescent="0.2">
      <c r="B3206" t="s">
        <v>9806</v>
      </c>
      <c r="C3206" t="s">
        <v>9807</v>
      </c>
      <c r="D3206">
        <v>7</v>
      </c>
      <c r="E3206" t="s">
        <v>9808</v>
      </c>
      <c r="F3206">
        <v>8</v>
      </c>
    </row>
    <row r="3207" spans="2:6" x14ac:dyDescent="0.2">
      <c r="B3207" t="s">
        <v>9809</v>
      </c>
      <c r="C3207" t="s">
        <v>9810</v>
      </c>
      <c r="D3207">
        <v>7</v>
      </c>
      <c r="E3207" t="s">
        <v>3442</v>
      </c>
      <c r="F3207">
        <v>2</v>
      </c>
    </row>
    <row r="3208" spans="2:6" x14ac:dyDescent="0.2">
      <c r="B3208" t="s">
        <v>9811</v>
      </c>
      <c r="C3208" t="s">
        <v>9812</v>
      </c>
      <c r="D3208">
        <v>7</v>
      </c>
      <c r="E3208" t="s">
        <v>2842</v>
      </c>
      <c r="F3208">
        <v>2</v>
      </c>
    </row>
    <row r="3209" spans="2:6" x14ac:dyDescent="0.2">
      <c r="B3209" t="s">
        <v>9813</v>
      </c>
      <c r="C3209" t="s">
        <v>9814</v>
      </c>
      <c r="D3209">
        <v>7</v>
      </c>
      <c r="E3209" t="s">
        <v>2974</v>
      </c>
      <c r="F3209">
        <v>2</v>
      </c>
    </row>
    <row r="3210" spans="2:6" x14ac:dyDescent="0.2">
      <c r="B3210" t="s">
        <v>9815</v>
      </c>
      <c r="C3210" t="s">
        <v>5521</v>
      </c>
      <c r="D3210">
        <v>7</v>
      </c>
      <c r="E3210" t="s">
        <v>8669</v>
      </c>
      <c r="F3210">
        <v>9</v>
      </c>
    </row>
    <row r="3211" spans="2:6" x14ac:dyDescent="0.2">
      <c r="B3211" t="s">
        <v>9816</v>
      </c>
      <c r="C3211" t="s">
        <v>7983</v>
      </c>
      <c r="D3211">
        <v>7</v>
      </c>
      <c r="E3211" t="s">
        <v>7951</v>
      </c>
      <c r="F3211">
        <v>19</v>
      </c>
    </row>
    <row r="3212" spans="2:6" x14ac:dyDescent="0.2">
      <c r="B3212" t="s">
        <v>9817</v>
      </c>
      <c r="C3212" t="s">
        <v>9818</v>
      </c>
      <c r="D3212">
        <v>7</v>
      </c>
      <c r="E3212" t="s">
        <v>3455</v>
      </c>
      <c r="F3212">
        <v>1</v>
      </c>
    </row>
    <row r="3213" spans="2:6" x14ac:dyDescent="0.2">
      <c r="B3213" t="s">
        <v>9819</v>
      </c>
      <c r="C3213" t="s">
        <v>9820</v>
      </c>
      <c r="D3213">
        <v>7</v>
      </c>
      <c r="E3213" t="s">
        <v>9821</v>
      </c>
      <c r="F3213">
        <v>1</v>
      </c>
    </row>
    <row r="3214" spans="2:6" x14ac:dyDescent="0.2">
      <c r="B3214" t="s">
        <v>9822</v>
      </c>
      <c r="C3214" t="s">
        <v>8467</v>
      </c>
      <c r="D3214">
        <v>7</v>
      </c>
      <c r="E3214" t="s">
        <v>6073</v>
      </c>
      <c r="F3214">
        <v>1</v>
      </c>
    </row>
    <row r="3215" spans="2:6" x14ac:dyDescent="0.2">
      <c r="B3215" t="s">
        <v>9823</v>
      </c>
      <c r="C3215" t="s">
        <v>9824</v>
      </c>
      <c r="D3215">
        <v>7</v>
      </c>
      <c r="E3215" t="s">
        <v>3386</v>
      </c>
      <c r="F3215">
        <v>1</v>
      </c>
    </row>
    <row r="3216" spans="2:6" x14ac:dyDescent="0.2">
      <c r="B3216" t="s">
        <v>9825</v>
      </c>
      <c r="C3216" t="s">
        <v>9826</v>
      </c>
      <c r="D3216">
        <v>7</v>
      </c>
      <c r="E3216" t="s">
        <v>3820</v>
      </c>
      <c r="F3216">
        <v>2</v>
      </c>
    </row>
    <row r="3217" spans="2:6" x14ac:dyDescent="0.2">
      <c r="B3217" t="s">
        <v>9827</v>
      </c>
      <c r="C3217" t="s">
        <v>9828</v>
      </c>
      <c r="D3217">
        <v>7</v>
      </c>
      <c r="E3217" t="s">
        <v>2952</v>
      </c>
      <c r="F3217">
        <v>1</v>
      </c>
    </row>
    <row r="3218" spans="2:6" x14ac:dyDescent="0.2">
      <c r="B3218" t="s">
        <v>9829</v>
      </c>
      <c r="C3218" t="s">
        <v>9830</v>
      </c>
      <c r="D3218">
        <v>7</v>
      </c>
      <c r="E3218" t="s">
        <v>9831</v>
      </c>
      <c r="F3218">
        <v>6</v>
      </c>
    </row>
    <row r="3219" spans="2:6" x14ac:dyDescent="0.2">
      <c r="B3219" t="s">
        <v>9832</v>
      </c>
      <c r="C3219" t="s">
        <v>9833</v>
      </c>
      <c r="D3219">
        <v>7</v>
      </c>
      <c r="E3219" t="s">
        <v>9834</v>
      </c>
      <c r="F3219">
        <v>4</v>
      </c>
    </row>
    <row r="3220" spans="2:6" x14ac:dyDescent="0.2">
      <c r="B3220" t="s">
        <v>2028</v>
      </c>
      <c r="C3220" t="s">
        <v>9835</v>
      </c>
      <c r="D3220">
        <v>7</v>
      </c>
      <c r="E3220" t="s">
        <v>5433</v>
      </c>
      <c r="F3220">
        <v>1</v>
      </c>
    </row>
    <row r="3221" spans="2:6" x14ac:dyDescent="0.2">
      <c r="B3221" t="s">
        <v>9836</v>
      </c>
      <c r="C3221" t="s">
        <v>5519</v>
      </c>
      <c r="D3221">
        <v>7</v>
      </c>
      <c r="E3221" t="s">
        <v>4778</v>
      </c>
      <c r="F3221">
        <v>2</v>
      </c>
    </row>
    <row r="3222" spans="2:6" x14ac:dyDescent="0.2">
      <c r="B3222" t="s">
        <v>1604</v>
      </c>
      <c r="C3222" t="s">
        <v>9837</v>
      </c>
      <c r="D3222">
        <v>7</v>
      </c>
      <c r="E3222" t="s">
        <v>3564</v>
      </c>
      <c r="F3222">
        <v>2</v>
      </c>
    </row>
    <row r="3223" spans="2:6" x14ac:dyDescent="0.2">
      <c r="B3223" t="s">
        <v>9838</v>
      </c>
      <c r="C3223" t="s">
        <v>9839</v>
      </c>
      <c r="D3223">
        <v>7</v>
      </c>
      <c r="E3223" t="s">
        <v>2892</v>
      </c>
      <c r="F3223">
        <v>1</v>
      </c>
    </row>
    <row r="3224" spans="2:6" x14ac:dyDescent="0.2">
      <c r="B3224" t="s">
        <v>9840</v>
      </c>
      <c r="C3224" t="s">
        <v>9841</v>
      </c>
      <c r="D3224">
        <v>7</v>
      </c>
      <c r="E3224" t="s">
        <v>3952</v>
      </c>
      <c r="F3224">
        <v>2</v>
      </c>
    </row>
    <row r="3225" spans="2:6" x14ac:dyDescent="0.2">
      <c r="B3225" t="s">
        <v>1307</v>
      </c>
      <c r="C3225" t="s">
        <v>9842</v>
      </c>
      <c r="D3225">
        <v>7</v>
      </c>
      <c r="E3225" t="s">
        <v>7831</v>
      </c>
      <c r="F3225">
        <v>3</v>
      </c>
    </row>
    <row r="3226" spans="2:6" x14ac:dyDescent="0.2">
      <c r="B3226" t="s">
        <v>9843</v>
      </c>
      <c r="C3226" t="s">
        <v>4743</v>
      </c>
      <c r="D3226">
        <v>7</v>
      </c>
      <c r="E3226" t="s">
        <v>5165</v>
      </c>
      <c r="F3226">
        <v>3</v>
      </c>
    </row>
    <row r="3227" spans="2:6" x14ac:dyDescent="0.2">
      <c r="B3227" t="s">
        <v>9844</v>
      </c>
      <c r="C3227" t="s">
        <v>9845</v>
      </c>
      <c r="D3227">
        <v>7</v>
      </c>
      <c r="E3227" t="s">
        <v>4962</v>
      </c>
      <c r="F3227">
        <v>1</v>
      </c>
    </row>
    <row r="3228" spans="2:6" x14ac:dyDescent="0.2">
      <c r="B3228" t="s">
        <v>9846</v>
      </c>
      <c r="C3228" t="s">
        <v>9847</v>
      </c>
      <c r="D3228">
        <v>7</v>
      </c>
      <c r="E3228" t="s">
        <v>2952</v>
      </c>
      <c r="F3228">
        <v>1</v>
      </c>
    </row>
    <row r="3229" spans="2:6" x14ac:dyDescent="0.2">
      <c r="B3229" t="s">
        <v>9848</v>
      </c>
      <c r="C3229" t="s">
        <v>9849</v>
      </c>
      <c r="D3229">
        <v>7</v>
      </c>
      <c r="E3229" t="s">
        <v>2830</v>
      </c>
      <c r="F3229">
        <v>11</v>
      </c>
    </row>
    <row r="3230" spans="2:6" x14ac:dyDescent="0.2">
      <c r="B3230" t="s">
        <v>9850</v>
      </c>
      <c r="C3230" t="s">
        <v>9851</v>
      </c>
      <c r="D3230">
        <v>7</v>
      </c>
      <c r="E3230" t="s">
        <v>3773</v>
      </c>
      <c r="F3230">
        <v>1</v>
      </c>
    </row>
    <row r="3231" spans="2:6" x14ac:dyDescent="0.2">
      <c r="B3231" t="s">
        <v>9852</v>
      </c>
      <c r="C3231" t="s">
        <v>9853</v>
      </c>
      <c r="D3231">
        <v>7</v>
      </c>
      <c r="E3231" t="s">
        <v>9854</v>
      </c>
      <c r="F3231">
        <v>1</v>
      </c>
    </row>
    <row r="3232" spans="2:6" x14ac:dyDescent="0.2">
      <c r="B3232" t="s">
        <v>9855</v>
      </c>
      <c r="C3232" t="s">
        <v>9856</v>
      </c>
      <c r="D3232">
        <v>7</v>
      </c>
      <c r="E3232" t="s">
        <v>2811</v>
      </c>
      <c r="F3232">
        <v>2</v>
      </c>
    </row>
    <row r="3233" spans="2:6" x14ac:dyDescent="0.2">
      <c r="B3233" t="s">
        <v>9857</v>
      </c>
      <c r="C3233" t="s">
        <v>9858</v>
      </c>
      <c r="D3233">
        <v>7</v>
      </c>
      <c r="E3233" t="s">
        <v>9859</v>
      </c>
      <c r="F3233">
        <v>1</v>
      </c>
    </row>
    <row r="3234" spans="2:6" x14ac:dyDescent="0.2">
      <c r="B3234" t="s">
        <v>9860</v>
      </c>
      <c r="C3234" t="s">
        <v>9861</v>
      </c>
      <c r="D3234">
        <v>7</v>
      </c>
      <c r="E3234" t="s">
        <v>7805</v>
      </c>
      <c r="F3234">
        <v>2</v>
      </c>
    </row>
    <row r="3235" spans="2:6" x14ac:dyDescent="0.2">
      <c r="B3235" t="s">
        <v>9862</v>
      </c>
      <c r="C3235" t="s">
        <v>9863</v>
      </c>
      <c r="D3235">
        <v>7</v>
      </c>
      <c r="E3235" t="s">
        <v>3294</v>
      </c>
      <c r="F3235">
        <v>2</v>
      </c>
    </row>
    <row r="3236" spans="2:6" x14ac:dyDescent="0.2">
      <c r="B3236" t="s">
        <v>9864</v>
      </c>
      <c r="C3236" t="s">
        <v>9865</v>
      </c>
      <c r="D3236">
        <v>7</v>
      </c>
      <c r="E3236" t="s">
        <v>9866</v>
      </c>
      <c r="F3236">
        <v>2</v>
      </c>
    </row>
    <row r="3237" spans="2:6" x14ac:dyDescent="0.2">
      <c r="B3237" t="s">
        <v>9867</v>
      </c>
      <c r="C3237" t="s">
        <v>9868</v>
      </c>
      <c r="D3237">
        <v>7</v>
      </c>
      <c r="E3237" t="s">
        <v>3213</v>
      </c>
      <c r="F3237">
        <v>2</v>
      </c>
    </row>
    <row r="3238" spans="2:6" x14ac:dyDescent="0.2">
      <c r="B3238" t="s">
        <v>9869</v>
      </c>
      <c r="C3238" t="s">
        <v>9870</v>
      </c>
      <c r="D3238">
        <v>7</v>
      </c>
      <c r="E3238" t="s">
        <v>9871</v>
      </c>
      <c r="F3238">
        <v>2</v>
      </c>
    </row>
    <row r="3239" spans="2:6" x14ac:dyDescent="0.2">
      <c r="B3239" t="s">
        <v>9872</v>
      </c>
      <c r="C3239" t="s">
        <v>9873</v>
      </c>
      <c r="D3239">
        <v>7</v>
      </c>
      <c r="E3239" t="s">
        <v>9874</v>
      </c>
      <c r="F3239">
        <v>1</v>
      </c>
    </row>
    <row r="3240" spans="2:6" x14ac:dyDescent="0.2">
      <c r="B3240" t="s">
        <v>9875</v>
      </c>
      <c r="C3240" t="s">
        <v>9876</v>
      </c>
      <c r="D3240">
        <v>7</v>
      </c>
      <c r="E3240" t="s">
        <v>3036</v>
      </c>
      <c r="F3240">
        <v>5</v>
      </c>
    </row>
    <row r="3241" spans="2:6" x14ac:dyDescent="0.2">
      <c r="B3241" t="s">
        <v>9877</v>
      </c>
      <c r="C3241" t="s">
        <v>9878</v>
      </c>
      <c r="D3241">
        <v>7</v>
      </c>
      <c r="E3241" t="s">
        <v>2889</v>
      </c>
      <c r="F3241">
        <v>1</v>
      </c>
    </row>
    <row r="3242" spans="2:6" x14ac:dyDescent="0.2">
      <c r="B3242" t="s">
        <v>9879</v>
      </c>
      <c r="C3242" t="s">
        <v>9880</v>
      </c>
      <c r="D3242">
        <v>7</v>
      </c>
      <c r="E3242" t="s">
        <v>9881</v>
      </c>
      <c r="F3242">
        <v>1</v>
      </c>
    </row>
    <row r="3243" spans="2:6" x14ac:dyDescent="0.2">
      <c r="B3243" t="s">
        <v>9882</v>
      </c>
      <c r="C3243" t="s">
        <v>9883</v>
      </c>
      <c r="D3243">
        <v>7</v>
      </c>
      <c r="E3243" t="s">
        <v>3773</v>
      </c>
      <c r="F3243">
        <v>1</v>
      </c>
    </row>
    <row r="3244" spans="2:6" x14ac:dyDescent="0.2">
      <c r="B3244" t="s">
        <v>353</v>
      </c>
      <c r="C3244" t="s">
        <v>9884</v>
      </c>
      <c r="D3244">
        <v>7</v>
      </c>
      <c r="E3244" t="s">
        <v>2949</v>
      </c>
      <c r="F3244">
        <v>1</v>
      </c>
    </row>
    <row r="3245" spans="2:6" x14ac:dyDescent="0.2">
      <c r="B3245" t="s">
        <v>9885</v>
      </c>
      <c r="C3245" t="s">
        <v>6630</v>
      </c>
      <c r="D3245">
        <v>7</v>
      </c>
      <c r="E3245" t="s">
        <v>2915</v>
      </c>
      <c r="F3245">
        <v>2</v>
      </c>
    </row>
    <row r="3246" spans="2:6" x14ac:dyDescent="0.2">
      <c r="B3246" t="s">
        <v>9886</v>
      </c>
      <c r="C3246" t="s">
        <v>9887</v>
      </c>
      <c r="D3246">
        <v>7</v>
      </c>
      <c r="E3246" t="s">
        <v>3250</v>
      </c>
      <c r="F3246">
        <v>1</v>
      </c>
    </row>
    <row r="3247" spans="2:6" x14ac:dyDescent="0.2">
      <c r="B3247" t="s">
        <v>9888</v>
      </c>
      <c r="C3247" t="s">
        <v>9889</v>
      </c>
      <c r="D3247">
        <v>7</v>
      </c>
      <c r="E3247" t="s">
        <v>9453</v>
      </c>
      <c r="F3247">
        <v>4</v>
      </c>
    </row>
    <row r="3248" spans="2:6" x14ac:dyDescent="0.2">
      <c r="B3248" t="s">
        <v>9890</v>
      </c>
      <c r="C3248" t="s">
        <v>9891</v>
      </c>
      <c r="D3248">
        <v>7</v>
      </c>
      <c r="E3248" t="s">
        <v>4635</v>
      </c>
      <c r="F3248">
        <v>20</v>
      </c>
    </row>
    <row r="3249" spans="2:6" x14ac:dyDescent="0.2">
      <c r="B3249" t="s">
        <v>9892</v>
      </c>
      <c r="C3249" t="s">
        <v>9893</v>
      </c>
      <c r="D3249">
        <v>7</v>
      </c>
      <c r="E3249" t="s">
        <v>3036</v>
      </c>
      <c r="F3249">
        <v>1</v>
      </c>
    </row>
    <row r="3250" spans="2:6" x14ac:dyDescent="0.2">
      <c r="B3250" t="s">
        <v>9894</v>
      </c>
      <c r="C3250" t="s">
        <v>9895</v>
      </c>
      <c r="D3250">
        <v>7</v>
      </c>
      <c r="E3250" t="s">
        <v>9896</v>
      </c>
      <c r="F3250">
        <v>12</v>
      </c>
    </row>
    <row r="3251" spans="2:6" x14ac:dyDescent="0.2">
      <c r="B3251" t="s">
        <v>9897</v>
      </c>
      <c r="C3251" t="s">
        <v>9898</v>
      </c>
      <c r="D3251">
        <v>7</v>
      </c>
      <c r="E3251" t="s">
        <v>3957</v>
      </c>
      <c r="F3251">
        <v>2</v>
      </c>
    </row>
    <row r="3252" spans="2:6" x14ac:dyDescent="0.2">
      <c r="B3252" t="s">
        <v>9899</v>
      </c>
      <c r="C3252" t="s">
        <v>9900</v>
      </c>
      <c r="D3252">
        <v>7</v>
      </c>
      <c r="E3252" t="s">
        <v>2906</v>
      </c>
      <c r="F3252">
        <v>5</v>
      </c>
    </row>
    <row r="3253" spans="2:6" x14ac:dyDescent="0.2">
      <c r="B3253" t="s">
        <v>9901</v>
      </c>
      <c r="C3253" t="s">
        <v>9902</v>
      </c>
      <c r="D3253">
        <v>7</v>
      </c>
      <c r="E3253" t="s">
        <v>9903</v>
      </c>
      <c r="F3253">
        <v>1</v>
      </c>
    </row>
    <row r="3254" spans="2:6" x14ac:dyDescent="0.2">
      <c r="B3254" t="s">
        <v>9904</v>
      </c>
      <c r="C3254" t="s">
        <v>9905</v>
      </c>
      <c r="D3254">
        <v>7</v>
      </c>
      <c r="E3254" t="s">
        <v>9906</v>
      </c>
      <c r="F3254">
        <v>21</v>
      </c>
    </row>
    <row r="3255" spans="2:6" x14ac:dyDescent="0.2">
      <c r="B3255" t="s">
        <v>9907</v>
      </c>
      <c r="C3255" t="s">
        <v>9908</v>
      </c>
      <c r="D3255">
        <v>7</v>
      </c>
      <c r="E3255" t="s">
        <v>3294</v>
      </c>
      <c r="F3255">
        <v>2</v>
      </c>
    </row>
    <row r="3256" spans="2:6" x14ac:dyDescent="0.2">
      <c r="B3256" t="s">
        <v>9909</v>
      </c>
      <c r="C3256" t="s">
        <v>9910</v>
      </c>
      <c r="D3256">
        <v>7</v>
      </c>
      <c r="E3256" t="s">
        <v>4195</v>
      </c>
      <c r="F3256">
        <v>7</v>
      </c>
    </row>
    <row r="3257" spans="2:6" x14ac:dyDescent="0.2">
      <c r="B3257" t="s">
        <v>9911</v>
      </c>
      <c r="C3257" t="s">
        <v>9912</v>
      </c>
      <c r="D3257">
        <v>7</v>
      </c>
      <c r="E3257" t="s">
        <v>9913</v>
      </c>
      <c r="F3257">
        <v>1</v>
      </c>
    </row>
    <row r="3258" spans="2:6" x14ac:dyDescent="0.2">
      <c r="B3258" t="s">
        <v>1010</v>
      </c>
      <c r="C3258" t="s">
        <v>9914</v>
      </c>
      <c r="D3258">
        <v>7</v>
      </c>
      <c r="E3258" t="s">
        <v>3808</v>
      </c>
      <c r="F3258">
        <v>2</v>
      </c>
    </row>
    <row r="3259" spans="2:6" x14ac:dyDescent="0.2">
      <c r="B3259" t="s">
        <v>9915</v>
      </c>
      <c r="C3259" t="s">
        <v>6085</v>
      </c>
      <c r="D3259">
        <v>7</v>
      </c>
      <c r="E3259" t="s">
        <v>9916</v>
      </c>
      <c r="F3259">
        <v>1</v>
      </c>
    </row>
    <row r="3260" spans="2:6" x14ac:dyDescent="0.2">
      <c r="B3260" t="s">
        <v>9917</v>
      </c>
      <c r="C3260" t="s">
        <v>9918</v>
      </c>
      <c r="D3260">
        <v>7</v>
      </c>
      <c r="E3260" t="s">
        <v>9919</v>
      </c>
      <c r="F3260">
        <v>11</v>
      </c>
    </row>
    <row r="3261" spans="2:6" x14ac:dyDescent="0.2">
      <c r="B3261" t="s">
        <v>9920</v>
      </c>
      <c r="C3261" t="s">
        <v>9921</v>
      </c>
      <c r="D3261">
        <v>7</v>
      </c>
      <c r="E3261" t="s">
        <v>2830</v>
      </c>
      <c r="F3261">
        <v>4</v>
      </c>
    </row>
    <row r="3262" spans="2:6" x14ac:dyDescent="0.2">
      <c r="B3262" t="s">
        <v>9922</v>
      </c>
      <c r="C3262" t="s">
        <v>9923</v>
      </c>
      <c r="D3262">
        <v>7</v>
      </c>
      <c r="E3262" t="s">
        <v>2974</v>
      </c>
      <c r="F3262">
        <v>2</v>
      </c>
    </row>
    <row r="3263" spans="2:6" x14ac:dyDescent="0.2">
      <c r="B3263" t="s">
        <v>9924</v>
      </c>
      <c r="C3263" t="s">
        <v>9925</v>
      </c>
      <c r="D3263">
        <v>7</v>
      </c>
      <c r="E3263" t="s">
        <v>2889</v>
      </c>
      <c r="F3263">
        <v>3</v>
      </c>
    </row>
    <row r="3264" spans="2:6" x14ac:dyDescent="0.2">
      <c r="B3264" t="s">
        <v>9926</v>
      </c>
      <c r="C3264" t="s">
        <v>9927</v>
      </c>
      <c r="D3264">
        <v>7</v>
      </c>
      <c r="E3264" t="s">
        <v>2921</v>
      </c>
      <c r="F3264">
        <v>8</v>
      </c>
    </row>
    <row r="3265" spans="2:6" x14ac:dyDescent="0.2">
      <c r="B3265" t="s">
        <v>9928</v>
      </c>
      <c r="C3265" t="s">
        <v>9929</v>
      </c>
      <c r="D3265">
        <v>7</v>
      </c>
      <c r="E3265" t="s">
        <v>3042</v>
      </c>
      <c r="F3265">
        <v>1</v>
      </c>
    </row>
    <row r="3266" spans="2:6" x14ac:dyDescent="0.2">
      <c r="B3266" t="s">
        <v>9930</v>
      </c>
      <c r="C3266" t="s">
        <v>9764</v>
      </c>
      <c r="D3266">
        <v>7</v>
      </c>
      <c r="E3266" t="s">
        <v>9931</v>
      </c>
      <c r="F3266">
        <v>3</v>
      </c>
    </row>
    <row r="3267" spans="2:6" x14ac:dyDescent="0.2">
      <c r="B3267" t="s">
        <v>9932</v>
      </c>
      <c r="C3267" t="s">
        <v>9933</v>
      </c>
      <c r="D3267">
        <v>7</v>
      </c>
      <c r="E3267" t="s">
        <v>3081</v>
      </c>
      <c r="F3267">
        <v>1</v>
      </c>
    </row>
    <row r="3268" spans="2:6" x14ac:dyDescent="0.2">
      <c r="B3268" t="s">
        <v>9934</v>
      </c>
      <c r="C3268" t="s">
        <v>9935</v>
      </c>
      <c r="D3268">
        <v>7</v>
      </c>
      <c r="E3268" t="s">
        <v>2855</v>
      </c>
      <c r="F3268">
        <v>6</v>
      </c>
    </row>
    <row r="3269" spans="2:6" x14ac:dyDescent="0.2">
      <c r="B3269" t="s">
        <v>9936</v>
      </c>
      <c r="C3269" t="s">
        <v>9937</v>
      </c>
      <c r="D3269">
        <v>7</v>
      </c>
      <c r="E3269" t="s">
        <v>3495</v>
      </c>
      <c r="F3269">
        <v>3</v>
      </c>
    </row>
    <row r="3270" spans="2:6" x14ac:dyDescent="0.2">
      <c r="B3270" t="s">
        <v>9938</v>
      </c>
      <c r="C3270" t="s">
        <v>9939</v>
      </c>
      <c r="D3270">
        <v>7</v>
      </c>
      <c r="E3270" t="s">
        <v>9940</v>
      </c>
      <c r="F3270">
        <v>2</v>
      </c>
    </row>
    <row r="3271" spans="2:6" x14ac:dyDescent="0.2">
      <c r="B3271" t="s">
        <v>9941</v>
      </c>
      <c r="C3271" t="s">
        <v>9795</v>
      </c>
      <c r="D3271">
        <v>7</v>
      </c>
      <c r="E3271" t="s">
        <v>7290</v>
      </c>
      <c r="F3271">
        <v>7</v>
      </c>
    </row>
    <row r="3272" spans="2:6" x14ac:dyDescent="0.2">
      <c r="B3272" t="s">
        <v>9942</v>
      </c>
      <c r="C3272" t="s">
        <v>9943</v>
      </c>
      <c r="D3272">
        <v>7</v>
      </c>
      <c r="E3272" t="s">
        <v>9944</v>
      </c>
      <c r="F3272">
        <v>20</v>
      </c>
    </row>
    <row r="3273" spans="2:6" x14ac:dyDescent="0.2">
      <c r="B3273" t="s">
        <v>9945</v>
      </c>
      <c r="C3273" t="s">
        <v>9946</v>
      </c>
      <c r="D3273">
        <v>7</v>
      </c>
      <c r="E3273" t="s">
        <v>3957</v>
      </c>
      <c r="F3273">
        <v>3</v>
      </c>
    </row>
    <row r="3274" spans="2:6" x14ac:dyDescent="0.2">
      <c r="B3274" t="s">
        <v>9947</v>
      </c>
      <c r="C3274" t="s">
        <v>9948</v>
      </c>
      <c r="D3274">
        <v>7</v>
      </c>
      <c r="E3274" t="s">
        <v>8005</v>
      </c>
      <c r="F3274">
        <v>9</v>
      </c>
    </row>
    <row r="3275" spans="2:6" x14ac:dyDescent="0.2">
      <c r="B3275" t="s">
        <v>9949</v>
      </c>
      <c r="C3275" t="s">
        <v>9950</v>
      </c>
      <c r="D3275">
        <v>7</v>
      </c>
      <c r="E3275" t="s">
        <v>9951</v>
      </c>
      <c r="F3275">
        <v>6</v>
      </c>
    </row>
    <row r="3276" spans="2:6" x14ac:dyDescent="0.2">
      <c r="B3276" t="s">
        <v>9952</v>
      </c>
      <c r="C3276" t="s">
        <v>9953</v>
      </c>
      <c r="D3276">
        <v>7</v>
      </c>
      <c r="E3276" t="s">
        <v>4050</v>
      </c>
      <c r="F3276">
        <v>2</v>
      </c>
    </row>
    <row r="3277" spans="2:6" x14ac:dyDescent="0.2">
      <c r="B3277" t="s">
        <v>1913</v>
      </c>
      <c r="C3277" t="s">
        <v>9954</v>
      </c>
      <c r="D3277">
        <v>7</v>
      </c>
      <c r="E3277" t="s">
        <v>2906</v>
      </c>
      <c r="F3277">
        <v>2</v>
      </c>
    </row>
    <row r="3278" spans="2:6" x14ac:dyDescent="0.2">
      <c r="B3278" t="s">
        <v>9955</v>
      </c>
      <c r="C3278" t="s">
        <v>9956</v>
      </c>
      <c r="D3278">
        <v>7</v>
      </c>
      <c r="E3278" t="s">
        <v>2814</v>
      </c>
      <c r="F3278">
        <v>55</v>
      </c>
    </row>
    <row r="3279" spans="2:6" x14ac:dyDescent="0.2">
      <c r="B3279" t="s">
        <v>1099</v>
      </c>
      <c r="C3279" t="s">
        <v>9957</v>
      </c>
      <c r="D3279">
        <v>7</v>
      </c>
      <c r="E3279" t="s">
        <v>9958</v>
      </c>
      <c r="F3279">
        <v>1</v>
      </c>
    </row>
    <row r="3280" spans="2:6" x14ac:dyDescent="0.2">
      <c r="B3280" t="s">
        <v>9959</v>
      </c>
      <c r="C3280" t="s">
        <v>9960</v>
      </c>
      <c r="D3280">
        <v>7</v>
      </c>
      <c r="E3280" t="s">
        <v>3067</v>
      </c>
      <c r="F3280">
        <v>1</v>
      </c>
    </row>
    <row r="3281" spans="2:6" x14ac:dyDescent="0.2">
      <c r="B3281" t="s">
        <v>9961</v>
      </c>
      <c r="C3281" t="s">
        <v>9962</v>
      </c>
      <c r="D3281">
        <v>7</v>
      </c>
      <c r="E3281" t="s">
        <v>5890</v>
      </c>
      <c r="F3281">
        <v>8</v>
      </c>
    </row>
    <row r="3282" spans="2:6" x14ac:dyDescent="0.2">
      <c r="B3282" t="s">
        <v>9963</v>
      </c>
      <c r="C3282" t="s">
        <v>9964</v>
      </c>
      <c r="D3282">
        <v>7</v>
      </c>
      <c r="E3282" t="s">
        <v>5128</v>
      </c>
      <c r="F3282">
        <v>2</v>
      </c>
    </row>
    <row r="3283" spans="2:6" x14ac:dyDescent="0.2">
      <c r="B3283" t="s">
        <v>9965</v>
      </c>
      <c r="C3283" t="s">
        <v>9966</v>
      </c>
      <c r="D3283">
        <v>7</v>
      </c>
      <c r="E3283" t="s">
        <v>3133</v>
      </c>
      <c r="F3283">
        <v>1</v>
      </c>
    </row>
    <row r="3284" spans="2:6" x14ac:dyDescent="0.2">
      <c r="B3284" t="s">
        <v>9967</v>
      </c>
      <c r="C3284" t="s">
        <v>5398</v>
      </c>
      <c r="D3284">
        <v>7</v>
      </c>
      <c r="E3284" t="s">
        <v>9968</v>
      </c>
      <c r="F3284">
        <v>6</v>
      </c>
    </row>
    <row r="3285" spans="2:6" x14ac:dyDescent="0.2">
      <c r="B3285" t="s">
        <v>9969</v>
      </c>
      <c r="C3285" t="s">
        <v>9970</v>
      </c>
      <c r="D3285">
        <v>7</v>
      </c>
      <c r="E3285" t="s">
        <v>9971</v>
      </c>
      <c r="F3285">
        <v>2</v>
      </c>
    </row>
    <row r="3286" spans="2:6" x14ac:dyDescent="0.2">
      <c r="B3286" t="s">
        <v>9972</v>
      </c>
      <c r="C3286" t="s">
        <v>9973</v>
      </c>
      <c r="D3286">
        <v>7</v>
      </c>
      <c r="E3286" t="s">
        <v>9974</v>
      </c>
      <c r="F3286">
        <v>2</v>
      </c>
    </row>
    <row r="3287" spans="2:6" x14ac:dyDescent="0.2">
      <c r="B3287" t="s">
        <v>9975</v>
      </c>
      <c r="C3287" t="s">
        <v>9976</v>
      </c>
      <c r="D3287">
        <v>7</v>
      </c>
      <c r="E3287" t="s">
        <v>5147</v>
      </c>
      <c r="F3287">
        <v>6</v>
      </c>
    </row>
    <row r="3288" spans="2:6" x14ac:dyDescent="0.2">
      <c r="B3288" t="s">
        <v>9977</v>
      </c>
      <c r="C3288" t="s">
        <v>9978</v>
      </c>
      <c r="D3288">
        <v>7</v>
      </c>
      <c r="E3288" t="s">
        <v>9979</v>
      </c>
      <c r="F3288">
        <v>8</v>
      </c>
    </row>
    <row r="3289" spans="2:6" x14ac:dyDescent="0.2">
      <c r="B3289" t="s">
        <v>9980</v>
      </c>
      <c r="C3289" t="s">
        <v>9981</v>
      </c>
      <c r="D3289">
        <v>7</v>
      </c>
      <c r="E3289" t="s">
        <v>3495</v>
      </c>
      <c r="F3289">
        <v>15</v>
      </c>
    </row>
    <row r="3290" spans="2:6" x14ac:dyDescent="0.2">
      <c r="B3290" t="s">
        <v>9982</v>
      </c>
      <c r="C3290" t="s">
        <v>9983</v>
      </c>
      <c r="D3290">
        <v>7</v>
      </c>
      <c r="E3290" t="s">
        <v>9984</v>
      </c>
      <c r="F3290">
        <v>2</v>
      </c>
    </row>
    <row r="3291" spans="2:6" x14ac:dyDescent="0.2">
      <c r="B3291" t="s">
        <v>9985</v>
      </c>
      <c r="C3291" t="s">
        <v>9986</v>
      </c>
      <c r="D3291">
        <v>7</v>
      </c>
      <c r="E3291" t="s">
        <v>3330</v>
      </c>
      <c r="F3291">
        <v>3</v>
      </c>
    </row>
    <row r="3292" spans="2:6" x14ac:dyDescent="0.2">
      <c r="B3292" t="s">
        <v>9987</v>
      </c>
      <c r="C3292" t="s">
        <v>9988</v>
      </c>
      <c r="D3292">
        <v>7</v>
      </c>
      <c r="E3292" t="s">
        <v>4299</v>
      </c>
      <c r="F3292">
        <v>2</v>
      </c>
    </row>
    <row r="3293" spans="2:6" x14ac:dyDescent="0.2">
      <c r="B3293" t="s">
        <v>9989</v>
      </c>
      <c r="C3293" t="s">
        <v>9990</v>
      </c>
      <c r="D3293">
        <v>7</v>
      </c>
      <c r="E3293" t="s">
        <v>5829</v>
      </c>
      <c r="F3293">
        <v>4</v>
      </c>
    </row>
    <row r="3294" spans="2:6" x14ac:dyDescent="0.2">
      <c r="B3294" t="s">
        <v>9991</v>
      </c>
      <c r="C3294" t="s">
        <v>9992</v>
      </c>
      <c r="D3294">
        <v>7</v>
      </c>
      <c r="E3294" t="s">
        <v>2974</v>
      </c>
      <c r="F3294">
        <v>1</v>
      </c>
    </row>
    <row r="3295" spans="2:6" x14ac:dyDescent="0.2">
      <c r="B3295" t="s">
        <v>9993</v>
      </c>
      <c r="C3295" t="s">
        <v>9994</v>
      </c>
      <c r="D3295">
        <v>7</v>
      </c>
      <c r="E3295" t="s">
        <v>3381</v>
      </c>
      <c r="F3295">
        <v>1</v>
      </c>
    </row>
    <row r="3296" spans="2:6" x14ac:dyDescent="0.2">
      <c r="B3296" t="s">
        <v>9995</v>
      </c>
      <c r="C3296" t="s">
        <v>9996</v>
      </c>
      <c r="D3296">
        <v>7</v>
      </c>
      <c r="E3296" t="s">
        <v>3036</v>
      </c>
      <c r="F3296">
        <v>9</v>
      </c>
    </row>
    <row r="3297" spans="2:6" x14ac:dyDescent="0.2">
      <c r="B3297" t="s">
        <v>9997</v>
      </c>
      <c r="C3297" t="s">
        <v>9998</v>
      </c>
      <c r="D3297">
        <v>7</v>
      </c>
      <c r="E3297" t="s">
        <v>9999</v>
      </c>
      <c r="F3297">
        <v>1</v>
      </c>
    </row>
    <row r="3298" spans="2:6" x14ac:dyDescent="0.2">
      <c r="B3298" t="s">
        <v>10000</v>
      </c>
      <c r="C3298" t="s">
        <v>10001</v>
      </c>
      <c r="D3298">
        <v>7</v>
      </c>
      <c r="E3298" t="s">
        <v>7805</v>
      </c>
      <c r="F3298">
        <v>15</v>
      </c>
    </row>
    <row r="3299" spans="2:6" x14ac:dyDescent="0.2">
      <c r="B3299" t="s">
        <v>10002</v>
      </c>
      <c r="C3299" t="s">
        <v>10003</v>
      </c>
      <c r="D3299">
        <v>7</v>
      </c>
      <c r="E3299" t="s">
        <v>2958</v>
      </c>
      <c r="F3299">
        <v>3</v>
      </c>
    </row>
    <row r="3300" spans="2:6" x14ac:dyDescent="0.2">
      <c r="B3300" t="s">
        <v>10004</v>
      </c>
      <c r="C3300" t="s">
        <v>10005</v>
      </c>
      <c r="D3300">
        <v>7</v>
      </c>
      <c r="E3300" t="s">
        <v>10006</v>
      </c>
      <c r="F3300">
        <v>1</v>
      </c>
    </row>
    <row r="3301" spans="2:6" x14ac:dyDescent="0.2">
      <c r="B3301" t="s">
        <v>1827</v>
      </c>
      <c r="C3301" t="s">
        <v>10007</v>
      </c>
      <c r="D3301">
        <v>7</v>
      </c>
      <c r="E3301" t="s">
        <v>10008</v>
      </c>
      <c r="F3301">
        <v>2</v>
      </c>
    </row>
    <row r="3302" spans="2:6" x14ac:dyDescent="0.2">
      <c r="B3302" t="s">
        <v>1882</v>
      </c>
      <c r="C3302" t="s">
        <v>10009</v>
      </c>
      <c r="D3302">
        <v>7</v>
      </c>
      <c r="E3302" t="s">
        <v>4972</v>
      </c>
      <c r="F3302">
        <v>1</v>
      </c>
    </row>
    <row r="3303" spans="2:6" x14ac:dyDescent="0.2">
      <c r="B3303" t="s">
        <v>10010</v>
      </c>
      <c r="C3303" t="s">
        <v>10011</v>
      </c>
      <c r="D3303">
        <v>7</v>
      </c>
      <c r="E3303" t="s">
        <v>3165</v>
      </c>
      <c r="F3303">
        <v>10</v>
      </c>
    </row>
    <row r="3304" spans="2:6" x14ac:dyDescent="0.2">
      <c r="B3304" t="s">
        <v>10012</v>
      </c>
      <c r="C3304" t="s">
        <v>10013</v>
      </c>
      <c r="D3304">
        <v>7</v>
      </c>
      <c r="E3304" t="s">
        <v>3839</v>
      </c>
      <c r="F3304">
        <v>1</v>
      </c>
    </row>
    <row r="3305" spans="2:6" x14ac:dyDescent="0.2">
      <c r="B3305" t="s">
        <v>10014</v>
      </c>
      <c r="C3305" t="s">
        <v>10015</v>
      </c>
      <c r="D3305">
        <v>7</v>
      </c>
      <c r="E3305" t="s">
        <v>10016</v>
      </c>
      <c r="F3305">
        <v>1</v>
      </c>
    </row>
    <row r="3306" spans="2:6" x14ac:dyDescent="0.2">
      <c r="B3306" t="s">
        <v>10017</v>
      </c>
      <c r="C3306" t="s">
        <v>3347</v>
      </c>
      <c r="D3306">
        <v>7</v>
      </c>
      <c r="E3306" t="s">
        <v>10018</v>
      </c>
      <c r="F3306">
        <v>2</v>
      </c>
    </row>
    <row r="3307" spans="2:6" x14ac:dyDescent="0.2">
      <c r="B3307" t="s">
        <v>10019</v>
      </c>
      <c r="C3307" t="s">
        <v>9307</v>
      </c>
      <c r="D3307">
        <v>7</v>
      </c>
      <c r="E3307" t="s">
        <v>3153</v>
      </c>
      <c r="F3307">
        <v>2</v>
      </c>
    </row>
    <row r="3308" spans="2:6" x14ac:dyDescent="0.2">
      <c r="B3308" t="s">
        <v>1607</v>
      </c>
      <c r="C3308" t="s">
        <v>10020</v>
      </c>
      <c r="D3308">
        <v>7</v>
      </c>
      <c r="E3308" t="s">
        <v>3190</v>
      </c>
      <c r="F3308">
        <v>2</v>
      </c>
    </row>
    <row r="3309" spans="2:6" x14ac:dyDescent="0.2">
      <c r="B3309" t="s">
        <v>10021</v>
      </c>
      <c r="C3309" t="s">
        <v>10022</v>
      </c>
      <c r="D3309">
        <v>7</v>
      </c>
      <c r="E3309" t="s">
        <v>3386</v>
      </c>
      <c r="F3309">
        <v>1</v>
      </c>
    </row>
    <row r="3310" spans="2:6" x14ac:dyDescent="0.2">
      <c r="B3310" t="s">
        <v>10023</v>
      </c>
      <c r="C3310" t="s">
        <v>10024</v>
      </c>
      <c r="D3310">
        <v>7</v>
      </c>
      <c r="E3310" t="s">
        <v>10025</v>
      </c>
      <c r="F3310">
        <v>1</v>
      </c>
    </row>
    <row r="3311" spans="2:6" x14ac:dyDescent="0.2">
      <c r="B3311" t="s">
        <v>10026</v>
      </c>
      <c r="C3311" t="s">
        <v>10027</v>
      </c>
      <c r="D3311">
        <v>7</v>
      </c>
      <c r="E3311" t="s">
        <v>2921</v>
      </c>
      <c r="F3311">
        <v>2</v>
      </c>
    </row>
    <row r="3312" spans="2:6" x14ac:dyDescent="0.2">
      <c r="B3312" t="s">
        <v>10028</v>
      </c>
      <c r="C3312" t="s">
        <v>10029</v>
      </c>
      <c r="D3312">
        <v>7</v>
      </c>
      <c r="E3312" t="s">
        <v>4575</v>
      </c>
      <c r="F3312">
        <v>10</v>
      </c>
    </row>
    <row r="3313" spans="2:6" x14ac:dyDescent="0.2">
      <c r="B3313" t="s">
        <v>10030</v>
      </c>
      <c r="C3313" t="s">
        <v>10031</v>
      </c>
      <c r="D3313">
        <v>7</v>
      </c>
      <c r="E3313" t="s">
        <v>3153</v>
      </c>
      <c r="F3313">
        <v>1</v>
      </c>
    </row>
    <row r="3314" spans="2:6" x14ac:dyDescent="0.2">
      <c r="B3314" t="s">
        <v>10032</v>
      </c>
      <c r="C3314" t="s">
        <v>10033</v>
      </c>
      <c r="D3314">
        <v>7</v>
      </c>
      <c r="E3314" t="s">
        <v>2839</v>
      </c>
      <c r="F3314">
        <v>4</v>
      </c>
    </row>
    <row r="3315" spans="2:6" x14ac:dyDescent="0.2">
      <c r="B3315" t="s">
        <v>10034</v>
      </c>
      <c r="C3315" t="s">
        <v>10035</v>
      </c>
      <c r="D3315">
        <v>7</v>
      </c>
      <c r="E3315" t="s">
        <v>3386</v>
      </c>
      <c r="F3315">
        <v>1</v>
      </c>
    </row>
    <row r="3316" spans="2:6" x14ac:dyDescent="0.2">
      <c r="B3316" t="s">
        <v>10036</v>
      </c>
      <c r="C3316" t="s">
        <v>10037</v>
      </c>
      <c r="D3316">
        <v>7</v>
      </c>
      <c r="E3316" t="s">
        <v>2850</v>
      </c>
      <c r="F3316">
        <v>15</v>
      </c>
    </row>
    <row r="3317" spans="2:6" x14ac:dyDescent="0.2">
      <c r="B3317" t="s">
        <v>10038</v>
      </c>
      <c r="C3317" t="s">
        <v>10039</v>
      </c>
      <c r="D3317">
        <v>7</v>
      </c>
      <c r="E3317" t="s">
        <v>3575</v>
      </c>
      <c r="F3317">
        <v>4</v>
      </c>
    </row>
    <row r="3318" spans="2:6" x14ac:dyDescent="0.2">
      <c r="B3318" t="s">
        <v>10040</v>
      </c>
      <c r="C3318" t="s">
        <v>10041</v>
      </c>
      <c r="D3318">
        <v>7</v>
      </c>
      <c r="E3318" t="s">
        <v>7054</v>
      </c>
      <c r="F3318">
        <v>1</v>
      </c>
    </row>
    <row r="3319" spans="2:6" x14ac:dyDescent="0.2">
      <c r="B3319" t="s">
        <v>10042</v>
      </c>
      <c r="C3319" t="s">
        <v>10043</v>
      </c>
      <c r="D3319">
        <v>7</v>
      </c>
      <c r="E3319" t="s">
        <v>2889</v>
      </c>
      <c r="F3319">
        <v>1</v>
      </c>
    </row>
    <row r="3320" spans="2:6" x14ac:dyDescent="0.2">
      <c r="B3320" t="s">
        <v>10044</v>
      </c>
      <c r="C3320" t="s">
        <v>10045</v>
      </c>
      <c r="D3320">
        <v>7</v>
      </c>
      <c r="E3320" t="s">
        <v>3106</v>
      </c>
      <c r="F3320">
        <v>18</v>
      </c>
    </row>
    <row r="3321" spans="2:6" x14ac:dyDescent="0.2">
      <c r="B3321" t="s">
        <v>10046</v>
      </c>
      <c r="C3321" t="s">
        <v>10047</v>
      </c>
      <c r="D3321">
        <v>7</v>
      </c>
      <c r="E3321" t="s">
        <v>2930</v>
      </c>
      <c r="F3321">
        <v>2</v>
      </c>
    </row>
    <row r="3322" spans="2:6" x14ac:dyDescent="0.2">
      <c r="B3322" t="s">
        <v>1902</v>
      </c>
      <c r="C3322" t="s">
        <v>10048</v>
      </c>
      <c r="D3322">
        <v>7</v>
      </c>
      <c r="E3322" t="s">
        <v>2819</v>
      </c>
      <c r="F3322">
        <v>2</v>
      </c>
    </row>
    <row r="3323" spans="2:6" x14ac:dyDescent="0.2">
      <c r="B3323" t="s">
        <v>833</v>
      </c>
      <c r="C3323" t="s">
        <v>10049</v>
      </c>
      <c r="D3323">
        <v>7</v>
      </c>
      <c r="E3323" t="s">
        <v>4593</v>
      </c>
      <c r="F3323">
        <v>22</v>
      </c>
    </row>
    <row r="3324" spans="2:6" x14ac:dyDescent="0.2">
      <c r="B3324" t="s">
        <v>10050</v>
      </c>
      <c r="C3324" t="s">
        <v>10051</v>
      </c>
      <c r="D3324">
        <v>7</v>
      </c>
      <c r="E3324" t="s">
        <v>4690</v>
      </c>
      <c r="F3324">
        <v>2</v>
      </c>
    </row>
    <row r="3325" spans="2:6" x14ac:dyDescent="0.2">
      <c r="B3325" t="s">
        <v>10052</v>
      </c>
      <c r="C3325" t="s">
        <v>10053</v>
      </c>
      <c r="D3325">
        <v>7</v>
      </c>
      <c r="E3325" t="s">
        <v>10054</v>
      </c>
      <c r="F3325">
        <v>4</v>
      </c>
    </row>
    <row r="3326" spans="2:6" x14ac:dyDescent="0.2">
      <c r="B3326" t="s">
        <v>10055</v>
      </c>
      <c r="C3326" t="s">
        <v>10056</v>
      </c>
      <c r="D3326">
        <v>7</v>
      </c>
      <c r="E3326" t="s">
        <v>3475</v>
      </c>
      <c r="F3326">
        <v>1</v>
      </c>
    </row>
    <row r="3327" spans="2:6" x14ac:dyDescent="0.2">
      <c r="B3327" t="s">
        <v>150</v>
      </c>
      <c r="C3327" t="s">
        <v>10057</v>
      </c>
      <c r="D3327">
        <v>7</v>
      </c>
      <c r="E3327" t="s">
        <v>3786</v>
      </c>
      <c r="F3327">
        <v>6</v>
      </c>
    </row>
    <row r="3328" spans="2:6" x14ac:dyDescent="0.2">
      <c r="B3328" t="s">
        <v>10058</v>
      </c>
      <c r="C3328" t="s">
        <v>10059</v>
      </c>
      <c r="D3328">
        <v>7</v>
      </c>
      <c r="E3328" t="s">
        <v>6170</v>
      </c>
      <c r="F3328">
        <v>1</v>
      </c>
    </row>
    <row r="3329" spans="2:6" x14ac:dyDescent="0.2">
      <c r="B3329" t="s">
        <v>10060</v>
      </c>
      <c r="C3329" t="s">
        <v>8418</v>
      </c>
      <c r="D3329">
        <v>7</v>
      </c>
      <c r="E3329" t="s">
        <v>10061</v>
      </c>
      <c r="F3329">
        <v>2</v>
      </c>
    </row>
    <row r="3330" spans="2:6" x14ac:dyDescent="0.2">
      <c r="B3330" t="s">
        <v>10062</v>
      </c>
      <c r="C3330" t="s">
        <v>10063</v>
      </c>
      <c r="D3330">
        <v>7</v>
      </c>
      <c r="E3330" t="s">
        <v>2805</v>
      </c>
      <c r="F3330">
        <v>1</v>
      </c>
    </row>
    <row r="3331" spans="2:6" x14ac:dyDescent="0.2">
      <c r="B3331" t="s">
        <v>10064</v>
      </c>
      <c r="C3331" t="s">
        <v>10065</v>
      </c>
      <c r="D3331">
        <v>7</v>
      </c>
      <c r="E3331" t="s">
        <v>2892</v>
      </c>
      <c r="F3331">
        <v>1</v>
      </c>
    </row>
    <row r="3332" spans="2:6" x14ac:dyDescent="0.2">
      <c r="B3332" t="s">
        <v>10066</v>
      </c>
      <c r="C3332" t="s">
        <v>10067</v>
      </c>
      <c r="D3332">
        <v>7</v>
      </c>
      <c r="E3332" t="s">
        <v>3109</v>
      </c>
      <c r="F3332">
        <v>1</v>
      </c>
    </row>
    <row r="3333" spans="2:6" x14ac:dyDescent="0.2">
      <c r="B3333" t="s">
        <v>769</v>
      </c>
      <c r="C3333" t="s">
        <v>10068</v>
      </c>
      <c r="D3333">
        <v>7</v>
      </c>
      <c r="E3333" t="s">
        <v>3591</v>
      </c>
      <c r="F3333">
        <v>5</v>
      </c>
    </row>
    <row r="3334" spans="2:6" x14ac:dyDescent="0.2">
      <c r="B3334" t="s">
        <v>10069</v>
      </c>
      <c r="C3334" t="s">
        <v>8545</v>
      </c>
      <c r="D3334">
        <v>7</v>
      </c>
      <c r="E3334" t="s">
        <v>3688</v>
      </c>
      <c r="F3334">
        <v>1</v>
      </c>
    </row>
    <row r="3335" spans="2:6" x14ac:dyDescent="0.2">
      <c r="B3335" t="s">
        <v>10070</v>
      </c>
      <c r="C3335" t="s">
        <v>10071</v>
      </c>
      <c r="D3335">
        <v>7</v>
      </c>
      <c r="E3335" t="s">
        <v>10072</v>
      </c>
      <c r="F3335">
        <v>3</v>
      </c>
    </row>
    <row r="3336" spans="2:6" x14ac:dyDescent="0.2">
      <c r="B3336" t="s">
        <v>10073</v>
      </c>
      <c r="C3336" t="s">
        <v>10074</v>
      </c>
      <c r="D3336">
        <v>7</v>
      </c>
      <c r="E3336" t="s">
        <v>3628</v>
      </c>
      <c r="F3336">
        <v>4</v>
      </c>
    </row>
    <row r="3337" spans="2:6" x14ac:dyDescent="0.2">
      <c r="B3337" t="s">
        <v>1007</v>
      </c>
      <c r="C3337" t="s">
        <v>10075</v>
      </c>
      <c r="D3337">
        <v>7</v>
      </c>
      <c r="E3337" t="s">
        <v>3139</v>
      </c>
      <c r="F3337">
        <v>2</v>
      </c>
    </row>
    <row r="3338" spans="2:6" x14ac:dyDescent="0.2">
      <c r="B3338" t="s">
        <v>10076</v>
      </c>
      <c r="C3338" t="s">
        <v>10077</v>
      </c>
      <c r="D3338">
        <v>7</v>
      </c>
      <c r="E3338" t="s">
        <v>2892</v>
      </c>
      <c r="F3338">
        <v>4</v>
      </c>
    </row>
    <row r="3339" spans="2:6" x14ac:dyDescent="0.2">
      <c r="B3339" t="s">
        <v>10078</v>
      </c>
      <c r="C3339" t="s">
        <v>10079</v>
      </c>
      <c r="D3339">
        <v>7</v>
      </c>
      <c r="E3339" t="s">
        <v>10080</v>
      </c>
      <c r="F3339">
        <v>18</v>
      </c>
    </row>
    <row r="3340" spans="2:6" x14ac:dyDescent="0.2">
      <c r="B3340" t="s">
        <v>10081</v>
      </c>
      <c r="C3340" t="s">
        <v>10082</v>
      </c>
      <c r="D3340">
        <v>7</v>
      </c>
      <c r="E3340" t="s">
        <v>4520</v>
      </c>
      <c r="F3340">
        <v>1</v>
      </c>
    </row>
    <row r="3341" spans="2:6" x14ac:dyDescent="0.2">
      <c r="B3341" t="s">
        <v>10083</v>
      </c>
      <c r="C3341" t="s">
        <v>10084</v>
      </c>
      <c r="D3341">
        <v>7</v>
      </c>
      <c r="E3341" t="s">
        <v>7528</v>
      </c>
      <c r="F3341">
        <v>2</v>
      </c>
    </row>
    <row r="3342" spans="2:6" x14ac:dyDescent="0.2">
      <c r="B3342" t="s">
        <v>869</v>
      </c>
      <c r="C3342" t="s">
        <v>10085</v>
      </c>
      <c r="D3342">
        <v>7</v>
      </c>
      <c r="E3342" t="s">
        <v>2788</v>
      </c>
      <c r="F3342">
        <v>3</v>
      </c>
    </row>
    <row r="3343" spans="2:6" x14ac:dyDescent="0.2">
      <c r="B3343" t="s">
        <v>10086</v>
      </c>
      <c r="C3343" t="s">
        <v>10087</v>
      </c>
      <c r="D3343">
        <v>7</v>
      </c>
      <c r="E3343" t="s">
        <v>4358</v>
      </c>
      <c r="F3343">
        <v>4</v>
      </c>
    </row>
    <row r="3344" spans="2:6" x14ac:dyDescent="0.2">
      <c r="B3344" t="s">
        <v>1984</v>
      </c>
      <c r="C3344" t="s">
        <v>10088</v>
      </c>
      <c r="D3344">
        <v>7</v>
      </c>
      <c r="E3344" t="s">
        <v>3031</v>
      </c>
      <c r="F3344">
        <v>3</v>
      </c>
    </row>
    <row r="3345" spans="2:6" x14ac:dyDescent="0.2">
      <c r="B3345" t="s">
        <v>10089</v>
      </c>
      <c r="C3345" t="s">
        <v>10090</v>
      </c>
      <c r="D3345">
        <v>7</v>
      </c>
      <c r="E3345" t="s">
        <v>3455</v>
      </c>
      <c r="F3345">
        <v>1</v>
      </c>
    </row>
    <row r="3346" spans="2:6" x14ac:dyDescent="0.2">
      <c r="B3346" t="s">
        <v>10091</v>
      </c>
      <c r="C3346" t="s">
        <v>10092</v>
      </c>
      <c r="D3346">
        <v>7</v>
      </c>
      <c r="E3346" t="s">
        <v>3084</v>
      </c>
      <c r="F3346">
        <v>1</v>
      </c>
    </row>
    <row r="3347" spans="2:6" x14ac:dyDescent="0.2">
      <c r="B3347" t="s">
        <v>1720</v>
      </c>
      <c r="C3347" t="s">
        <v>10093</v>
      </c>
      <c r="D3347">
        <v>7</v>
      </c>
      <c r="E3347" t="s">
        <v>6918</v>
      </c>
      <c r="F3347">
        <v>1</v>
      </c>
    </row>
    <row r="3348" spans="2:6" x14ac:dyDescent="0.2">
      <c r="B3348" t="s">
        <v>10094</v>
      </c>
      <c r="C3348" t="s">
        <v>10095</v>
      </c>
      <c r="D3348">
        <v>7</v>
      </c>
      <c r="E3348" t="s">
        <v>10096</v>
      </c>
      <c r="F3348">
        <v>2</v>
      </c>
    </row>
    <row r="3349" spans="2:6" x14ac:dyDescent="0.2">
      <c r="B3349" t="s">
        <v>10097</v>
      </c>
      <c r="C3349" t="s">
        <v>6978</v>
      </c>
      <c r="D3349">
        <v>7</v>
      </c>
      <c r="E3349" t="s">
        <v>2915</v>
      </c>
      <c r="F3349">
        <v>2</v>
      </c>
    </row>
    <row r="3350" spans="2:6" x14ac:dyDescent="0.2">
      <c r="B3350" t="s">
        <v>10098</v>
      </c>
      <c r="C3350" t="s">
        <v>10099</v>
      </c>
      <c r="D3350">
        <v>7</v>
      </c>
      <c r="E3350" t="s">
        <v>2974</v>
      </c>
      <c r="F3350">
        <v>5</v>
      </c>
    </row>
    <row r="3351" spans="2:6" x14ac:dyDescent="0.2">
      <c r="B3351" t="s">
        <v>10100</v>
      </c>
      <c r="C3351" t="s">
        <v>10101</v>
      </c>
      <c r="D3351">
        <v>7</v>
      </c>
      <c r="E3351" t="s">
        <v>10102</v>
      </c>
      <c r="F3351">
        <v>1</v>
      </c>
    </row>
    <row r="3352" spans="2:6" x14ac:dyDescent="0.2">
      <c r="B3352" t="s">
        <v>10103</v>
      </c>
      <c r="C3352" t="s">
        <v>10104</v>
      </c>
      <c r="D3352">
        <v>7</v>
      </c>
      <c r="E3352" t="s">
        <v>10105</v>
      </c>
      <c r="F3352">
        <v>1</v>
      </c>
    </row>
    <row r="3353" spans="2:6" x14ac:dyDescent="0.2">
      <c r="B3353" t="s">
        <v>10106</v>
      </c>
      <c r="C3353" t="s">
        <v>8804</v>
      </c>
      <c r="D3353">
        <v>7</v>
      </c>
      <c r="E3353" t="s">
        <v>10107</v>
      </c>
      <c r="F3353">
        <v>3</v>
      </c>
    </row>
    <row r="3354" spans="2:6" x14ac:dyDescent="0.2">
      <c r="B3354" t="s">
        <v>10108</v>
      </c>
      <c r="C3354" t="s">
        <v>10109</v>
      </c>
      <c r="D3354">
        <v>7</v>
      </c>
      <c r="E3354" t="s">
        <v>7831</v>
      </c>
      <c r="F3354">
        <v>6</v>
      </c>
    </row>
    <row r="3355" spans="2:6" x14ac:dyDescent="0.2">
      <c r="B3355" t="s">
        <v>10110</v>
      </c>
      <c r="C3355" t="s">
        <v>10111</v>
      </c>
      <c r="D3355">
        <v>7</v>
      </c>
      <c r="E3355" t="s">
        <v>4590</v>
      </c>
      <c r="F3355">
        <v>2</v>
      </c>
    </row>
    <row r="3356" spans="2:6" x14ac:dyDescent="0.2">
      <c r="B3356" t="s">
        <v>10112</v>
      </c>
      <c r="C3356" t="s">
        <v>10113</v>
      </c>
      <c r="D3356">
        <v>7</v>
      </c>
      <c r="E3356" t="s">
        <v>2921</v>
      </c>
      <c r="F3356">
        <v>2</v>
      </c>
    </row>
    <row r="3357" spans="2:6" x14ac:dyDescent="0.2">
      <c r="B3357" t="s">
        <v>10114</v>
      </c>
      <c r="C3357" t="s">
        <v>10115</v>
      </c>
      <c r="D3357">
        <v>7</v>
      </c>
      <c r="E3357" t="s">
        <v>10116</v>
      </c>
      <c r="F3357">
        <v>1</v>
      </c>
    </row>
    <row r="3358" spans="2:6" x14ac:dyDescent="0.2">
      <c r="B3358" t="s">
        <v>10117</v>
      </c>
      <c r="C3358" t="s">
        <v>10118</v>
      </c>
      <c r="D3358">
        <v>7</v>
      </c>
      <c r="E3358" t="s">
        <v>10119</v>
      </c>
      <c r="F3358">
        <v>2</v>
      </c>
    </row>
    <row r="3359" spans="2:6" x14ac:dyDescent="0.2">
      <c r="B3359" t="s">
        <v>10120</v>
      </c>
      <c r="C3359" t="s">
        <v>10121</v>
      </c>
      <c r="D3359">
        <v>7</v>
      </c>
      <c r="E3359" t="s">
        <v>3586</v>
      </c>
      <c r="F3359">
        <v>1</v>
      </c>
    </row>
    <row r="3360" spans="2:6" x14ac:dyDescent="0.2">
      <c r="B3360" t="s">
        <v>10122</v>
      </c>
      <c r="C3360" t="s">
        <v>10123</v>
      </c>
      <c r="D3360">
        <v>7</v>
      </c>
      <c r="E3360" t="s">
        <v>3162</v>
      </c>
      <c r="F3360">
        <v>1</v>
      </c>
    </row>
    <row r="3361" spans="2:6" x14ac:dyDescent="0.2">
      <c r="B3361" t="s">
        <v>10124</v>
      </c>
      <c r="C3361" t="s">
        <v>10125</v>
      </c>
      <c r="D3361">
        <v>7</v>
      </c>
      <c r="E3361" t="s">
        <v>5502</v>
      </c>
      <c r="F3361">
        <v>1</v>
      </c>
    </row>
    <row r="3362" spans="2:6" x14ac:dyDescent="0.2">
      <c r="B3362" t="s">
        <v>10126</v>
      </c>
      <c r="C3362" t="s">
        <v>10127</v>
      </c>
      <c r="D3362">
        <v>7</v>
      </c>
      <c r="E3362" t="s">
        <v>3402</v>
      </c>
      <c r="F3362">
        <v>1</v>
      </c>
    </row>
    <row r="3363" spans="2:6" x14ac:dyDescent="0.2">
      <c r="B3363" t="s">
        <v>10128</v>
      </c>
      <c r="C3363" t="s">
        <v>10129</v>
      </c>
      <c r="D3363">
        <v>7</v>
      </c>
      <c r="E3363" t="s">
        <v>5525</v>
      </c>
      <c r="F3363">
        <v>1</v>
      </c>
    </row>
    <row r="3364" spans="2:6" x14ac:dyDescent="0.2">
      <c r="B3364" t="s">
        <v>10130</v>
      </c>
      <c r="C3364" t="s">
        <v>10131</v>
      </c>
      <c r="D3364">
        <v>7</v>
      </c>
      <c r="E3364" t="s">
        <v>3213</v>
      </c>
      <c r="F3364">
        <v>1</v>
      </c>
    </row>
    <row r="3365" spans="2:6" x14ac:dyDescent="0.2">
      <c r="B3365" t="s">
        <v>10132</v>
      </c>
      <c r="C3365" t="s">
        <v>8363</v>
      </c>
      <c r="D3365">
        <v>7</v>
      </c>
      <c r="E3365" t="s">
        <v>10133</v>
      </c>
      <c r="F3365">
        <v>1</v>
      </c>
    </row>
    <row r="3366" spans="2:6" x14ac:dyDescent="0.2">
      <c r="B3366" t="s">
        <v>10134</v>
      </c>
      <c r="C3366" t="s">
        <v>10135</v>
      </c>
      <c r="D3366">
        <v>7</v>
      </c>
      <c r="E3366" t="s">
        <v>2788</v>
      </c>
      <c r="F3366">
        <v>1</v>
      </c>
    </row>
    <row r="3367" spans="2:6" x14ac:dyDescent="0.2">
      <c r="B3367" t="s">
        <v>10136</v>
      </c>
      <c r="C3367" t="s">
        <v>10137</v>
      </c>
      <c r="D3367">
        <v>7</v>
      </c>
      <c r="E3367" t="s">
        <v>10138</v>
      </c>
      <c r="F3367">
        <v>1</v>
      </c>
    </row>
    <row r="3368" spans="2:6" x14ac:dyDescent="0.2">
      <c r="B3368" t="s">
        <v>1106</v>
      </c>
      <c r="C3368" t="s">
        <v>10139</v>
      </c>
      <c r="D3368">
        <v>7</v>
      </c>
      <c r="E3368" t="s">
        <v>6265</v>
      </c>
      <c r="F3368">
        <v>10</v>
      </c>
    </row>
    <row r="3369" spans="2:6" x14ac:dyDescent="0.2">
      <c r="B3369" t="s">
        <v>10140</v>
      </c>
      <c r="C3369" t="s">
        <v>10141</v>
      </c>
      <c r="D3369">
        <v>7</v>
      </c>
      <c r="E3369" t="s">
        <v>3628</v>
      </c>
      <c r="F3369">
        <v>1</v>
      </c>
    </row>
    <row r="3370" spans="2:6" x14ac:dyDescent="0.2">
      <c r="B3370" t="s">
        <v>10142</v>
      </c>
      <c r="C3370" t="s">
        <v>10143</v>
      </c>
      <c r="D3370">
        <v>7</v>
      </c>
      <c r="E3370" t="s">
        <v>4151</v>
      </c>
      <c r="F3370">
        <v>2</v>
      </c>
    </row>
    <row r="3371" spans="2:6" x14ac:dyDescent="0.2">
      <c r="B3371" t="s">
        <v>10144</v>
      </c>
      <c r="C3371" t="s">
        <v>10145</v>
      </c>
      <c r="D3371">
        <v>7</v>
      </c>
      <c r="E3371" t="s">
        <v>3232</v>
      </c>
      <c r="F3371">
        <v>1</v>
      </c>
    </row>
    <row r="3372" spans="2:6" x14ac:dyDescent="0.2">
      <c r="B3372" t="s">
        <v>10146</v>
      </c>
      <c r="C3372" t="s">
        <v>10147</v>
      </c>
      <c r="D3372">
        <v>7</v>
      </c>
      <c r="E3372" t="s">
        <v>5812</v>
      </c>
      <c r="F3372">
        <v>1</v>
      </c>
    </row>
    <row r="3373" spans="2:6" x14ac:dyDescent="0.2">
      <c r="B3373" t="s">
        <v>10148</v>
      </c>
      <c r="C3373" t="s">
        <v>10149</v>
      </c>
      <c r="D3373">
        <v>7</v>
      </c>
      <c r="E3373" t="s">
        <v>10150</v>
      </c>
      <c r="F3373">
        <v>1</v>
      </c>
    </row>
    <row r="3374" spans="2:6" x14ac:dyDescent="0.2">
      <c r="B3374" t="s">
        <v>10151</v>
      </c>
      <c r="C3374" t="s">
        <v>10152</v>
      </c>
      <c r="D3374">
        <v>7</v>
      </c>
      <c r="E3374" t="s">
        <v>10153</v>
      </c>
      <c r="F3374">
        <v>2</v>
      </c>
    </row>
    <row r="3375" spans="2:6" x14ac:dyDescent="0.2">
      <c r="B3375" t="s">
        <v>10154</v>
      </c>
      <c r="C3375" t="s">
        <v>10155</v>
      </c>
      <c r="D3375">
        <v>7</v>
      </c>
      <c r="E3375" t="s">
        <v>10156</v>
      </c>
      <c r="F3375">
        <v>8</v>
      </c>
    </row>
    <row r="3376" spans="2:6" x14ac:dyDescent="0.2">
      <c r="B3376" t="s">
        <v>10157</v>
      </c>
      <c r="C3376" t="s">
        <v>10158</v>
      </c>
      <c r="D3376">
        <v>7</v>
      </c>
      <c r="E3376" t="s">
        <v>8494</v>
      </c>
      <c r="F3376">
        <v>3</v>
      </c>
    </row>
    <row r="3377" spans="2:6" x14ac:dyDescent="0.2">
      <c r="B3377" t="s">
        <v>2049</v>
      </c>
      <c r="C3377" t="s">
        <v>10159</v>
      </c>
      <c r="D3377">
        <v>7</v>
      </c>
      <c r="E3377" t="s">
        <v>5020</v>
      </c>
      <c r="F3377">
        <v>9</v>
      </c>
    </row>
    <row r="3378" spans="2:6" x14ac:dyDescent="0.2">
      <c r="B3378" t="s">
        <v>1048</v>
      </c>
      <c r="C3378" t="s">
        <v>7635</v>
      </c>
      <c r="D3378">
        <v>7</v>
      </c>
      <c r="E3378" t="s">
        <v>3591</v>
      </c>
      <c r="F3378">
        <v>1</v>
      </c>
    </row>
    <row r="3379" spans="2:6" x14ac:dyDescent="0.2">
      <c r="B3379" t="s">
        <v>10160</v>
      </c>
      <c r="C3379" t="s">
        <v>10161</v>
      </c>
      <c r="D3379">
        <v>7</v>
      </c>
      <c r="E3379" t="s">
        <v>10162</v>
      </c>
      <c r="F3379">
        <v>4</v>
      </c>
    </row>
    <row r="3380" spans="2:6" x14ac:dyDescent="0.2">
      <c r="B3380" t="s">
        <v>10163</v>
      </c>
      <c r="C3380" t="s">
        <v>10164</v>
      </c>
      <c r="D3380">
        <v>7</v>
      </c>
      <c r="E3380" t="s">
        <v>2892</v>
      </c>
      <c r="F3380">
        <v>2</v>
      </c>
    </row>
    <row r="3381" spans="2:6" x14ac:dyDescent="0.2">
      <c r="B3381" t="s">
        <v>10165</v>
      </c>
      <c r="C3381" t="s">
        <v>10166</v>
      </c>
      <c r="D3381">
        <v>7</v>
      </c>
      <c r="E3381" t="s">
        <v>3455</v>
      </c>
      <c r="F3381">
        <v>2</v>
      </c>
    </row>
    <row r="3382" spans="2:6" x14ac:dyDescent="0.2">
      <c r="B3382" t="s">
        <v>10167</v>
      </c>
      <c r="C3382" t="s">
        <v>10168</v>
      </c>
      <c r="D3382">
        <v>7</v>
      </c>
      <c r="E3382" t="s">
        <v>6566</v>
      </c>
      <c r="F3382">
        <v>35</v>
      </c>
    </row>
    <row r="3383" spans="2:6" x14ac:dyDescent="0.2">
      <c r="B3383" t="s">
        <v>10169</v>
      </c>
      <c r="C3383" t="s">
        <v>10170</v>
      </c>
      <c r="D3383">
        <v>7</v>
      </c>
      <c r="E3383" t="s">
        <v>5829</v>
      </c>
      <c r="F3383">
        <v>2</v>
      </c>
    </row>
    <row r="3384" spans="2:6" x14ac:dyDescent="0.2">
      <c r="B3384" t="s">
        <v>10171</v>
      </c>
      <c r="C3384" t="s">
        <v>10172</v>
      </c>
      <c r="D3384">
        <v>7</v>
      </c>
      <c r="E3384" t="s">
        <v>2169</v>
      </c>
      <c r="F3384">
        <v>19</v>
      </c>
    </row>
    <row r="3385" spans="2:6" x14ac:dyDescent="0.2">
      <c r="B3385" t="s">
        <v>10173</v>
      </c>
      <c r="C3385" t="s">
        <v>10174</v>
      </c>
      <c r="D3385">
        <v>7</v>
      </c>
      <c r="E3385" t="s">
        <v>4068</v>
      </c>
      <c r="F3385">
        <v>1</v>
      </c>
    </row>
    <row r="3386" spans="2:6" x14ac:dyDescent="0.2">
      <c r="B3386" t="s">
        <v>10175</v>
      </c>
      <c r="C3386" t="s">
        <v>10176</v>
      </c>
      <c r="D3386">
        <v>7</v>
      </c>
      <c r="E3386" t="s">
        <v>6073</v>
      </c>
      <c r="F3386">
        <v>1</v>
      </c>
    </row>
    <row r="3387" spans="2:6" x14ac:dyDescent="0.2">
      <c r="B3387" t="s">
        <v>10177</v>
      </c>
      <c r="C3387" t="s">
        <v>10178</v>
      </c>
      <c r="D3387">
        <v>7</v>
      </c>
      <c r="E3387" t="s">
        <v>4335</v>
      </c>
      <c r="F3387">
        <v>1</v>
      </c>
    </row>
    <row r="3388" spans="2:6" x14ac:dyDescent="0.2">
      <c r="B3388" t="s">
        <v>10179</v>
      </c>
      <c r="C3388" t="s">
        <v>10180</v>
      </c>
      <c r="D3388">
        <v>7</v>
      </c>
      <c r="E3388" t="s">
        <v>10181</v>
      </c>
      <c r="F3388">
        <v>1</v>
      </c>
    </row>
    <row r="3389" spans="2:6" x14ac:dyDescent="0.2">
      <c r="B3389" t="s">
        <v>10182</v>
      </c>
      <c r="C3389" t="s">
        <v>10183</v>
      </c>
      <c r="D3389">
        <v>7</v>
      </c>
      <c r="E3389" t="s">
        <v>3294</v>
      </c>
      <c r="F3389">
        <v>1</v>
      </c>
    </row>
    <row r="3390" spans="2:6" x14ac:dyDescent="0.2">
      <c r="B3390" t="s">
        <v>2051</v>
      </c>
      <c r="C3390" t="s">
        <v>10184</v>
      </c>
      <c r="D3390">
        <v>7</v>
      </c>
      <c r="E3390" t="s">
        <v>7934</v>
      </c>
      <c r="F3390">
        <v>2</v>
      </c>
    </row>
    <row r="3391" spans="2:6" x14ac:dyDescent="0.2">
      <c r="B3391" t="s">
        <v>10185</v>
      </c>
      <c r="C3391" t="s">
        <v>10186</v>
      </c>
      <c r="D3391">
        <v>7</v>
      </c>
      <c r="E3391" t="s">
        <v>10187</v>
      </c>
      <c r="F3391">
        <v>8</v>
      </c>
    </row>
    <row r="3392" spans="2:6" x14ac:dyDescent="0.2">
      <c r="B3392" t="s">
        <v>10188</v>
      </c>
      <c r="C3392" t="s">
        <v>10189</v>
      </c>
      <c r="D3392">
        <v>7</v>
      </c>
      <c r="E3392" t="s">
        <v>2785</v>
      </c>
      <c r="F3392">
        <v>1</v>
      </c>
    </row>
    <row r="3393" spans="2:6" x14ac:dyDescent="0.2">
      <c r="B3393" t="s">
        <v>10190</v>
      </c>
      <c r="C3393" t="s">
        <v>10191</v>
      </c>
      <c r="D3393">
        <v>7</v>
      </c>
      <c r="E3393" t="s">
        <v>2892</v>
      </c>
      <c r="F3393">
        <v>1</v>
      </c>
    </row>
    <row r="3394" spans="2:6" x14ac:dyDescent="0.2">
      <c r="B3394" t="s">
        <v>1089</v>
      </c>
      <c r="C3394" t="s">
        <v>10192</v>
      </c>
      <c r="D3394">
        <v>7</v>
      </c>
      <c r="E3394" t="s">
        <v>3213</v>
      </c>
      <c r="F3394">
        <v>1</v>
      </c>
    </row>
    <row r="3395" spans="2:6" x14ac:dyDescent="0.2">
      <c r="B3395" t="s">
        <v>10193</v>
      </c>
      <c r="C3395" t="s">
        <v>10194</v>
      </c>
      <c r="D3395">
        <v>7</v>
      </c>
      <c r="E3395" t="s">
        <v>10195</v>
      </c>
      <c r="F3395">
        <v>4</v>
      </c>
    </row>
    <row r="3396" spans="2:6" x14ac:dyDescent="0.2">
      <c r="B3396" t="s">
        <v>10196</v>
      </c>
      <c r="C3396" t="s">
        <v>10197</v>
      </c>
      <c r="D3396">
        <v>7</v>
      </c>
      <c r="E3396" t="s">
        <v>10198</v>
      </c>
      <c r="F3396">
        <v>3</v>
      </c>
    </row>
    <row r="3397" spans="2:6" x14ac:dyDescent="0.2">
      <c r="B3397" t="s">
        <v>10199</v>
      </c>
      <c r="C3397" t="s">
        <v>10200</v>
      </c>
      <c r="D3397">
        <v>7</v>
      </c>
      <c r="E3397" t="s">
        <v>5174</v>
      </c>
      <c r="F3397">
        <v>1</v>
      </c>
    </row>
    <row r="3398" spans="2:6" x14ac:dyDescent="0.2">
      <c r="B3398" t="s">
        <v>10201</v>
      </c>
      <c r="C3398" t="s">
        <v>10202</v>
      </c>
      <c r="D3398">
        <v>7</v>
      </c>
      <c r="E3398" t="s">
        <v>3957</v>
      </c>
      <c r="F3398">
        <v>2</v>
      </c>
    </row>
    <row r="3399" spans="2:6" x14ac:dyDescent="0.2">
      <c r="B3399" t="s">
        <v>1363</v>
      </c>
      <c r="C3399" t="s">
        <v>10203</v>
      </c>
      <c r="D3399">
        <v>7</v>
      </c>
      <c r="E3399" t="s">
        <v>10204</v>
      </c>
      <c r="F3399">
        <v>16</v>
      </c>
    </row>
    <row r="3400" spans="2:6" x14ac:dyDescent="0.2">
      <c r="B3400" t="s">
        <v>10205</v>
      </c>
      <c r="C3400" t="s">
        <v>10206</v>
      </c>
      <c r="D3400">
        <v>7</v>
      </c>
      <c r="E3400" t="s">
        <v>2833</v>
      </c>
      <c r="F3400">
        <v>1</v>
      </c>
    </row>
    <row r="3401" spans="2:6" x14ac:dyDescent="0.2">
      <c r="B3401" t="s">
        <v>10207</v>
      </c>
      <c r="C3401" t="s">
        <v>10208</v>
      </c>
      <c r="D3401">
        <v>7</v>
      </c>
      <c r="E3401" t="s">
        <v>10209</v>
      </c>
      <c r="F3401">
        <v>7</v>
      </c>
    </row>
    <row r="3402" spans="2:6" x14ac:dyDescent="0.2">
      <c r="B3402" t="s">
        <v>10210</v>
      </c>
      <c r="C3402" t="s">
        <v>7983</v>
      </c>
      <c r="D3402">
        <v>7</v>
      </c>
      <c r="E3402" t="s">
        <v>8622</v>
      </c>
      <c r="F3402">
        <v>92</v>
      </c>
    </row>
    <row r="3403" spans="2:6" x14ac:dyDescent="0.2">
      <c r="B3403" t="s">
        <v>10211</v>
      </c>
      <c r="C3403" t="s">
        <v>10212</v>
      </c>
      <c r="D3403">
        <v>7</v>
      </c>
      <c r="E3403" t="s">
        <v>10213</v>
      </c>
      <c r="F3403">
        <v>15</v>
      </c>
    </row>
    <row r="3404" spans="2:6" x14ac:dyDescent="0.2">
      <c r="B3404" t="s">
        <v>922</v>
      </c>
      <c r="C3404" t="s">
        <v>10214</v>
      </c>
      <c r="D3404">
        <v>7</v>
      </c>
      <c r="E3404" t="s">
        <v>10215</v>
      </c>
      <c r="F3404">
        <v>1</v>
      </c>
    </row>
    <row r="3405" spans="2:6" x14ac:dyDescent="0.2">
      <c r="B3405" t="s">
        <v>10216</v>
      </c>
      <c r="C3405" t="s">
        <v>10217</v>
      </c>
      <c r="D3405">
        <v>7</v>
      </c>
      <c r="E3405" t="s">
        <v>10218</v>
      </c>
      <c r="F3405">
        <v>7</v>
      </c>
    </row>
    <row r="3406" spans="2:6" x14ac:dyDescent="0.2">
      <c r="B3406" t="s">
        <v>10219</v>
      </c>
      <c r="C3406" t="s">
        <v>10220</v>
      </c>
      <c r="D3406">
        <v>7</v>
      </c>
      <c r="E3406" t="s">
        <v>10221</v>
      </c>
      <c r="F3406">
        <v>8</v>
      </c>
    </row>
    <row r="3407" spans="2:6" x14ac:dyDescent="0.2">
      <c r="B3407" t="s">
        <v>10222</v>
      </c>
      <c r="C3407" t="s">
        <v>10223</v>
      </c>
      <c r="D3407">
        <v>7</v>
      </c>
      <c r="E3407" t="s">
        <v>3688</v>
      </c>
      <c r="F3407">
        <v>3</v>
      </c>
    </row>
    <row r="3408" spans="2:6" x14ac:dyDescent="0.2">
      <c r="B3408" t="s">
        <v>10224</v>
      </c>
      <c r="C3408" t="s">
        <v>10225</v>
      </c>
      <c r="D3408">
        <v>7</v>
      </c>
      <c r="E3408" t="s">
        <v>3674</v>
      </c>
      <c r="F3408">
        <v>1</v>
      </c>
    </row>
    <row r="3409" spans="2:6" x14ac:dyDescent="0.2">
      <c r="B3409" t="s">
        <v>10226</v>
      </c>
      <c r="C3409" t="s">
        <v>3977</v>
      </c>
      <c r="D3409">
        <v>7</v>
      </c>
      <c r="E3409" t="s">
        <v>2915</v>
      </c>
      <c r="F3409">
        <v>3</v>
      </c>
    </row>
    <row r="3410" spans="2:6" x14ac:dyDescent="0.2">
      <c r="B3410" t="s">
        <v>10227</v>
      </c>
      <c r="C3410" t="s">
        <v>10228</v>
      </c>
      <c r="D3410">
        <v>7</v>
      </c>
      <c r="E3410" t="s">
        <v>5352</v>
      </c>
      <c r="F3410">
        <v>5</v>
      </c>
    </row>
    <row r="3411" spans="2:6" x14ac:dyDescent="0.2">
      <c r="B3411" t="s">
        <v>10229</v>
      </c>
      <c r="C3411" t="s">
        <v>10230</v>
      </c>
      <c r="D3411">
        <v>7</v>
      </c>
      <c r="E3411" t="s">
        <v>4062</v>
      </c>
      <c r="F3411">
        <v>1</v>
      </c>
    </row>
    <row r="3412" spans="2:6" x14ac:dyDescent="0.2">
      <c r="B3412" t="s">
        <v>10231</v>
      </c>
      <c r="C3412" t="s">
        <v>10232</v>
      </c>
      <c r="D3412">
        <v>7</v>
      </c>
      <c r="E3412" t="s">
        <v>10233</v>
      </c>
      <c r="F3412">
        <v>8</v>
      </c>
    </row>
    <row r="3413" spans="2:6" x14ac:dyDescent="0.2">
      <c r="B3413" t="s">
        <v>10234</v>
      </c>
      <c r="C3413" t="s">
        <v>10235</v>
      </c>
      <c r="D3413">
        <v>7</v>
      </c>
      <c r="E3413" t="s">
        <v>10236</v>
      </c>
      <c r="F3413">
        <v>11</v>
      </c>
    </row>
    <row r="3414" spans="2:6" x14ac:dyDescent="0.2">
      <c r="B3414" t="s">
        <v>10237</v>
      </c>
      <c r="C3414" t="s">
        <v>10238</v>
      </c>
      <c r="D3414">
        <v>7</v>
      </c>
      <c r="E3414" t="s">
        <v>10239</v>
      </c>
      <c r="F3414">
        <v>2</v>
      </c>
    </row>
    <row r="3415" spans="2:6" x14ac:dyDescent="0.2">
      <c r="B3415" t="s">
        <v>10240</v>
      </c>
      <c r="C3415" t="s">
        <v>10241</v>
      </c>
      <c r="D3415">
        <v>7</v>
      </c>
      <c r="E3415" t="s">
        <v>3660</v>
      </c>
      <c r="F3415">
        <v>2</v>
      </c>
    </row>
    <row r="3416" spans="2:6" x14ac:dyDescent="0.2">
      <c r="B3416" t="s">
        <v>10242</v>
      </c>
      <c r="C3416" t="s">
        <v>10243</v>
      </c>
      <c r="D3416">
        <v>7</v>
      </c>
      <c r="E3416" t="s">
        <v>3084</v>
      </c>
      <c r="F3416">
        <v>1</v>
      </c>
    </row>
    <row r="3417" spans="2:6" x14ac:dyDescent="0.2">
      <c r="B3417" t="s">
        <v>10244</v>
      </c>
      <c r="C3417" t="s">
        <v>10245</v>
      </c>
      <c r="D3417">
        <v>7</v>
      </c>
      <c r="E3417" t="s">
        <v>3084</v>
      </c>
      <c r="F3417">
        <v>1</v>
      </c>
    </row>
    <row r="3418" spans="2:6" x14ac:dyDescent="0.2">
      <c r="B3418" t="s">
        <v>10246</v>
      </c>
      <c r="C3418" t="s">
        <v>10247</v>
      </c>
      <c r="D3418">
        <v>7</v>
      </c>
      <c r="E3418" t="s">
        <v>4966</v>
      </c>
      <c r="F3418">
        <v>1</v>
      </c>
    </row>
    <row r="3419" spans="2:6" x14ac:dyDescent="0.2">
      <c r="B3419" t="s">
        <v>235</v>
      </c>
      <c r="C3419" t="s">
        <v>10248</v>
      </c>
      <c r="D3419">
        <v>7</v>
      </c>
      <c r="E3419" t="s">
        <v>3455</v>
      </c>
      <c r="F3419">
        <v>3</v>
      </c>
    </row>
    <row r="3420" spans="2:6" x14ac:dyDescent="0.2">
      <c r="B3420" t="s">
        <v>10249</v>
      </c>
      <c r="C3420" t="s">
        <v>10250</v>
      </c>
      <c r="D3420">
        <v>7</v>
      </c>
      <c r="E3420" t="s">
        <v>2930</v>
      </c>
      <c r="F3420">
        <v>1</v>
      </c>
    </row>
    <row r="3421" spans="2:6" x14ac:dyDescent="0.2">
      <c r="B3421" t="s">
        <v>10251</v>
      </c>
      <c r="C3421" t="s">
        <v>10252</v>
      </c>
      <c r="D3421">
        <v>7</v>
      </c>
      <c r="E3421" t="s">
        <v>4956</v>
      </c>
      <c r="F3421">
        <v>1</v>
      </c>
    </row>
    <row r="3422" spans="2:6" x14ac:dyDescent="0.2">
      <c r="B3422" t="s">
        <v>348</v>
      </c>
      <c r="C3422" t="s">
        <v>10253</v>
      </c>
      <c r="D3422">
        <v>7</v>
      </c>
      <c r="E3422" t="s">
        <v>3316</v>
      </c>
      <c r="F3422">
        <v>8</v>
      </c>
    </row>
    <row r="3423" spans="2:6" x14ac:dyDescent="0.2">
      <c r="B3423" t="s">
        <v>10254</v>
      </c>
      <c r="C3423" t="s">
        <v>10255</v>
      </c>
      <c r="D3423">
        <v>7</v>
      </c>
      <c r="E3423" t="s">
        <v>4116</v>
      </c>
      <c r="F3423">
        <v>2</v>
      </c>
    </row>
    <row r="3424" spans="2:6" x14ac:dyDescent="0.2">
      <c r="B3424" t="s">
        <v>930</v>
      </c>
      <c r="C3424" t="s">
        <v>10256</v>
      </c>
      <c r="D3424">
        <v>7</v>
      </c>
      <c r="E3424" t="s">
        <v>10257</v>
      </c>
      <c r="F3424">
        <v>3</v>
      </c>
    </row>
    <row r="3425" spans="2:6" x14ac:dyDescent="0.2">
      <c r="B3425" t="s">
        <v>597</v>
      </c>
      <c r="C3425" t="s">
        <v>10258</v>
      </c>
      <c r="D3425">
        <v>7</v>
      </c>
      <c r="E3425" t="s">
        <v>4418</v>
      </c>
      <c r="F3425">
        <v>1</v>
      </c>
    </row>
    <row r="3426" spans="2:6" x14ac:dyDescent="0.2">
      <c r="B3426" t="s">
        <v>10259</v>
      </c>
      <c r="C3426" t="s">
        <v>10260</v>
      </c>
      <c r="D3426">
        <v>7</v>
      </c>
      <c r="E3426" t="s">
        <v>10261</v>
      </c>
      <c r="F3426">
        <v>2</v>
      </c>
    </row>
    <row r="3427" spans="2:6" x14ac:dyDescent="0.2">
      <c r="B3427" t="s">
        <v>516</v>
      </c>
      <c r="C3427" t="s">
        <v>10262</v>
      </c>
      <c r="D3427">
        <v>7</v>
      </c>
      <c r="E3427" t="s">
        <v>10263</v>
      </c>
      <c r="F3427">
        <v>29</v>
      </c>
    </row>
    <row r="3428" spans="2:6" x14ac:dyDescent="0.2">
      <c r="B3428" t="s">
        <v>10264</v>
      </c>
      <c r="C3428" t="s">
        <v>10265</v>
      </c>
      <c r="D3428">
        <v>7</v>
      </c>
      <c r="E3428" t="s">
        <v>10266</v>
      </c>
      <c r="F3428">
        <v>3</v>
      </c>
    </row>
    <row r="3429" spans="2:6" x14ac:dyDescent="0.2">
      <c r="B3429" t="s">
        <v>10267</v>
      </c>
      <c r="C3429" t="s">
        <v>10268</v>
      </c>
      <c r="D3429">
        <v>7</v>
      </c>
      <c r="E3429" t="s">
        <v>3946</v>
      </c>
      <c r="F3429">
        <v>7</v>
      </c>
    </row>
    <row r="3430" spans="2:6" x14ac:dyDescent="0.2">
      <c r="B3430" t="s">
        <v>10269</v>
      </c>
      <c r="C3430" t="s">
        <v>10270</v>
      </c>
      <c r="D3430">
        <v>7</v>
      </c>
      <c r="E3430" t="s">
        <v>10271</v>
      </c>
      <c r="F3430">
        <v>5</v>
      </c>
    </row>
    <row r="3431" spans="2:6" x14ac:dyDescent="0.2">
      <c r="B3431" t="s">
        <v>10272</v>
      </c>
      <c r="C3431" t="s">
        <v>10273</v>
      </c>
      <c r="D3431">
        <v>7</v>
      </c>
      <c r="E3431" t="s">
        <v>3031</v>
      </c>
      <c r="F3431">
        <v>1</v>
      </c>
    </row>
    <row r="3432" spans="2:6" x14ac:dyDescent="0.2">
      <c r="B3432" t="s">
        <v>10274</v>
      </c>
      <c r="C3432" t="s">
        <v>10275</v>
      </c>
      <c r="D3432">
        <v>7</v>
      </c>
      <c r="E3432" t="s">
        <v>2839</v>
      </c>
      <c r="F3432">
        <v>2</v>
      </c>
    </row>
    <row r="3433" spans="2:6" x14ac:dyDescent="0.2">
      <c r="B3433" t="s">
        <v>10276</v>
      </c>
      <c r="C3433" t="s">
        <v>10277</v>
      </c>
      <c r="D3433">
        <v>7</v>
      </c>
      <c r="E3433" t="s">
        <v>5551</v>
      </c>
      <c r="F3433">
        <v>2</v>
      </c>
    </row>
    <row r="3434" spans="2:6" x14ac:dyDescent="0.2">
      <c r="B3434" t="s">
        <v>10278</v>
      </c>
      <c r="C3434" t="s">
        <v>10279</v>
      </c>
      <c r="D3434">
        <v>7</v>
      </c>
      <c r="E3434" t="s">
        <v>2988</v>
      </c>
      <c r="F3434">
        <v>1</v>
      </c>
    </row>
    <row r="3435" spans="2:6" x14ac:dyDescent="0.2">
      <c r="B3435" t="s">
        <v>10280</v>
      </c>
      <c r="C3435" t="s">
        <v>10281</v>
      </c>
      <c r="D3435">
        <v>7</v>
      </c>
      <c r="E3435" t="s">
        <v>3304</v>
      </c>
      <c r="F3435">
        <v>2</v>
      </c>
    </row>
    <row r="3436" spans="2:6" x14ac:dyDescent="0.2">
      <c r="B3436" t="s">
        <v>10282</v>
      </c>
      <c r="C3436" t="s">
        <v>10283</v>
      </c>
      <c r="D3436">
        <v>7</v>
      </c>
      <c r="E3436" t="s">
        <v>2850</v>
      </c>
      <c r="F3436">
        <v>1</v>
      </c>
    </row>
    <row r="3437" spans="2:6" x14ac:dyDescent="0.2">
      <c r="B3437" t="s">
        <v>881</v>
      </c>
      <c r="C3437" t="s">
        <v>10284</v>
      </c>
      <c r="D3437">
        <v>7</v>
      </c>
      <c r="E3437" t="s">
        <v>3106</v>
      </c>
      <c r="F3437">
        <v>2</v>
      </c>
    </row>
    <row r="3438" spans="2:6" x14ac:dyDescent="0.2">
      <c r="B3438" t="s">
        <v>10285</v>
      </c>
      <c r="C3438" t="s">
        <v>10286</v>
      </c>
      <c r="D3438">
        <v>7</v>
      </c>
      <c r="E3438" t="s">
        <v>3095</v>
      </c>
      <c r="F3438">
        <v>2</v>
      </c>
    </row>
    <row r="3439" spans="2:6" x14ac:dyDescent="0.2">
      <c r="B3439" t="s">
        <v>10287</v>
      </c>
      <c r="C3439" t="s">
        <v>10288</v>
      </c>
      <c r="D3439">
        <v>7</v>
      </c>
      <c r="E3439" t="s">
        <v>3901</v>
      </c>
      <c r="F3439">
        <v>2</v>
      </c>
    </row>
    <row r="3440" spans="2:6" x14ac:dyDescent="0.2">
      <c r="B3440" t="s">
        <v>291</v>
      </c>
      <c r="C3440" t="s">
        <v>10289</v>
      </c>
      <c r="D3440">
        <v>7</v>
      </c>
      <c r="E3440" t="s">
        <v>3113</v>
      </c>
      <c r="F3440">
        <v>1</v>
      </c>
    </row>
    <row r="3441" spans="2:6" x14ac:dyDescent="0.2">
      <c r="B3441" t="s">
        <v>10290</v>
      </c>
      <c r="C3441" t="s">
        <v>10291</v>
      </c>
      <c r="D3441">
        <v>7</v>
      </c>
      <c r="E3441" t="s">
        <v>10292</v>
      </c>
      <c r="F3441">
        <v>2</v>
      </c>
    </row>
    <row r="3442" spans="2:6" x14ac:dyDescent="0.2">
      <c r="B3442" t="s">
        <v>10293</v>
      </c>
      <c r="C3442" t="s">
        <v>10294</v>
      </c>
      <c r="D3442">
        <v>7</v>
      </c>
      <c r="E3442" t="s">
        <v>3364</v>
      </c>
      <c r="F3442">
        <v>1</v>
      </c>
    </row>
    <row r="3443" spans="2:6" x14ac:dyDescent="0.2">
      <c r="B3443" t="s">
        <v>10295</v>
      </c>
      <c r="C3443" t="s">
        <v>4737</v>
      </c>
      <c r="D3443">
        <v>7</v>
      </c>
      <c r="E3443" t="s">
        <v>5399</v>
      </c>
      <c r="F3443">
        <v>1</v>
      </c>
    </row>
    <row r="3444" spans="2:6" x14ac:dyDescent="0.2">
      <c r="B3444" t="s">
        <v>10296</v>
      </c>
      <c r="C3444" t="s">
        <v>10297</v>
      </c>
      <c r="D3444">
        <v>7</v>
      </c>
      <c r="E3444" t="s">
        <v>3031</v>
      </c>
      <c r="F3444">
        <v>3</v>
      </c>
    </row>
    <row r="3445" spans="2:6" x14ac:dyDescent="0.2">
      <c r="B3445" t="s">
        <v>10298</v>
      </c>
      <c r="C3445" t="s">
        <v>4737</v>
      </c>
      <c r="D3445">
        <v>7</v>
      </c>
      <c r="E3445" t="s">
        <v>10299</v>
      </c>
      <c r="F3445">
        <v>4</v>
      </c>
    </row>
    <row r="3446" spans="2:6" x14ac:dyDescent="0.2">
      <c r="B3446" t="s">
        <v>10300</v>
      </c>
      <c r="C3446" t="s">
        <v>10301</v>
      </c>
      <c r="D3446">
        <v>7</v>
      </c>
      <c r="E3446" t="s">
        <v>3475</v>
      </c>
      <c r="F3446">
        <v>1</v>
      </c>
    </row>
    <row r="3447" spans="2:6" x14ac:dyDescent="0.2">
      <c r="B3447" t="s">
        <v>10302</v>
      </c>
      <c r="C3447" t="s">
        <v>10303</v>
      </c>
      <c r="D3447">
        <v>7</v>
      </c>
      <c r="E3447" t="s">
        <v>4241</v>
      </c>
      <c r="F3447">
        <v>14</v>
      </c>
    </row>
    <row r="3448" spans="2:6" x14ac:dyDescent="0.2">
      <c r="B3448" t="s">
        <v>10304</v>
      </c>
      <c r="C3448" t="s">
        <v>10305</v>
      </c>
      <c r="D3448">
        <v>7</v>
      </c>
      <c r="E3448" t="s">
        <v>2788</v>
      </c>
      <c r="F3448">
        <v>1</v>
      </c>
    </row>
    <row r="3449" spans="2:6" x14ac:dyDescent="0.2">
      <c r="B3449" t="s">
        <v>10306</v>
      </c>
      <c r="C3449" t="s">
        <v>10307</v>
      </c>
      <c r="D3449">
        <v>7</v>
      </c>
      <c r="E3449" t="s">
        <v>9140</v>
      </c>
      <c r="F3449">
        <v>2</v>
      </c>
    </row>
    <row r="3450" spans="2:6" x14ac:dyDescent="0.2">
      <c r="B3450" t="s">
        <v>10308</v>
      </c>
      <c r="C3450" t="s">
        <v>10309</v>
      </c>
      <c r="D3450">
        <v>7</v>
      </c>
      <c r="E3450" t="s">
        <v>3386</v>
      </c>
      <c r="F3450">
        <v>1</v>
      </c>
    </row>
    <row r="3451" spans="2:6" x14ac:dyDescent="0.2">
      <c r="B3451" t="s">
        <v>10310</v>
      </c>
      <c r="C3451" t="s">
        <v>10311</v>
      </c>
      <c r="D3451">
        <v>7</v>
      </c>
      <c r="E3451" t="s">
        <v>5992</v>
      </c>
      <c r="F3451">
        <v>3</v>
      </c>
    </row>
    <row r="3452" spans="2:6" x14ac:dyDescent="0.2">
      <c r="B3452" t="s">
        <v>10312</v>
      </c>
      <c r="C3452" t="s">
        <v>10313</v>
      </c>
      <c r="D3452">
        <v>7</v>
      </c>
      <c r="E3452" t="s">
        <v>3532</v>
      </c>
      <c r="F3452">
        <v>4</v>
      </c>
    </row>
    <row r="3453" spans="2:6" x14ac:dyDescent="0.2">
      <c r="B3453" t="s">
        <v>10314</v>
      </c>
      <c r="C3453" t="s">
        <v>10315</v>
      </c>
      <c r="D3453">
        <v>7</v>
      </c>
      <c r="E3453" t="s">
        <v>10316</v>
      </c>
      <c r="F3453">
        <v>1</v>
      </c>
    </row>
    <row r="3454" spans="2:6" x14ac:dyDescent="0.2">
      <c r="B3454" t="s">
        <v>10317</v>
      </c>
      <c r="C3454" t="s">
        <v>10318</v>
      </c>
      <c r="D3454">
        <v>7</v>
      </c>
      <c r="E3454" t="s">
        <v>5890</v>
      </c>
      <c r="F3454">
        <v>5</v>
      </c>
    </row>
    <row r="3455" spans="2:6" x14ac:dyDescent="0.2">
      <c r="B3455" t="s">
        <v>10319</v>
      </c>
      <c r="C3455" t="s">
        <v>10320</v>
      </c>
      <c r="D3455">
        <v>7</v>
      </c>
      <c r="E3455" t="s">
        <v>2892</v>
      </c>
      <c r="F3455">
        <v>1</v>
      </c>
    </row>
    <row r="3456" spans="2:6" x14ac:dyDescent="0.2">
      <c r="B3456" t="s">
        <v>10321</v>
      </c>
      <c r="C3456" t="s">
        <v>10322</v>
      </c>
      <c r="D3456">
        <v>7</v>
      </c>
      <c r="E3456" t="s">
        <v>3495</v>
      </c>
      <c r="F3456">
        <v>1</v>
      </c>
    </row>
    <row r="3457" spans="2:6" x14ac:dyDescent="0.2">
      <c r="B3457" t="s">
        <v>10323</v>
      </c>
      <c r="C3457" t="s">
        <v>10324</v>
      </c>
      <c r="D3457">
        <v>7</v>
      </c>
      <c r="E3457" t="s">
        <v>3586</v>
      </c>
      <c r="F3457">
        <v>1</v>
      </c>
    </row>
    <row r="3458" spans="2:6" x14ac:dyDescent="0.2">
      <c r="B3458" t="s">
        <v>10325</v>
      </c>
      <c r="C3458" t="s">
        <v>10326</v>
      </c>
      <c r="D3458">
        <v>7</v>
      </c>
      <c r="E3458" t="s">
        <v>3896</v>
      </c>
      <c r="F3458">
        <v>3</v>
      </c>
    </row>
    <row r="3459" spans="2:6" x14ac:dyDescent="0.2">
      <c r="B3459" t="s">
        <v>10327</v>
      </c>
      <c r="C3459" t="s">
        <v>3707</v>
      </c>
      <c r="D3459">
        <v>7</v>
      </c>
      <c r="E3459" t="s">
        <v>2830</v>
      </c>
      <c r="F3459">
        <v>3</v>
      </c>
    </row>
    <row r="3460" spans="2:6" x14ac:dyDescent="0.2">
      <c r="B3460" t="s">
        <v>10328</v>
      </c>
      <c r="C3460" t="s">
        <v>5987</v>
      </c>
      <c r="D3460">
        <v>7</v>
      </c>
      <c r="E3460" t="s">
        <v>10329</v>
      </c>
      <c r="F3460">
        <v>20</v>
      </c>
    </row>
    <row r="3461" spans="2:6" x14ac:dyDescent="0.2">
      <c r="B3461" t="s">
        <v>733</v>
      </c>
      <c r="C3461" t="s">
        <v>10330</v>
      </c>
      <c r="D3461">
        <v>7</v>
      </c>
      <c r="E3461" t="s">
        <v>10331</v>
      </c>
      <c r="F3461">
        <v>3</v>
      </c>
    </row>
    <row r="3462" spans="2:6" x14ac:dyDescent="0.2">
      <c r="B3462" t="s">
        <v>10332</v>
      </c>
      <c r="C3462" t="s">
        <v>10333</v>
      </c>
      <c r="D3462">
        <v>7</v>
      </c>
      <c r="E3462" t="s">
        <v>10334</v>
      </c>
      <c r="F3462">
        <v>1</v>
      </c>
    </row>
    <row r="3463" spans="2:6" x14ac:dyDescent="0.2">
      <c r="B3463" t="s">
        <v>10335</v>
      </c>
      <c r="C3463" t="s">
        <v>10336</v>
      </c>
      <c r="D3463">
        <v>7</v>
      </c>
      <c r="E3463" t="s">
        <v>10337</v>
      </c>
      <c r="F3463">
        <v>1</v>
      </c>
    </row>
    <row r="3464" spans="2:6" x14ac:dyDescent="0.2">
      <c r="B3464" t="s">
        <v>10338</v>
      </c>
      <c r="C3464" t="s">
        <v>10339</v>
      </c>
      <c r="D3464">
        <v>7</v>
      </c>
      <c r="E3464" t="s">
        <v>4260</v>
      </c>
      <c r="F3464">
        <v>3</v>
      </c>
    </row>
    <row r="3465" spans="2:6" x14ac:dyDescent="0.2">
      <c r="B3465" t="s">
        <v>10340</v>
      </c>
      <c r="C3465" t="s">
        <v>10341</v>
      </c>
      <c r="D3465">
        <v>7</v>
      </c>
      <c r="E3465" t="s">
        <v>4823</v>
      </c>
      <c r="F3465">
        <v>32</v>
      </c>
    </row>
    <row r="3466" spans="2:6" x14ac:dyDescent="0.2">
      <c r="B3466" t="s">
        <v>10342</v>
      </c>
      <c r="C3466" t="s">
        <v>10343</v>
      </c>
      <c r="D3466">
        <v>7</v>
      </c>
      <c r="E3466" t="s">
        <v>2915</v>
      </c>
      <c r="F3466">
        <v>1</v>
      </c>
    </row>
    <row r="3467" spans="2:6" x14ac:dyDescent="0.2">
      <c r="B3467" t="s">
        <v>10344</v>
      </c>
      <c r="C3467" t="s">
        <v>10345</v>
      </c>
      <c r="D3467">
        <v>7</v>
      </c>
      <c r="E3467" t="s">
        <v>3067</v>
      </c>
      <c r="F3467">
        <v>1</v>
      </c>
    </row>
    <row r="3468" spans="2:6" x14ac:dyDescent="0.2">
      <c r="B3468" t="s">
        <v>1006</v>
      </c>
      <c r="C3468" t="s">
        <v>10346</v>
      </c>
      <c r="D3468">
        <v>7</v>
      </c>
      <c r="E3468" t="s">
        <v>3564</v>
      </c>
      <c r="F3468">
        <v>1</v>
      </c>
    </row>
    <row r="3469" spans="2:6" x14ac:dyDescent="0.2">
      <c r="B3469" t="s">
        <v>10347</v>
      </c>
      <c r="C3469" t="s">
        <v>8488</v>
      </c>
      <c r="D3469">
        <v>7</v>
      </c>
      <c r="E3469" t="s">
        <v>10348</v>
      </c>
      <c r="F3469">
        <v>1</v>
      </c>
    </row>
    <row r="3470" spans="2:6" x14ac:dyDescent="0.2">
      <c r="B3470" t="s">
        <v>10349</v>
      </c>
      <c r="C3470" t="s">
        <v>10350</v>
      </c>
      <c r="D3470">
        <v>7</v>
      </c>
      <c r="E3470" t="s">
        <v>3294</v>
      </c>
      <c r="F3470">
        <v>2</v>
      </c>
    </row>
    <row r="3471" spans="2:6" x14ac:dyDescent="0.2">
      <c r="B3471" t="s">
        <v>10351</v>
      </c>
      <c r="C3471" t="s">
        <v>10352</v>
      </c>
      <c r="D3471">
        <v>7</v>
      </c>
      <c r="E3471" t="s">
        <v>10353</v>
      </c>
      <c r="F3471">
        <v>1</v>
      </c>
    </row>
    <row r="3472" spans="2:6" x14ac:dyDescent="0.2">
      <c r="B3472" t="s">
        <v>10354</v>
      </c>
      <c r="C3472" t="s">
        <v>2963</v>
      </c>
      <c r="D3472">
        <v>7</v>
      </c>
      <c r="E3472" t="s">
        <v>5358</v>
      </c>
      <c r="F3472">
        <v>14</v>
      </c>
    </row>
    <row r="3473" spans="2:6" x14ac:dyDescent="0.2">
      <c r="B3473" t="s">
        <v>10355</v>
      </c>
      <c r="C3473" t="s">
        <v>10356</v>
      </c>
      <c r="D3473">
        <v>7</v>
      </c>
      <c r="E3473" t="s">
        <v>2892</v>
      </c>
      <c r="F3473">
        <v>1</v>
      </c>
    </row>
    <row r="3474" spans="2:6" x14ac:dyDescent="0.2">
      <c r="B3474" t="s">
        <v>10357</v>
      </c>
      <c r="C3474" t="s">
        <v>10358</v>
      </c>
      <c r="D3474">
        <v>7</v>
      </c>
      <c r="E3474" t="s">
        <v>2850</v>
      </c>
      <c r="F3474">
        <v>1</v>
      </c>
    </row>
    <row r="3475" spans="2:6" x14ac:dyDescent="0.2">
      <c r="B3475" t="s">
        <v>1576</v>
      </c>
      <c r="C3475" t="s">
        <v>10359</v>
      </c>
      <c r="D3475">
        <v>7</v>
      </c>
      <c r="E3475" t="s">
        <v>3839</v>
      </c>
      <c r="F3475">
        <v>1</v>
      </c>
    </row>
    <row r="3476" spans="2:6" x14ac:dyDescent="0.2">
      <c r="B3476" t="s">
        <v>10360</v>
      </c>
      <c r="C3476" t="s">
        <v>10361</v>
      </c>
      <c r="D3476">
        <v>7</v>
      </c>
      <c r="E3476" t="s">
        <v>3957</v>
      </c>
      <c r="F3476">
        <v>4</v>
      </c>
    </row>
    <row r="3477" spans="2:6" x14ac:dyDescent="0.2">
      <c r="B3477" t="s">
        <v>10362</v>
      </c>
      <c r="C3477" t="s">
        <v>10363</v>
      </c>
      <c r="D3477">
        <v>7</v>
      </c>
      <c r="E3477" t="s">
        <v>5118</v>
      </c>
      <c r="F3477">
        <v>1</v>
      </c>
    </row>
    <row r="3478" spans="2:6" x14ac:dyDescent="0.2">
      <c r="B3478" t="s">
        <v>10364</v>
      </c>
      <c r="C3478" t="s">
        <v>10365</v>
      </c>
      <c r="D3478">
        <v>7</v>
      </c>
      <c r="E3478" t="s">
        <v>3586</v>
      </c>
      <c r="F3478">
        <v>2</v>
      </c>
    </row>
    <row r="3479" spans="2:6" x14ac:dyDescent="0.2">
      <c r="B3479" t="s">
        <v>10366</v>
      </c>
      <c r="C3479" t="s">
        <v>10367</v>
      </c>
      <c r="D3479">
        <v>7</v>
      </c>
      <c r="E3479" t="s">
        <v>2892</v>
      </c>
      <c r="F3479">
        <v>4</v>
      </c>
    </row>
    <row r="3480" spans="2:6" x14ac:dyDescent="0.2">
      <c r="B3480" t="s">
        <v>10368</v>
      </c>
      <c r="C3480" t="s">
        <v>10369</v>
      </c>
      <c r="D3480">
        <v>7</v>
      </c>
      <c r="E3480" t="s">
        <v>3442</v>
      </c>
      <c r="F3480">
        <v>1</v>
      </c>
    </row>
    <row r="3481" spans="2:6" x14ac:dyDescent="0.2">
      <c r="B3481" t="s">
        <v>10370</v>
      </c>
      <c r="C3481" t="s">
        <v>10371</v>
      </c>
      <c r="D3481">
        <v>7</v>
      </c>
      <c r="E3481" t="s">
        <v>2921</v>
      </c>
      <c r="F3481">
        <v>4</v>
      </c>
    </row>
    <row r="3482" spans="2:6" x14ac:dyDescent="0.2">
      <c r="B3482" t="s">
        <v>10372</v>
      </c>
      <c r="C3482" t="s">
        <v>10373</v>
      </c>
      <c r="D3482">
        <v>7</v>
      </c>
      <c r="E3482" t="s">
        <v>10374</v>
      </c>
      <c r="F3482">
        <v>10</v>
      </c>
    </row>
    <row r="3483" spans="2:6" x14ac:dyDescent="0.2">
      <c r="B3483" t="s">
        <v>10375</v>
      </c>
      <c r="C3483" t="s">
        <v>10376</v>
      </c>
      <c r="D3483">
        <v>7</v>
      </c>
      <c r="E3483" t="s">
        <v>2892</v>
      </c>
      <c r="F3483">
        <v>3</v>
      </c>
    </row>
    <row r="3484" spans="2:6" x14ac:dyDescent="0.2">
      <c r="B3484" t="s">
        <v>10377</v>
      </c>
      <c r="C3484" t="s">
        <v>10378</v>
      </c>
      <c r="D3484">
        <v>7</v>
      </c>
      <c r="E3484" t="s">
        <v>2892</v>
      </c>
      <c r="F3484">
        <v>3</v>
      </c>
    </row>
    <row r="3485" spans="2:6" x14ac:dyDescent="0.2">
      <c r="B3485" t="s">
        <v>10379</v>
      </c>
      <c r="C3485" t="s">
        <v>10380</v>
      </c>
      <c r="D3485">
        <v>7</v>
      </c>
      <c r="E3485" t="s">
        <v>10381</v>
      </c>
      <c r="F3485">
        <v>3</v>
      </c>
    </row>
    <row r="3486" spans="2:6" x14ac:dyDescent="0.2">
      <c r="B3486" t="s">
        <v>10382</v>
      </c>
      <c r="C3486" t="s">
        <v>10383</v>
      </c>
      <c r="D3486">
        <v>7</v>
      </c>
      <c r="E3486" t="s">
        <v>10384</v>
      </c>
      <c r="F3486">
        <v>3</v>
      </c>
    </row>
    <row r="3487" spans="2:6" x14ac:dyDescent="0.2">
      <c r="B3487" t="s">
        <v>10385</v>
      </c>
      <c r="C3487" t="s">
        <v>5066</v>
      </c>
      <c r="D3487">
        <v>7</v>
      </c>
      <c r="E3487" t="s">
        <v>2836</v>
      </c>
      <c r="F3487">
        <v>1</v>
      </c>
    </row>
    <row r="3488" spans="2:6" x14ac:dyDescent="0.2">
      <c r="B3488" t="s">
        <v>10386</v>
      </c>
      <c r="C3488" t="s">
        <v>5205</v>
      </c>
      <c r="D3488">
        <v>7</v>
      </c>
      <c r="E3488" t="s">
        <v>2788</v>
      </c>
      <c r="F3488">
        <v>4</v>
      </c>
    </row>
    <row r="3489" spans="2:6" x14ac:dyDescent="0.2">
      <c r="B3489" t="s">
        <v>10387</v>
      </c>
      <c r="C3489" t="s">
        <v>10388</v>
      </c>
      <c r="D3489">
        <v>7</v>
      </c>
      <c r="E3489" t="s">
        <v>3092</v>
      </c>
      <c r="F3489">
        <v>9</v>
      </c>
    </row>
    <row r="3490" spans="2:6" x14ac:dyDescent="0.2">
      <c r="B3490" t="s">
        <v>10389</v>
      </c>
      <c r="C3490" t="s">
        <v>10390</v>
      </c>
      <c r="D3490">
        <v>7</v>
      </c>
      <c r="E3490" t="s">
        <v>2924</v>
      </c>
      <c r="F3490">
        <v>2</v>
      </c>
    </row>
    <row r="3491" spans="2:6" x14ac:dyDescent="0.2">
      <c r="B3491" t="s">
        <v>10391</v>
      </c>
      <c r="C3491" t="s">
        <v>10392</v>
      </c>
      <c r="D3491">
        <v>7</v>
      </c>
      <c r="E3491" t="s">
        <v>10393</v>
      </c>
      <c r="F3491">
        <v>12</v>
      </c>
    </row>
    <row r="3492" spans="2:6" x14ac:dyDescent="0.2">
      <c r="B3492" t="s">
        <v>10394</v>
      </c>
      <c r="C3492" t="s">
        <v>10395</v>
      </c>
      <c r="D3492">
        <v>7</v>
      </c>
      <c r="E3492" t="s">
        <v>2842</v>
      </c>
      <c r="F3492">
        <v>1</v>
      </c>
    </row>
    <row r="3493" spans="2:6" x14ac:dyDescent="0.2">
      <c r="B3493" t="s">
        <v>10396</v>
      </c>
      <c r="C3493" t="s">
        <v>10397</v>
      </c>
      <c r="D3493">
        <v>7</v>
      </c>
      <c r="E3493" t="s">
        <v>4220</v>
      </c>
      <c r="F3493">
        <v>1</v>
      </c>
    </row>
    <row r="3494" spans="2:6" x14ac:dyDescent="0.2">
      <c r="B3494" t="s">
        <v>10398</v>
      </c>
      <c r="C3494" t="s">
        <v>5509</v>
      </c>
      <c r="D3494">
        <v>7</v>
      </c>
      <c r="E3494" t="s">
        <v>10399</v>
      </c>
      <c r="F3494">
        <v>53</v>
      </c>
    </row>
    <row r="3495" spans="2:6" x14ac:dyDescent="0.2">
      <c r="B3495" t="s">
        <v>10400</v>
      </c>
      <c r="C3495" t="s">
        <v>10401</v>
      </c>
      <c r="D3495">
        <v>7</v>
      </c>
      <c r="E3495" t="s">
        <v>2952</v>
      </c>
      <c r="F3495">
        <v>1</v>
      </c>
    </row>
    <row r="3496" spans="2:6" x14ac:dyDescent="0.2">
      <c r="B3496" t="s">
        <v>10402</v>
      </c>
      <c r="C3496" t="s">
        <v>10403</v>
      </c>
      <c r="D3496">
        <v>7</v>
      </c>
      <c r="E3496" t="s">
        <v>3261</v>
      </c>
      <c r="F3496">
        <v>1</v>
      </c>
    </row>
    <row r="3497" spans="2:6" x14ac:dyDescent="0.2">
      <c r="B3497" t="s">
        <v>10404</v>
      </c>
      <c r="C3497" t="s">
        <v>10405</v>
      </c>
      <c r="D3497">
        <v>7</v>
      </c>
      <c r="E3497" t="s">
        <v>8356</v>
      </c>
      <c r="F3497">
        <v>1</v>
      </c>
    </row>
    <row r="3498" spans="2:6" x14ac:dyDescent="0.2">
      <c r="B3498" t="s">
        <v>10406</v>
      </c>
      <c r="C3498" t="s">
        <v>10407</v>
      </c>
      <c r="D3498">
        <v>7</v>
      </c>
      <c r="E3498" t="s">
        <v>2921</v>
      </c>
      <c r="F3498">
        <v>2</v>
      </c>
    </row>
    <row r="3499" spans="2:6" x14ac:dyDescent="0.2">
      <c r="B3499" t="s">
        <v>10408</v>
      </c>
      <c r="C3499" t="s">
        <v>7058</v>
      </c>
      <c r="D3499">
        <v>7</v>
      </c>
      <c r="E3499" t="s">
        <v>10409</v>
      </c>
      <c r="F3499">
        <v>8</v>
      </c>
    </row>
    <row r="3500" spans="2:6" x14ac:dyDescent="0.2">
      <c r="B3500" t="s">
        <v>10410</v>
      </c>
      <c r="C3500" t="s">
        <v>10411</v>
      </c>
      <c r="D3500">
        <v>7</v>
      </c>
      <c r="E3500" t="s">
        <v>5367</v>
      </c>
      <c r="F3500">
        <v>2</v>
      </c>
    </row>
    <row r="3501" spans="2:6" x14ac:dyDescent="0.2">
      <c r="B3501" t="s">
        <v>10412</v>
      </c>
      <c r="C3501" t="s">
        <v>10413</v>
      </c>
      <c r="D3501">
        <v>7</v>
      </c>
      <c r="E3501" t="s">
        <v>3007</v>
      </c>
      <c r="F3501">
        <v>3</v>
      </c>
    </row>
    <row r="3502" spans="2:6" x14ac:dyDescent="0.2">
      <c r="B3502" t="s">
        <v>10414</v>
      </c>
      <c r="C3502" t="s">
        <v>10415</v>
      </c>
      <c r="D3502">
        <v>7</v>
      </c>
      <c r="E3502" t="s">
        <v>3507</v>
      </c>
      <c r="F3502">
        <v>1</v>
      </c>
    </row>
    <row r="3503" spans="2:6" x14ac:dyDescent="0.2">
      <c r="B3503" t="s">
        <v>10416</v>
      </c>
      <c r="C3503" t="s">
        <v>10417</v>
      </c>
      <c r="D3503">
        <v>7</v>
      </c>
      <c r="E3503" t="s">
        <v>4788</v>
      </c>
      <c r="F3503">
        <v>2</v>
      </c>
    </row>
    <row r="3504" spans="2:6" x14ac:dyDescent="0.2">
      <c r="B3504" t="s">
        <v>10418</v>
      </c>
      <c r="C3504" t="s">
        <v>10419</v>
      </c>
      <c r="D3504">
        <v>7</v>
      </c>
      <c r="E3504" t="s">
        <v>10420</v>
      </c>
      <c r="F3504">
        <v>3</v>
      </c>
    </row>
    <row r="3505" spans="2:6" x14ac:dyDescent="0.2">
      <c r="B3505" t="s">
        <v>10421</v>
      </c>
      <c r="C3505" t="s">
        <v>10422</v>
      </c>
      <c r="D3505">
        <v>7</v>
      </c>
      <c r="E3505" t="s">
        <v>4528</v>
      </c>
      <c r="F3505">
        <v>1</v>
      </c>
    </row>
    <row r="3506" spans="2:6" x14ac:dyDescent="0.2">
      <c r="B3506" t="s">
        <v>10423</v>
      </c>
      <c r="C3506" t="s">
        <v>10424</v>
      </c>
      <c r="D3506">
        <v>7</v>
      </c>
      <c r="E3506" t="s">
        <v>10425</v>
      </c>
      <c r="F3506">
        <v>15</v>
      </c>
    </row>
    <row r="3507" spans="2:6" x14ac:dyDescent="0.2">
      <c r="B3507" t="s">
        <v>969</v>
      </c>
      <c r="C3507" t="s">
        <v>10426</v>
      </c>
      <c r="D3507">
        <v>7</v>
      </c>
      <c r="E3507" t="s">
        <v>10427</v>
      </c>
      <c r="F3507">
        <v>64</v>
      </c>
    </row>
    <row r="3508" spans="2:6" x14ac:dyDescent="0.2">
      <c r="B3508" t="s">
        <v>10428</v>
      </c>
      <c r="C3508" t="s">
        <v>10429</v>
      </c>
      <c r="D3508">
        <v>7</v>
      </c>
      <c r="E3508" t="s">
        <v>3245</v>
      </c>
      <c r="F3508">
        <v>2</v>
      </c>
    </row>
    <row r="3509" spans="2:6" x14ac:dyDescent="0.2">
      <c r="B3509" t="s">
        <v>1216</v>
      </c>
      <c r="C3509" t="s">
        <v>10430</v>
      </c>
      <c r="D3509">
        <v>7</v>
      </c>
      <c r="E3509" t="s">
        <v>7831</v>
      </c>
      <c r="F3509">
        <v>10</v>
      </c>
    </row>
    <row r="3510" spans="2:6" x14ac:dyDescent="0.2">
      <c r="B3510" t="s">
        <v>10431</v>
      </c>
      <c r="C3510" t="s">
        <v>10432</v>
      </c>
      <c r="D3510">
        <v>7</v>
      </c>
      <c r="E3510" t="s">
        <v>7195</v>
      </c>
      <c r="F3510">
        <v>7</v>
      </c>
    </row>
    <row r="3511" spans="2:6" x14ac:dyDescent="0.2">
      <c r="B3511" t="s">
        <v>10433</v>
      </c>
      <c r="C3511" t="s">
        <v>10434</v>
      </c>
      <c r="D3511">
        <v>7</v>
      </c>
      <c r="E3511" t="s">
        <v>2785</v>
      </c>
      <c r="F3511">
        <v>3</v>
      </c>
    </row>
    <row r="3512" spans="2:6" x14ac:dyDescent="0.2">
      <c r="B3512" t="s">
        <v>10435</v>
      </c>
      <c r="C3512" t="s">
        <v>10436</v>
      </c>
      <c r="D3512">
        <v>7</v>
      </c>
      <c r="E3512" t="s">
        <v>10437</v>
      </c>
      <c r="F3512">
        <v>4</v>
      </c>
    </row>
    <row r="3513" spans="2:6" x14ac:dyDescent="0.2">
      <c r="B3513" t="s">
        <v>1285</v>
      </c>
      <c r="C3513" t="s">
        <v>10438</v>
      </c>
      <c r="D3513">
        <v>7</v>
      </c>
      <c r="E3513" t="s">
        <v>7528</v>
      </c>
      <c r="F3513">
        <v>6</v>
      </c>
    </row>
    <row r="3514" spans="2:6" x14ac:dyDescent="0.2">
      <c r="B3514" t="s">
        <v>10439</v>
      </c>
      <c r="C3514" t="s">
        <v>10440</v>
      </c>
      <c r="D3514">
        <v>7</v>
      </c>
      <c r="E3514" t="s">
        <v>3994</v>
      </c>
      <c r="F3514">
        <v>8</v>
      </c>
    </row>
    <row r="3515" spans="2:6" x14ac:dyDescent="0.2">
      <c r="B3515" t="s">
        <v>10441</v>
      </c>
      <c r="C3515" t="s">
        <v>10442</v>
      </c>
      <c r="D3515">
        <v>7</v>
      </c>
      <c r="E3515" t="s">
        <v>10443</v>
      </c>
      <c r="F3515">
        <v>2</v>
      </c>
    </row>
    <row r="3516" spans="2:6" x14ac:dyDescent="0.2">
      <c r="B3516" t="s">
        <v>10444</v>
      </c>
      <c r="C3516" t="s">
        <v>10445</v>
      </c>
      <c r="D3516">
        <v>7</v>
      </c>
      <c r="E3516" t="s">
        <v>10446</v>
      </c>
      <c r="F3516">
        <v>4</v>
      </c>
    </row>
    <row r="3517" spans="2:6" x14ac:dyDescent="0.2">
      <c r="B3517" t="s">
        <v>10447</v>
      </c>
      <c r="C3517" t="s">
        <v>10448</v>
      </c>
      <c r="D3517">
        <v>7</v>
      </c>
      <c r="E3517" t="s">
        <v>8672</v>
      </c>
      <c r="F3517">
        <v>15</v>
      </c>
    </row>
    <row r="3518" spans="2:6" x14ac:dyDescent="0.2">
      <c r="B3518" t="s">
        <v>10449</v>
      </c>
      <c r="C3518" t="s">
        <v>10450</v>
      </c>
      <c r="D3518">
        <v>7</v>
      </c>
      <c r="E3518" t="s">
        <v>2915</v>
      </c>
      <c r="F3518">
        <v>10</v>
      </c>
    </row>
    <row r="3519" spans="2:6" x14ac:dyDescent="0.2">
      <c r="B3519" t="s">
        <v>900</v>
      </c>
      <c r="C3519" t="s">
        <v>10451</v>
      </c>
      <c r="D3519">
        <v>7</v>
      </c>
      <c r="E3519" t="s">
        <v>3909</v>
      </c>
      <c r="F3519">
        <v>2</v>
      </c>
    </row>
    <row r="3520" spans="2:6" x14ac:dyDescent="0.2">
      <c r="B3520" t="s">
        <v>10452</v>
      </c>
      <c r="C3520" t="s">
        <v>10453</v>
      </c>
      <c r="D3520">
        <v>7</v>
      </c>
      <c r="E3520" t="s">
        <v>2921</v>
      </c>
      <c r="F3520">
        <v>5</v>
      </c>
    </row>
    <row r="3521" spans="2:6" x14ac:dyDescent="0.2">
      <c r="B3521" t="s">
        <v>1037</v>
      </c>
      <c r="C3521" t="s">
        <v>10454</v>
      </c>
      <c r="D3521">
        <v>7</v>
      </c>
      <c r="E3521" t="s">
        <v>3250</v>
      </c>
      <c r="F3521">
        <v>9</v>
      </c>
    </row>
    <row r="3522" spans="2:6" x14ac:dyDescent="0.2">
      <c r="B3522" t="s">
        <v>10455</v>
      </c>
      <c r="C3522" t="s">
        <v>10456</v>
      </c>
      <c r="D3522">
        <v>7</v>
      </c>
      <c r="E3522" t="s">
        <v>3109</v>
      </c>
      <c r="F3522">
        <v>2</v>
      </c>
    </row>
    <row r="3523" spans="2:6" x14ac:dyDescent="0.2">
      <c r="B3523" t="s">
        <v>10457</v>
      </c>
      <c r="C3523" t="s">
        <v>10458</v>
      </c>
      <c r="D3523">
        <v>7</v>
      </c>
      <c r="E3523" t="s">
        <v>10459</v>
      </c>
      <c r="F3523">
        <v>1</v>
      </c>
    </row>
    <row r="3524" spans="2:6" x14ac:dyDescent="0.2">
      <c r="B3524" t="s">
        <v>1537</v>
      </c>
      <c r="C3524" t="s">
        <v>10460</v>
      </c>
      <c r="D3524">
        <v>7</v>
      </c>
      <c r="E3524" t="s">
        <v>6918</v>
      </c>
      <c r="F3524">
        <v>5</v>
      </c>
    </row>
    <row r="3525" spans="2:6" x14ac:dyDescent="0.2">
      <c r="B3525" t="s">
        <v>10461</v>
      </c>
      <c r="C3525" t="s">
        <v>10462</v>
      </c>
      <c r="D3525">
        <v>7</v>
      </c>
      <c r="E3525" t="s">
        <v>10463</v>
      </c>
      <c r="F3525">
        <v>1</v>
      </c>
    </row>
    <row r="3526" spans="2:6" x14ac:dyDescent="0.2">
      <c r="B3526" t="s">
        <v>10464</v>
      </c>
      <c r="C3526" t="s">
        <v>10465</v>
      </c>
      <c r="D3526">
        <v>7</v>
      </c>
      <c r="E3526" t="s">
        <v>10466</v>
      </c>
      <c r="F3526">
        <v>2</v>
      </c>
    </row>
    <row r="3527" spans="2:6" x14ac:dyDescent="0.2">
      <c r="B3527" t="s">
        <v>1874</v>
      </c>
      <c r="C3527" t="s">
        <v>10467</v>
      </c>
      <c r="D3527">
        <v>7</v>
      </c>
      <c r="E3527" t="s">
        <v>3119</v>
      </c>
      <c r="F3527">
        <v>1</v>
      </c>
    </row>
    <row r="3528" spans="2:6" x14ac:dyDescent="0.2">
      <c r="B3528" t="s">
        <v>10468</v>
      </c>
      <c r="C3528" t="s">
        <v>10469</v>
      </c>
      <c r="D3528">
        <v>7</v>
      </c>
      <c r="E3528" t="s">
        <v>8728</v>
      </c>
      <c r="F3528">
        <v>20</v>
      </c>
    </row>
    <row r="3529" spans="2:6" x14ac:dyDescent="0.2">
      <c r="B3529" t="s">
        <v>1083</v>
      </c>
      <c r="C3529" t="s">
        <v>10470</v>
      </c>
      <c r="D3529">
        <v>7</v>
      </c>
      <c r="E3529" t="s">
        <v>3261</v>
      </c>
      <c r="F3529">
        <v>4</v>
      </c>
    </row>
    <row r="3530" spans="2:6" x14ac:dyDescent="0.2">
      <c r="B3530" t="s">
        <v>10471</v>
      </c>
      <c r="C3530" t="s">
        <v>10472</v>
      </c>
      <c r="D3530">
        <v>7</v>
      </c>
      <c r="E3530" t="s">
        <v>3824</v>
      </c>
      <c r="F3530">
        <v>1</v>
      </c>
    </row>
    <row r="3531" spans="2:6" x14ac:dyDescent="0.2">
      <c r="B3531" t="s">
        <v>10473</v>
      </c>
      <c r="C3531" t="s">
        <v>10474</v>
      </c>
      <c r="D3531">
        <v>7</v>
      </c>
      <c r="E3531" t="s">
        <v>10475</v>
      </c>
      <c r="F3531">
        <v>7</v>
      </c>
    </row>
    <row r="3532" spans="2:6" x14ac:dyDescent="0.2">
      <c r="B3532" t="s">
        <v>10476</v>
      </c>
      <c r="C3532" t="s">
        <v>10477</v>
      </c>
      <c r="D3532">
        <v>7</v>
      </c>
      <c r="E3532" t="s">
        <v>3321</v>
      </c>
      <c r="F3532">
        <v>1</v>
      </c>
    </row>
    <row r="3533" spans="2:6" x14ac:dyDescent="0.2">
      <c r="B3533" t="s">
        <v>10478</v>
      </c>
      <c r="C3533" t="s">
        <v>10479</v>
      </c>
      <c r="D3533">
        <v>7</v>
      </c>
      <c r="E3533" t="s">
        <v>2915</v>
      </c>
      <c r="F3533">
        <v>1</v>
      </c>
    </row>
    <row r="3534" spans="2:6" x14ac:dyDescent="0.2">
      <c r="B3534" t="s">
        <v>10480</v>
      </c>
      <c r="C3534" t="s">
        <v>10481</v>
      </c>
      <c r="D3534">
        <v>7</v>
      </c>
      <c r="E3534" t="s">
        <v>3201</v>
      </c>
      <c r="F3534">
        <v>1</v>
      </c>
    </row>
    <row r="3535" spans="2:6" x14ac:dyDescent="0.2">
      <c r="B3535" t="s">
        <v>10482</v>
      </c>
      <c r="C3535" t="s">
        <v>10483</v>
      </c>
      <c r="D3535">
        <v>7</v>
      </c>
      <c r="E3535" t="s">
        <v>3007</v>
      </c>
      <c r="F3535">
        <v>1</v>
      </c>
    </row>
    <row r="3536" spans="2:6" x14ac:dyDescent="0.2">
      <c r="B3536" t="s">
        <v>10484</v>
      </c>
      <c r="C3536" t="s">
        <v>10485</v>
      </c>
      <c r="D3536">
        <v>7</v>
      </c>
      <c r="E3536" t="s">
        <v>4273</v>
      </c>
      <c r="F3536">
        <v>1</v>
      </c>
    </row>
    <row r="3537" spans="2:6" x14ac:dyDescent="0.2">
      <c r="B3537" t="s">
        <v>10486</v>
      </c>
      <c r="C3537" t="s">
        <v>10487</v>
      </c>
      <c r="D3537">
        <v>7</v>
      </c>
      <c r="E3537" t="s">
        <v>2830</v>
      </c>
      <c r="F3537">
        <v>3</v>
      </c>
    </row>
    <row r="3538" spans="2:6" x14ac:dyDescent="0.2">
      <c r="B3538" t="s">
        <v>10488</v>
      </c>
      <c r="C3538" t="s">
        <v>10489</v>
      </c>
      <c r="D3538">
        <v>7</v>
      </c>
      <c r="E3538" t="s">
        <v>3786</v>
      </c>
      <c r="F3538">
        <v>3</v>
      </c>
    </row>
    <row r="3539" spans="2:6" x14ac:dyDescent="0.2">
      <c r="B3539" t="s">
        <v>10490</v>
      </c>
      <c r="C3539" t="s">
        <v>10491</v>
      </c>
      <c r="D3539">
        <v>7</v>
      </c>
      <c r="E3539" t="s">
        <v>3756</v>
      </c>
      <c r="F3539">
        <v>11</v>
      </c>
    </row>
    <row r="3540" spans="2:6" x14ac:dyDescent="0.2">
      <c r="B3540" t="s">
        <v>10492</v>
      </c>
      <c r="C3540" t="s">
        <v>10493</v>
      </c>
      <c r="D3540">
        <v>7</v>
      </c>
      <c r="E3540" t="s">
        <v>3415</v>
      </c>
      <c r="F3540">
        <v>16</v>
      </c>
    </row>
    <row r="3541" spans="2:6" x14ac:dyDescent="0.2">
      <c r="B3541" t="s">
        <v>10494</v>
      </c>
      <c r="C3541" t="s">
        <v>10495</v>
      </c>
      <c r="D3541">
        <v>7</v>
      </c>
      <c r="E3541" t="s">
        <v>2958</v>
      </c>
      <c r="F3541">
        <v>3</v>
      </c>
    </row>
    <row r="3542" spans="2:6" x14ac:dyDescent="0.2">
      <c r="B3542" t="s">
        <v>10496</v>
      </c>
      <c r="C3542" t="s">
        <v>10497</v>
      </c>
      <c r="D3542">
        <v>7</v>
      </c>
      <c r="E3542" t="s">
        <v>2839</v>
      </c>
      <c r="F3542">
        <v>2</v>
      </c>
    </row>
    <row r="3543" spans="2:6" x14ac:dyDescent="0.2">
      <c r="B3543" t="s">
        <v>10498</v>
      </c>
      <c r="C3543" t="s">
        <v>10499</v>
      </c>
      <c r="D3543">
        <v>7</v>
      </c>
      <c r="E3543" t="s">
        <v>3084</v>
      </c>
      <c r="F3543">
        <v>1</v>
      </c>
    </row>
    <row r="3544" spans="2:6" x14ac:dyDescent="0.2">
      <c r="B3544" t="s">
        <v>10500</v>
      </c>
      <c r="C3544" t="s">
        <v>10501</v>
      </c>
      <c r="D3544">
        <v>7</v>
      </c>
      <c r="E3544" t="s">
        <v>5745</v>
      </c>
      <c r="F3544">
        <v>14</v>
      </c>
    </row>
    <row r="3545" spans="2:6" x14ac:dyDescent="0.2">
      <c r="B3545" t="s">
        <v>10502</v>
      </c>
      <c r="C3545" t="s">
        <v>10503</v>
      </c>
      <c r="D3545">
        <v>7</v>
      </c>
      <c r="E3545" t="s">
        <v>2930</v>
      </c>
      <c r="F3545">
        <v>2</v>
      </c>
    </row>
    <row r="3546" spans="2:6" x14ac:dyDescent="0.2">
      <c r="B3546" t="s">
        <v>561</v>
      </c>
      <c r="C3546" t="s">
        <v>10504</v>
      </c>
      <c r="D3546">
        <v>7</v>
      </c>
      <c r="E3546" t="s">
        <v>3042</v>
      </c>
      <c r="F3546">
        <v>2</v>
      </c>
    </row>
    <row r="3547" spans="2:6" x14ac:dyDescent="0.2">
      <c r="B3547" t="s">
        <v>10505</v>
      </c>
      <c r="C3547" t="s">
        <v>10506</v>
      </c>
      <c r="D3547">
        <v>7</v>
      </c>
      <c r="E3547" t="s">
        <v>3261</v>
      </c>
      <c r="F3547">
        <v>2</v>
      </c>
    </row>
    <row r="3548" spans="2:6" x14ac:dyDescent="0.2">
      <c r="B3548" t="s">
        <v>10507</v>
      </c>
      <c r="C3548" t="s">
        <v>10508</v>
      </c>
      <c r="D3548">
        <v>7</v>
      </c>
      <c r="E3548" t="s">
        <v>3098</v>
      </c>
      <c r="F3548">
        <v>2</v>
      </c>
    </row>
    <row r="3549" spans="2:6" x14ac:dyDescent="0.2">
      <c r="B3549" t="s">
        <v>10509</v>
      </c>
      <c r="C3549" t="s">
        <v>10510</v>
      </c>
      <c r="D3549">
        <v>7</v>
      </c>
      <c r="E3549" t="s">
        <v>2850</v>
      </c>
      <c r="F3549">
        <v>1</v>
      </c>
    </row>
    <row r="3550" spans="2:6" x14ac:dyDescent="0.2">
      <c r="B3550" t="s">
        <v>1080</v>
      </c>
      <c r="C3550" t="s">
        <v>10511</v>
      </c>
      <c r="D3550">
        <v>7</v>
      </c>
      <c r="E3550" t="s">
        <v>3261</v>
      </c>
      <c r="F3550">
        <v>4</v>
      </c>
    </row>
    <row r="3551" spans="2:6" x14ac:dyDescent="0.2">
      <c r="B3551" t="s">
        <v>10512</v>
      </c>
      <c r="C3551" t="s">
        <v>10513</v>
      </c>
      <c r="D3551">
        <v>7</v>
      </c>
      <c r="E3551" t="s">
        <v>10514</v>
      </c>
      <c r="F3551">
        <v>2</v>
      </c>
    </row>
    <row r="3552" spans="2:6" x14ac:dyDescent="0.2">
      <c r="B3552" t="s">
        <v>10515</v>
      </c>
      <c r="C3552" t="s">
        <v>10516</v>
      </c>
      <c r="D3552">
        <v>7</v>
      </c>
      <c r="E3552" t="s">
        <v>2997</v>
      </c>
      <c r="F3552">
        <v>4</v>
      </c>
    </row>
    <row r="3553" spans="2:6" x14ac:dyDescent="0.2">
      <c r="B3553" t="s">
        <v>10517</v>
      </c>
      <c r="C3553" t="s">
        <v>10518</v>
      </c>
      <c r="D3553">
        <v>7</v>
      </c>
      <c r="E3553" t="s">
        <v>6170</v>
      </c>
      <c r="F3553">
        <v>1</v>
      </c>
    </row>
    <row r="3554" spans="2:6" x14ac:dyDescent="0.2">
      <c r="B3554" t="s">
        <v>10519</v>
      </c>
      <c r="C3554" t="s">
        <v>10520</v>
      </c>
      <c r="D3554">
        <v>7</v>
      </c>
      <c r="E3554" t="s">
        <v>6979</v>
      </c>
      <c r="F3554">
        <v>4</v>
      </c>
    </row>
    <row r="3555" spans="2:6" x14ac:dyDescent="0.2">
      <c r="B3555" t="s">
        <v>10521</v>
      </c>
      <c r="C3555" t="s">
        <v>10522</v>
      </c>
      <c r="D3555">
        <v>7</v>
      </c>
      <c r="E3555" t="s">
        <v>3203</v>
      </c>
      <c r="F3555">
        <v>4</v>
      </c>
    </row>
    <row r="3556" spans="2:6" x14ac:dyDescent="0.2">
      <c r="B3556" t="s">
        <v>10523</v>
      </c>
      <c r="C3556" t="s">
        <v>10524</v>
      </c>
      <c r="D3556">
        <v>7</v>
      </c>
      <c r="E3556" t="s">
        <v>2988</v>
      </c>
      <c r="F3556">
        <v>3</v>
      </c>
    </row>
    <row r="3557" spans="2:6" x14ac:dyDescent="0.2">
      <c r="B3557" t="s">
        <v>10525</v>
      </c>
      <c r="C3557" t="s">
        <v>10526</v>
      </c>
      <c r="D3557">
        <v>7</v>
      </c>
      <c r="E3557" t="s">
        <v>3213</v>
      </c>
      <c r="F3557">
        <v>2</v>
      </c>
    </row>
    <row r="3558" spans="2:6" x14ac:dyDescent="0.2">
      <c r="B3558" t="s">
        <v>897</v>
      </c>
      <c r="C3558" t="s">
        <v>380</v>
      </c>
      <c r="D3558">
        <v>7</v>
      </c>
      <c r="E3558" t="s">
        <v>8206</v>
      </c>
      <c r="F3558">
        <v>8</v>
      </c>
    </row>
    <row r="3559" spans="2:6" x14ac:dyDescent="0.2">
      <c r="B3559" t="s">
        <v>10527</v>
      </c>
      <c r="C3559" t="s">
        <v>10528</v>
      </c>
      <c r="D3559">
        <v>7</v>
      </c>
      <c r="E3559" t="s">
        <v>10529</v>
      </c>
      <c r="F3559">
        <v>50</v>
      </c>
    </row>
    <row r="3560" spans="2:6" x14ac:dyDescent="0.2">
      <c r="B3560" t="s">
        <v>10530</v>
      </c>
      <c r="C3560" t="s">
        <v>10531</v>
      </c>
      <c r="D3560">
        <v>7</v>
      </c>
      <c r="E3560" t="s">
        <v>6265</v>
      </c>
      <c r="F3560">
        <v>3</v>
      </c>
    </row>
    <row r="3561" spans="2:6" x14ac:dyDescent="0.2">
      <c r="B3561" t="s">
        <v>10532</v>
      </c>
      <c r="C3561" t="s">
        <v>10533</v>
      </c>
      <c r="D3561">
        <v>7</v>
      </c>
      <c r="E3561" t="s">
        <v>5932</v>
      </c>
      <c r="F3561">
        <v>3</v>
      </c>
    </row>
    <row r="3562" spans="2:6" x14ac:dyDescent="0.2">
      <c r="B3562" t="s">
        <v>868</v>
      </c>
      <c r="C3562" t="s">
        <v>10534</v>
      </c>
      <c r="D3562">
        <v>7</v>
      </c>
      <c r="E3562" t="s">
        <v>3113</v>
      </c>
      <c r="F3562">
        <v>2</v>
      </c>
    </row>
    <row r="3563" spans="2:6" x14ac:dyDescent="0.2">
      <c r="B3563" t="s">
        <v>10535</v>
      </c>
      <c r="C3563" t="s">
        <v>10536</v>
      </c>
      <c r="D3563">
        <v>7</v>
      </c>
      <c r="E3563" t="s">
        <v>3426</v>
      </c>
      <c r="F3563">
        <v>1</v>
      </c>
    </row>
    <row r="3564" spans="2:6" x14ac:dyDescent="0.2">
      <c r="B3564" t="s">
        <v>10537</v>
      </c>
      <c r="C3564" t="s">
        <v>10538</v>
      </c>
      <c r="D3564">
        <v>7</v>
      </c>
      <c r="E3564" t="s">
        <v>4268</v>
      </c>
      <c r="F3564">
        <v>1</v>
      </c>
    </row>
    <row r="3565" spans="2:6" x14ac:dyDescent="0.2">
      <c r="B3565" t="s">
        <v>10539</v>
      </c>
      <c r="C3565" t="s">
        <v>4291</v>
      </c>
      <c r="D3565">
        <v>7</v>
      </c>
      <c r="E3565" t="s">
        <v>10540</v>
      </c>
      <c r="F3565">
        <v>2</v>
      </c>
    </row>
    <row r="3566" spans="2:6" x14ac:dyDescent="0.2">
      <c r="B3566" t="s">
        <v>10541</v>
      </c>
      <c r="C3566" t="s">
        <v>10542</v>
      </c>
      <c r="D3566">
        <v>7</v>
      </c>
      <c r="E3566" t="s">
        <v>10543</v>
      </c>
      <c r="F3566">
        <v>1</v>
      </c>
    </row>
    <row r="3567" spans="2:6" x14ac:dyDescent="0.2">
      <c r="B3567" t="s">
        <v>10544</v>
      </c>
      <c r="C3567" t="s">
        <v>10545</v>
      </c>
      <c r="D3567">
        <v>7</v>
      </c>
      <c r="E3567" t="s">
        <v>2830</v>
      </c>
      <c r="F3567">
        <v>5</v>
      </c>
    </row>
    <row r="3568" spans="2:6" x14ac:dyDescent="0.2">
      <c r="B3568" t="s">
        <v>10546</v>
      </c>
      <c r="C3568" t="s">
        <v>10547</v>
      </c>
      <c r="D3568">
        <v>7</v>
      </c>
      <c r="E3568" t="s">
        <v>2850</v>
      </c>
      <c r="F3568">
        <v>6</v>
      </c>
    </row>
    <row r="3569" spans="2:6" x14ac:dyDescent="0.2">
      <c r="B3569" t="s">
        <v>10548</v>
      </c>
      <c r="C3569" t="s">
        <v>10549</v>
      </c>
      <c r="D3569">
        <v>7</v>
      </c>
      <c r="E3569" t="s">
        <v>3201</v>
      </c>
      <c r="F3569">
        <v>2</v>
      </c>
    </row>
    <row r="3570" spans="2:6" x14ac:dyDescent="0.2">
      <c r="B3570" t="s">
        <v>10550</v>
      </c>
      <c r="C3570" t="s">
        <v>10551</v>
      </c>
      <c r="D3570">
        <v>7</v>
      </c>
      <c r="E3570" t="s">
        <v>2941</v>
      </c>
      <c r="F3570">
        <v>1</v>
      </c>
    </row>
    <row r="3571" spans="2:6" x14ac:dyDescent="0.2">
      <c r="B3571" t="s">
        <v>10552</v>
      </c>
      <c r="C3571" t="s">
        <v>10553</v>
      </c>
      <c r="D3571">
        <v>7</v>
      </c>
      <c r="E3571" t="s">
        <v>3031</v>
      </c>
      <c r="F3571">
        <v>4</v>
      </c>
    </row>
    <row r="3572" spans="2:6" x14ac:dyDescent="0.2">
      <c r="B3572" t="s">
        <v>159</v>
      </c>
      <c r="C3572" t="s">
        <v>10554</v>
      </c>
      <c r="D3572">
        <v>7</v>
      </c>
      <c r="E3572" t="s">
        <v>4222</v>
      </c>
      <c r="F3572">
        <v>8</v>
      </c>
    </row>
    <row r="3573" spans="2:6" x14ac:dyDescent="0.2">
      <c r="B3573" t="s">
        <v>578</v>
      </c>
      <c r="C3573" t="s">
        <v>10555</v>
      </c>
      <c r="D3573">
        <v>7</v>
      </c>
      <c r="E3573" t="s">
        <v>2915</v>
      </c>
      <c r="F3573">
        <v>1</v>
      </c>
    </row>
    <row r="3574" spans="2:6" x14ac:dyDescent="0.2">
      <c r="B3574" t="s">
        <v>10556</v>
      </c>
      <c r="C3574" t="s">
        <v>10557</v>
      </c>
      <c r="D3574">
        <v>7</v>
      </c>
      <c r="E3574" t="s">
        <v>5118</v>
      </c>
      <c r="F3574">
        <v>2</v>
      </c>
    </row>
    <row r="3575" spans="2:6" x14ac:dyDescent="0.2">
      <c r="B3575" t="s">
        <v>10558</v>
      </c>
      <c r="C3575" t="s">
        <v>10559</v>
      </c>
      <c r="D3575">
        <v>7</v>
      </c>
      <c r="E3575" t="s">
        <v>5603</v>
      </c>
      <c r="F3575">
        <v>1</v>
      </c>
    </row>
    <row r="3576" spans="2:6" x14ac:dyDescent="0.2">
      <c r="B3576" t="s">
        <v>10560</v>
      </c>
      <c r="C3576" t="s">
        <v>10561</v>
      </c>
      <c r="D3576">
        <v>7</v>
      </c>
      <c r="E3576" t="s">
        <v>10562</v>
      </c>
      <c r="F3576">
        <v>1</v>
      </c>
    </row>
    <row r="3577" spans="2:6" x14ac:dyDescent="0.2">
      <c r="B3577" t="s">
        <v>10563</v>
      </c>
      <c r="C3577" t="s">
        <v>10564</v>
      </c>
      <c r="D3577">
        <v>7</v>
      </c>
      <c r="E3577" t="s">
        <v>4187</v>
      </c>
      <c r="F3577">
        <v>1</v>
      </c>
    </row>
    <row r="3578" spans="2:6" x14ac:dyDescent="0.2">
      <c r="B3578" t="s">
        <v>10565</v>
      </c>
      <c r="C3578" t="s">
        <v>10566</v>
      </c>
      <c r="D3578">
        <v>7</v>
      </c>
      <c r="E3578" t="s">
        <v>10567</v>
      </c>
      <c r="F3578">
        <v>2</v>
      </c>
    </row>
    <row r="3579" spans="2:6" x14ac:dyDescent="0.2">
      <c r="B3579" t="s">
        <v>10568</v>
      </c>
      <c r="C3579" t="s">
        <v>10569</v>
      </c>
      <c r="D3579">
        <v>7</v>
      </c>
      <c r="E3579" t="s">
        <v>2857</v>
      </c>
      <c r="F3579">
        <v>1</v>
      </c>
    </row>
    <row r="3580" spans="2:6" x14ac:dyDescent="0.2">
      <c r="B3580" t="s">
        <v>10570</v>
      </c>
      <c r="C3580" t="s">
        <v>10571</v>
      </c>
      <c r="D3580">
        <v>7</v>
      </c>
      <c r="E3580" t="s">
        <v>3133</v>
      </c>
      <c r="F3580">
        <v>4</v>
      </c>
    </row>
    <row r="3581" spans="2:6" x14ac:dyDescent="0.2">
      <c r="B3581" t="s">
        <v>10572</v>
      </c>
      <c r="C3581" t="s">
        <v>4179</v>
      </c>
      <c r="D3581">
        <v>7</v>
      </c>
      <c r="E3581" t="s">
        <v>10573</v>
      </c>
      <c r="F3581">
        <v>2</v>
      </c>
    </row>
    <row r="3582" spans="2:6" x14ac:dyDescent="0.2">
      <c r="B3582" t="s">
        <v>10574</v>
      </c>
      <c r="C3582" t="s">
        <v>10575</v>
      </c>
      <c r="D3582">
        <v>7</v>
      </c>
      <c r="E3582" t="s">
        <v>2921</v>
      </c>
      <c r="F3582">
        <v>3</v>
      </c>
    </row>
    <row r="3583" spans="2:6" x14ac:dyDescent="0.2">
      <c r="B3583" t="s">
        <v>10576</v>
      </c>
      <c r="C3583" t="s">
        <v>10577</v>
      </c>
      <c r="D3583">
        <v>7</v>
      </c>
      <c r="E3583" t="s">
        <v>9167</v>
      </c>
      <c r="F3583">
        <v>5</v>
      </c>
    </row>
    <row r="3584" spans="2:6" x14ac:dyDescent="0.2">
      <c r="B3584" t="s">
        <v>10578</v>
      </c>
      <c r="C3584" t="s">
        <v>10579</v>
      </c>
      <c r="D3584">
        <v>7</v>
      </c>
      <c r="E3584" t="s">
        <v>3106</v>
      </c>
      <c r="F3584">
        <v>3</v>
      </c>
    </row>
    <row r="3585" spans="2:6" x14ac:dyDescent="0.2">
      <c r="B3585" t="s">
        <v>10580</v>
      </c>
      <c r="C3585" t="s">
        <v>10581</v>
      </c>
      <c r="D3585">
        <v>7</v>
      </c>
      <c r="E3585" t="s">
        <v>10582</v>
      </c>
      <c r="F3585">
        <v>2</v>
      </c>
    </row>
    <row r="3586" spans="2:6" x14ac:dyDescent="0.2">
      <c r="B3586" t="s">
        <v>10583</v>
      </c>
      <c r="C3586" t="s">
        <v>10584</v>
      </c>
      <c r="D3586">
        <v>7</v>
      </c>
      <c r="E3586" t="s">
        <v>3452</v>
      </c>
      <c r="F3586">
        <v>2</v>
      </c>
    </row>
    <row r="3587" spans="2:6" x14ac:dyDescent="0.2">
      <c r="B3587" t="s">
        <v>10585</v>
      </c>
      <c r="C3587" t="s">
        <v>10586</v>
      </c>
      <c r="D3587">
        <v>7</v>
      </c>
      <c r="E3587" t="s">
        <v>10587</v>
      </c>
      <c r="F3587">
        <v>3</v>
      </c>
    </row>
    <row r="3588" spans="2:6" x14ac:dyDescent="0.2">
      <c r="B3588" t="s">
        <v>10588</v>
      </c>
      <c r="C3588" t="s">
        <v>10589</v>
      </c>
      <c r="D3588">
        <v>7</v>
      </c>
      <c r="E3588" t="s">
        <v>2949</v>
      </c>
      <c r="F3588">
        <v>1</v>
      </c>
    </row>
    <row r="3589" spans="2:6" x14ac:dyDescent="0.2">
      <c r="B3589" t="s">
        <v>1231</v>
      </c>
      <c r="C3589" t="s">
        <v>10590</v>
      </c>
      <c r="D3589">
        <v>7</v>
      </c>
      <c r="E3589" t="s">
        <v>7528</v>
      </c>
      <c r="F3589">
        <v>3</v>
      </c>
    </row>
    <row r="3590" spans="2:6" x14ac:dyDescent="0.2">
      <c r="B3590" t="s">
        <v>10591</v>
      </c>
      <c r="C3590" t="s">
        <v>10592</v>
      </c>
      <c r="D3590">
        <v>7</v>
      </c>
      <c r="E3590" t="s">
        <v>10593</v>
      </c>
      <c r="F3590">
        <v>1</v>
      </c>
    </row>
    <row r="3591" spans="2:6" x14ac:dyDescent="0.2">
      <c r="B3591" t="s">
        <v>10594</v>
      </c>
      <c r="C3591" t="s">
        <v>9697</v>
      </c>
      <c r="D3591">
        <v>7</v>
      </c>
      <c r="E3591" t="s">
        <v>2830</v>
      </c>
      <c r="F3591">
        <v>12</v>
      </c>
    </row>
    <row r="3592" spans="2:6" x14ac:dyDescent="0.2">
      <c r="B3592" t="s">
        <v>10595</v>
      </c>
      <c r="C3592" t="s">
        <v>10596</v>
      </c>
      <c r="D3592">
        <v>7</v>
      </c>
      <c r="E3592" t="s">
        <v>3004</v>
      </c>
      <c r="F3592">
        <v>1</v>
      </c>
    </row>
    <row r="3593" spans="2:6" x14ac:dyDescent="0.2">
      <c r="B3593" t="s">
        <v>10597</v>
      </c>
      <c r="C3593" t="s">
        <v>10598</v>
      </c>
      <c r="D3593">
        <v>7</v>
      </c>
      <c r="E3593" t="s">
        <v>2785</v>
      </c>
      <c r="F3593">
        <v>1</v>
      </c>
    </row>
    <row r="3594" spans="2:6" x14ac:dyDescent="0.2">
      <c r="B3594" t="s">
        <v>10599</v>
      </c>
      <c r="C3594" t="s">
        <v>10600</v>
      </c>
      <c r="D3594">
        <v>7</v>
      </c>
      <c r="E3594" t="s">
        <v>6083</v>
      </c>
      <c r="F3594">
        <v>4</v>
      </c>
    </row>
    <row r="3595" spans="2:6" x14ac:dyDescent="0.2">
      <c r="B3595" t="s">
        <v>297</v>
      </c>
      <c r="C3595" t="s">
        <v>10601</v>
      </c>
      <c r="D3595">
        <v>7</v>
      </c>
      <c r="E3595" t="s">
        <v>3564</v>
      </c>
      <c r="F3595">
        <v>1</v>
      </c>
    </row>
    <row r="3596" spans="2:6" x14ac:dyDescent="0.2">
      <c r="B3596" t="s">
        <v>10602</v>
      </c>
      <c r="C3596" t="s">
        <v>10603</v>
      </c>
      <c r="D3596">
        <v>7</v>
      </c>
      <c r="E3596" t="s">
        <v>4580</v>
      </c>
      <c r="F3596">
        <v>2</v>
      </c>
    </row>
    <row r="3597" spans="2:6" x14ac:dyDescent="0.2">
      <c r="B3597" t="s">
        <v>10604</v>
      </c>
      <c r="C3597" t="s">
        <v>10605</v>
      </c>
      <c r="D3597">
        <v>7</v>
      </c>
      <c r="E3597" t="s">
        <v>5412</v>
      </c>
      <c r="F3597">
        <v>11</v>
      </c>
    </row>
    <row r="3598" spans="2:6" x14ac:dyDescent="0.2">
      <c r="B3598" t="s">
        <v>10606</v>
      </c>
      <c r="C3598" t="s">
        <v>10607</v>
      </c>
      <c r="D3598">
        <v>7</v>
      </c>
      <c r="E3598" t="s">
        <v>5745</v>
      </c>
      <c r="F3598">
        <v>7</v>
      </c>
    </row>
    <row r="3599" spans="2:6" x14ac:dyDescent="0.2">
      <c r="B3599" t="s">
        <v>10608</v>
      </c>
      <c r="C3599" t="s">
        <v>10609</v>
      </c>
      <c r="D3599">
        <v>7</v>
      </c>
      <c r="E3599" t="s">
        <v>5890</v>
      </c>
      <c r="F3599">
        <v>2</v>
      </c>
    </row>
    <row r="3600" spans="2:6" x14ac:dyDescent="0.2">
      <c r="B3600" t="s">
        <v>10610</v>
      </c>
      <c r="C3600" t="s">
        <v>10611</v>
      </c>
      <c r="D3600">
        <v>7</v>
      </c>
      <c r="E3600" t="s">
        <v>2811</v>
      </c>
      <c r="F3600">
        <v>2</v>
      </c>
    </row>
    <row r="3601" spans="2:6" x14ac:dyDescent="0.2">
      <c r="B3601" t="s">
        <v>10612</v>
      </c>
      <c r="C3601" t="s">
        <v>10613</v>
      </c>
      <c r="D3601">
        <v>7</v>
      </c>
      <c r="E3601" t="s">
        <v>6438</v>
      </c>
      <c r="F3601">
        <v>1</v>
      </c>
    </row>
    <row r="3602" spans="2:6" x14ac:dyDescent="0.2">
      <c r="B3602" t="s">
        <v>10614</v>
      </c>
      <c r="C3602" t="s">
        <v>10615</v>
      </c>
      <c r="D3602">
        <v>7</v>
      </c>
      <c r="E3602" t="s">
        <v>2915</v>
      </c>
      <c r="F3602">
        <v>7</v>
      </c>
    </row>
    <row r="3603" spans="2:6" x14ac:dyDescent="0.2">
      <c r="B3603" t="s">
        <v>10616</v>
      </c>
      <c r="C3603" t="s">
        <v>10617</v>
      </c>
      <c r="D3603">
        <v>7</v>
      </c>
      <c r="E3603" t="s">
        <v>2930</v>
      </c>
      <c r="F3603">
        <v>1</v>
      </c>
    </row>
    <row r="3604" spans="2:6" x14ac:dyDescent="0.2">
      <c r="B3604" t="s">
        <v>10618</v>
      </c>
      <c r="C3604" t="s">
        <v>10619</v>
      </c>
      <c r="D3604">
        <v>7</v>
      </c>
      <c r="E3604" t="s">
        <v>5160</v>
      </c>
      <c r="F3604">
        <v>2</v>
      </c>
    </row>
    <row r="3605" spans="2:6" x14ac:dyDescent="0.2">
      <c r="B3605" t="s">
        <v>10620</v>
      </c>
      <c r="C3605" t="s">
        <v>10621</v>
      </c>
      <c r="D3605">
        <v>7</v>
      </c>
      <c r="E3605" t="s">
        <v>3176</v>
      </c>
      <c r="F3605">
        <v>1</v>
      </c>
    </row>
    <row r="3606" spans="2:6" x14ac:dyDescent="0.2">
      <c r="B3606" t="s">
        <v>10622</v>
      </c>
      <c r="C3606" t="s">
        <v>10623</v>
      </c>
      <c r="D3606">
        <v>7</v>
      </c>
      <c r="E3606" t="s">
        <v>3702</v>
      </c>
      <c r="F3606">
        <v>1</v>
      </c>
    </row>
    <row r="3607" spans="2:6" x14ac:dyDescent="0.2">
      <c r="B3607" t="s">
        <v>10624</v>
      </c>
      <c r="C3607" t="s">
        <v>10625</v>
      </c>
      <c r="D3607">
        <v>7</v>
      </c>
      <c r="E3607" t="s">
        <v>3106</v>
      </c>
      <c r="F3607">
        <v>2</v>
      </c>
    </row>
    <row r="3608" spans="2:6" x14ac:dyDescent="0.2">
      <c r="B3608" t="s">
        <v>10626</v>
      </c>
      <c r="C3608" t="s">
        <v>10627</v>
      </c>
      <c r="D3608">
        <v>7</v>
      </c>
      <c r="E3608" t="s">
        <v>10628</v>
      </c>
      <c r="F3608">
        <v>2</v>
      </c>
    </row>
    <row r="3609" spans="2:6" x14ac:dyDescent="0.2">
      <c r="B3609" t="s">
        <v>10629</v>
      </c>
      <c r="C3609" t="s">
        <v>10630</v>
      </c>
      <c r="D3609">
        <v>7</v>
      </c>
      <c r="E3609" t="s">
        <v>3078</v>
      </c>
      <c r="F3609">
        <v>2</v>
      </c>
    </row>
    <row r="3610" spans="2:6" x14ac:dyDescent="0.2">
      <c r="B3610" t="s">
        <v>10631</v>
      </c>
      <c r="C3610" t="s">
        <v>10632</v>
      </c>
      <c r="D3610">
        <v>7</v>
      </c>
      <c r="E3610" t="s">
        <v>2941</v>
      </c>
      <c r="F3610">
        <v>1</v>
      </c>
    </row>
    <row r="3611" spans="2:6" x14ac:dyDescent="0.2">
      <c r="B3611" t="s">
        <v>10633</v>
      </c>
      <c r="C3611" t="s">
        <v>8282</v>
      </c>
      <c r="D3611">
        <v>7</v>
      </c>
      <c r="E3611" t="s">
        <v>10634</v>
      </c>
      <c r="F3611">
        <v>1</v>
      </c>
    </row>
    <row r="3612" spans="2:6" x14ac:dyDescent="0.2">
      <c r="B3612" t="s">
        <v>10635</v>
      </c>
      <c r="C3612" t="s">
        <v>10636</v>
      </c>
      <c r="D3612">
        <v>7</v>
      </c>
      <c r="E3612" t="s">
        <v>2949</v>
      </c>
      <c r="F3612">
        <v>5.5</v>
      </c>
    </row>
    <row r="3613" spans="2:6" x14ac:dyDescent="0.2">
      <c r="B3613" t="s">
        <v>10637</v>
      </c>
      <c r="C3613" t="s">
        <v>10638</v>
      </c>
      <c r="D3613">
        <v>7</v>
      </c>
      <c r="E3613" t="s">
        <v>7054</v>
      </c>
      <c r="F3613">
        <v>1</v>
      </c>
    </row>
    <row r="3614" spans="2:6" x14ac:dyDescent="0.2">
      <c r="B3614" t="s">
        <v>373</v>
      </c>
      <c r="C3614" t="s">
        <v>10639</v>
      </c>
      <c r="D3614">
        <v>7</v>
      </c>
      <c r="E3614" t="s">
        <v>10640</v>
      </c>
      <c r="F3614">
        <v>2</v>
      </c>
    </row>
    <row r="3615" spans="2:6" x14ac:dyDescent="0.2">
      <c r="B3615" t="s">
        <v>10641</v>
      </c>
      <c r="C3615" t="s">
        <v>9764</v>
      </c>
      <c r="D3615">
        <v>7</v>
      </c>
      <c r="E3615" t="s">
        <v>4163</v>
      </c>
      <c r="F3615">
        <v>2</v>
      </c>
    </row>
    <row r="3616" spans="2:6" x14ac:dyDescent="0.2">
      <c r="B3616" t="s">
        <v>10642</v>
      </c>
      <c r="C3616" t="s">
        <v>10643</v>
      </c>
      <c r="D3616">
        <v>7</v>
      </c>
      <c r="E3616" t="s">
        <v>4299</v>
      </c>
      <c r="F3616">
        <v>1</v>
      </c>
    </row>
    <row r="3617" spans="2:6" x14ac:dyDescent="0.2">
      <c r="B3617" t="s">
        <v>1194</v>
      </c>
      <c r="C3617" t="s">
        <v>9758</v>
      </c>
      <c r="D3617">
        <v>7</v>
      </c>
      <c r="E3617" t="s">
        <v>9801</v>
      </c>
      <c r="F3617">
        <v>5</v>
      </c>
    </row>
    <row r="3618" spans="2:6" x14ac:dyDescent="0.2">
      <c r="B3618" t="s">
        <v>10644</v>
      </c>
      <c r="C3618" t="s">
        <v>10645</v>
      </c>
      <c r="D3618">
        <v>7</v>
      </c>
      <c r="E3618" t="s">
        <v>3688</v>
      </c>
      <c r="F3618">
        <v>2</v>
      </c>
    </row>
    <row r="3619" spans="2:6" x14ac:dyDescent="0.2">
      <c r="B3619" t="s">
        <v>10646</v>
      </c>
      <c r="C3619" t="s">
        <v>10647</v>
      </c>
      <c r="D3619">
        <v>7</v>
      </c>
      <c r="E3619" t="s">
        <v>4944</v>
      </c>
      <c r="F3619">
        <v>38</v>
      </c>
    </row>
    <row r="3620" spans="2:6" x14ac:dyDescent="0.2">
      <c r="B3620" t="s">
        <v>10648</v>
      </c>
      <c r="C3620" t="s">
        <v>10649</v>
      </c>
      <c r="D3620">
        <v>7</v>
      </c>
      <c r="E3620" t="s">
        <v>10650</v>
      </c>
      <c r="F3620">
        <v>2</v>
      </c>
    </row>
    <row r="3621" spans="2:6" x14ac:dyDescent="0.2">
      <c r="B3621" t="s">
        <v>439</v>
      </c>
      <c r="C3621" t="s">
        <v>10651</v>
      </c>
      <c r="D3621">
        <v>7</v>
      </c>
      <c r="E3621" t="s">
        <v>3820</v>
      </c>
      <c r="F3621">
        <v>4</v>
      </c>
    </row>
    <row r="3622" spans="2:6" x14ac:dyDescent="0.2">
      <c r="B3622" t="s">
        <v>10652</v>
      </c>
      <c r="C3622" t="s">
        <v>10653</v>
      </c>
      <c r="D3622">
        <v>7</v>
      </c>
      <c r="E3622" t="s">
        <v>3452</v>
      </c>
      <c r="F3622">
        <v>2</v>
      </c>
    </row>
    <row r="3623" spans="2:6" x14ac:dyDescent="0.2">
      <c r="B3623" t="s">
        <v>10654</v>
      </c>
      <c r="C3623" t="s">
        <v>10655</v>
      </c>
      <c r="D3623">
        <v>7</v>
      </c>
      <c r="E3623" t="s">
        <v>4151</v>
      </c>
      <c r="F3623">
        <v>1</v>
      </c>
    </row>
    <row r="3624" spans="2:6" x14ac:dyDescent="0.2">
      <c r="B3624" t="s">
        <v>10656</v>
      </c>
      <c r="C3624" t="s">
        <v>10657</v>
      </c>
      <c r="D3624">
        <v>7</v>
      </c>
      <c r="E3624" t="s">
        <v>10658</v>
      </c>
      <c r="F3624">
        <v>3</v>
      </c>
    </row>
    <row r="3625" spans="2:6" x14ac:dyDescent="0.2">
      <c r="B3625" t="s">
        <v>10659</v>
      </c>
      <c r="C3625" t="s">
        <v>10660</v>
      </c>
      <c r="D3625">
        <v>7</v>
      </c>
      <c r="E3625" t="s">
        <v>3475</v>
      </c>
      <c r="F3625">
        <v>1</v>
      </c>
    </row>
    <row r="3626" spans="2:6" x14ac:dyDescent="0.2">
      <c r="B3626" t="s">
        <v>10661</v>
      </c>
      <c r="C3626" t="s">
        <v>10662</v>
      </c>
      <c r="D3626">
        <v>7</v>
      </c>
      <c r="E3626" t="s">
        <v>10204</v>
      </c>
      <c r="F3626">
        <v>1</v>
      </c>
    </row>
    <row r="3627" spans="2:6" x14ac:dyDescent="0.2">
      <c r="B3627" t="s">
        <v>10663</v>
      </c>
      <c r="C3627" t="s">
        <v>10664</v>
      </c>
      <c r="D3627">
        <v>7</v>
      </c>
      <c r="E3627" t="s">
        <v>10665</v>
      </c>
      <c r="F3627">
        <v>2</v>
      </c>
    </row>
    <row r="3628" spans="2:6" x14ac:dyDescent="0.2">
      <c r="B3628" t="s">
        <v>10666</v>
      </c>
      <c r="C3628" t="s">
        <v>10667</v>
      </c>
      <c r="D3628">
        <v>7</v>
      </c>
      <c r="E3628" t="s">
        <v>3316</v>
      </c>
      <c r="F3628">
        <v>5</v>
      </c>
    </row>
    <row r="3629" spans="2:6" x14ac:dyDescent="0.2">
      <c r="B3629" t="s">
        <v>10668</v>
      </c>
      <c r="C3629" t="s">
        <v>10669</v>
      </c>
      <c r="D3629">
        <v>7</v>
      </c>
      <c r="E3629" t="s">
        <v>6385</v>
      </c>
      <c r="F3629">
        <v>6</v>
      </c>
    </row>
    <row r="3630" spans="2:6" x14ac:dyDescent="0.2">
      <c r="B3630" t="s">
        <v>10670</v>
      </c>
      <c r="C3630" t="s">
        <v>10671</v>
      </c>
      <c r="D3630">
        <v>7</v>
      </c>
      <c r="E3630" t="s">
        <v>3321</v>
      </c>
      <c r="F3630">
        <v>6</v>
      </c>
    </row>
    <row r="3631" spans="2:6" x14ac:dyDescent="0.2">
      <c r="B3631" t="s">
        <v>10672</v>
      </c>
      <c r="C3631" t="s">
        <v>10673</v>
      </c>
      <c r="D3631">
        <v>7</v>
      </c>
      <c r="E3631" t="s">
        <v>10674</v>
      </c>
      <c r="F3631">
        <v>65</v>
      </c>
    </row>
    <row r="3632" spans="2:6" x14ac:dyDescent="0.2">
      <c r="B3632" t="s">
        <v>10675</v>
      </c>
      <c r="C3632" t="s">
        <v>10676</v>
      </c>
      <c r="D3632">
        <v>7</v>
      </c>
      <c r="E3632" t="s">
        <v>3109</v>
      </c>
      <c r="F3632">
        <v>5</v>
      </c>
    </row>
    <row r="3633" spans="2:6" x14ac:dyDescent="0.2">
      <c r="B3633" t="s">
        <v>10677</v>
      </c>
      <c r="C3633" t="s">
        <v>10678</v>
      </c>
      <c r="D3633">
        <v>7</v>
      </c>
      <c r="E3633" t="s">
        <v>2802</v>
      </c>
      <c r="F3633">
        <v>1</v>
      </c>
    </row>
    <row r="3634" spans="2:6" x14ac:dyDescent="0.2">
      <c r="B3634" t="s">
        <v>10679</v>
      </c>
      <c r="C3634" t="s">
        <v>10680</v>
      </c>
      <c r="D3634">
        <v>7</v>
      </c>
      <c r="E3634" t="s">
        <v>10681</v>
      </c>
      <c r="F3634">
        <v>2</v>
      </c>
    </row>
    <row r="3635" spans="2:6" x14ac:dyDescent="0.2">
      <c r="B3635" t="s">
        <v>10682</v>
      </c>
      <c r="C3635" t="s">
        <v>10683</v>
      </c>
      <c r="D3635">
        <v>7</v>
      </c>
      <c r="E3635" t="s">
        <v>3708</v>
      </c>
      <c r="F3635">
        <v>1</v>
      </c>
    </row>
    <row r="3636" spans="2:6" x14ac:dyDescent="0.2">
      <c r="B3636" t="s">
        <v>10684</v>
      </c>
      <c r="C3636" t="s">
        <v>10685</v>
      </c>
      <c r="D3636">
        <v>7</v>
      </c>
      <c r="E3636" t="s">
        <v>6620</v>
      </c>
      <c r="F3636">
        <v>2</v>
      </c>
    </row>
    <row r="3637" spans="2:6" x14ac:dyDescent="0.2">
      <c r="B3637" t="s">
        <v>10686</v>
      </c>
      <c r="C3637" t="s">
        <v>10687</v>
      </c>
      <c r="D3637">
        <v>7</v>
      </c>
      <c r="E3637" t="s">
        <v>2802</v>
      </c>
      <c r="F3637">
        <v>1</v>
      </c>
    </row>
    <row r="3638" spans="2:6" x14ac:dyDescent="0.2">
      <c r="B3638" t="s">
        <v>151</v>
      </c>
      <c r="C3638" t="s">
        <v>10688</v>
      </c>
      <c r="D3638">
        <v>7</v>
      </c>
      <c r="E3638" t="s">
        <v>4222</v>
      </c>
      <c r="F3638">
        <v>6</v>
      </c>
    </row>
    <row r="3639" spans="2:6" x14ac:dyDescent="0.2">
      <c r="B3639" t="s">
        <v>10689</v>
      </c>
      <c r="C3639" t="s">
        <v>10690</v>
      </c>
      <c r="D3639">
        <v>7</v>
      </c>
      <c r="E3639" t="s">
        <v>5664</v>
      </c>
      <c r="F3639">
        <v>2</v>
      </c>
    </row>
    <row r="3640" spans="2:6" x14ac:dyDescent="0.2">
      <c r="B3640" t="s">
        <v>10691</v>
      </c>
      <c r="C3640" t="s">
        <v>10692</v>
      </c>
      <c r="D3640">
        <v>7</v>
      </c>
      <c r="E3640" t="s">
        <v>3498</v>
      </c>
      <c r="F3640">
        <v>1</v>
      </c>
    </row>
    <row r="3641" spans="2:6" x14ac:dyDescent="0.2">
      <c r="B3641" t="s">
        <v>10693</v>
      </c>
      <c r="C3641" t="s">
        <v>10694</v>
      </c>
      <c r="D3641">
        <v>7</v>
      </c>
      <c r="E3641" t="s">
        <v>2906</v>
      </c>
      <c r="F3641">
        <v>1</v>
      </c>
    </row>
    <row r="3642" spans="2:6" x14ac:dyDescent="0.2">
      <c r="B3642" t="s">
        <v>10695</v>
      </c>
      <c r="C3642" t="s">
        <v>10696</v>
      </c>
      <c r="D3642">
        <v>7</v>
      </c>
      <c r="E3642" t="s">
        <v>2889</v>
      </c>
      <c r="F3642">
        <v>2</v>
      </c>
    </row>
    <row r="3643" spans="2:6" x14ac:dyDescent="0.2">
      <c r="B3643" t="s">
        <v>10697</v>
      </c>
      <c r="C3643" t="s">
        <v>4918</v>
      </c>
      <c r="D3643">
        <v>7</v>
      </c>
      <c r="E3643" t="s">
        <v>10698</v>
      </c>
      <c r="F3643">
        <v>7</v>
      </c>
    </row>
    <row r="3644" spans="2:6" x14ac:dyDescent="0.2">
      <c r="B3644" t="s">
        <v>10699</v>
      </c>
      <c r="C3644" t="s">
        <v>10700</v>
      </c>
      <c r="D3644">
        <v>7</v>
      </c>
      <c r="E3644" t="s">
        <v>10701</v>
      </c>
      <c r="F3644">
        <v>22</v>
      </c>
    </row>
    <row r="3645" spans="2:6" x14ac:dyDescent="0.2">
      <c r="B3645" t="s">
        <v>1027</v>
      </c>
      <c r="C3645" t="s">
        <v>10702</v>
      </c>
      <c r="D3645">
        <v>7</v>
      </c>
      <c r="E3645" t="s">
        <v>10703</v>
      </c>
      <c r="F3645">
        <v>2</v>
      </c>
    </row>
    <row r="3646" spans="2:6" x14ac:dyDescent="0.2">
      <c r="B3646" t="s">
        <v>1640</v>
      </c>
      <c r="C3646" t="s">
        <v>10704</v>
      </c>
      <c r="D3646">
        <v>7</v>
      </c>
      <c r="E3646" t="s">
        <v>5433</v>
      </c>
      <c r="F3646">
        <v>8</v>
      </c>
    </row>
    <row r="3647" spans="2:6" x14ac:dyDescent="0.2">
      <c r="B3647" t="s">
        <v>10705</v>
      </c>
      <c r="C3647" t="s">
        <v>10706</v>
      </c>
      <c r="D3647">
        <v>7</v>
      </c>
      <c r="E3647" t="s">
        <v>5443</v>
      </c>
      <c r="F3647">
        <v>2</v>
      </c>
    </row>
    <row r="3648" spans="2:6" x14ac:dyDescent="0.2">
      <c r="B3648" t="s">
        <v>10707</v>
      </c>
      <c r="C3648" t="s">
        <v>10708</v>
      </c>
      <c r="D3648">
        <v>7</v>
      </c>
      <c r="E3648" t="s">
        <v>7642</v>
      </c>
      <c r="F3648">
        <v>2</v>
      </c>
    </row>
    <row r="3649" spans="2:6" x14ac:dyDescent="0.2">
      <c r="B3649" t="s">
        <v>1569</v>
      </c>
      <c r="C3649" t="s">
        <v>10709</v>
      </c>
      <c r="D3649">
        <v>7</v>
      </c>
      <c r="E3649" t="s">
        <v>3327</v>
      </c>
      <c r="F3649">
        <v>7</v>
      </c>
    </row>
    <row r="3650" spans="2:6" x14ac:dyDescent="0.2">
      <c r="B3650" t="s">
        <v>1861</v>
      </c>
      <c r="C3650" t="s">
        <v>10710</v>
      </c>
      <c r="D3650">
        <v>7</v>
      </c>
      <c r="E3650" t="s">
        <v>4289</v>
      </c>
      <c r="F3650">
        <v>3</v>
      </c>
    </row>
    <row r="3651" spans="2:6" x14ac:dyDescent="0.2">
      <c r="B3651" t="s">
        <v>545</v>
      </c>
      <c r="C3651" t="s">
        <v>10711</v>
      </c>
      <c r="D3651">
        <v>7</v>
      </c>
      <c r="E3651" t="s">
        <v>8893</v>
      </c>
      <c r="F3651">
        <v>7</v>
      </c>
    </row>
    <row r="3652" spans="2:6" x14ac:dyDescent="0.2">
      <c r="B3652" t="s">
        <v>10712</v>
      </c>
      <c r="C3652" t="s">
        <v>10713</v>
      </c>
      <c r="D3652">
        <v>7</v>
      </c>
      <c r="E3652" t="s">
        <v>7419</v>
      </c>
      <c r="F3652">
        <v>4</v>
      </c>
    </row>
    <row r="3653" spans="2:6" x14ac:dyDescent="0.2">
      <c r="B3653" t="s">
        <v>10714</v>
      </c>
      <c r="C3653" t="s">
        <v>10715</v>
      </c>
      <c r="D3653">
        <v>7</v>
      </c>
      <c r="E3653" t="s">
        <v>2915</v>
      </c>
      <c r="F3653">
        <v>1</v>
      </c>
    </row>
    <row r="3654" spans="2:6" x14ac:dyDescent="0.2">
      <c r="B3654" t="s">
        <v>10716</v>
      </c>
      <c r="C3654" t="s">
        <v>10717</v>
      </c>
      <c r="D3654">
        <v>7</v>
      </c>
      <c r="E3654" t="s">
        <v>2915</v>
      </c>
      <c r="F3654">
        <v>1</v>
      </c>
    </row>
    <row r="3655" spans="2:6" x14ac:dyDescent="0.2">
      <c r="B3655" t="s">
        <v>10718</v>
      </c>
      <c r="C3655" t="s">
        <v>10719</v>
      </c>
      <c r="D3655">
        <v>7</v>
      </c>
      <c r="E3655" t="s">
        <v>6182</v>
      </c>
      <c r="F3655">
        <v>2</v>
      </c>
    </row>
    <row r="3656" spans="2:6" x14ac:dyDescent="0.2">
      <c r="B3656" t="s">
        <v>10720</v>
      </c>
      <c r="C3656" t="s">
        <v>10721</v>
      </c>
      <c r="D3656">
        <v>7</v>
      </c>
      <c r="E3656" t="s">
        <v>3423</v>
      </c>
      <c r="F3656">
        <v>1</v>
      </c>
    </row>
    <row r="3657" spans="2:6" x14ac:dyDescent="0.2">
      <c r="B3657" t="s">
        <v>10722</v>
      </c>
      <c r="C3657" t="s">
        <v>10723</v>
      </c>
      <c r="D3657">
        <v>7</v>
      </c>
      <c r="E3657" t="s">
        <v>10724</v>
      </c>
      <c r="F3657">
        <v>7</v>
      </c>
    </row>
    <row r="3658" spans="2:6" x14ac:dyDescent="0.2">
      <c r="B3658" t="s">
        <v>10725</v>
      </c>
      <c r="C3658" t="s">
        <v>10726</v>
      </c>
      <c r="D3658">
        <v>7</v>
      </c>
      <c r="E3658" t="s">
        <v>2785</v>
      </c>
      <c r="F3658">
        <v>2</v>
      </c>
    </row>
    <row r="3659" spans="2:6" x14ac:dyDescent="0.2">
      <c r="B3659" t="s">
        <v>10727</v>
      </c>
      <c r="C3659" t="s">
        <v>10728</v>
      </c>
      <c r="D3659">
        <v>7</v>
      </c>
      <c r="E3659" t="s">
        <v>10729</v>
      </c>
      <c r="F3659">
        <v>1</v>
      </c>
    </row>
    <row r="3660" spans="2:6" x14ac:dyDescent="0.2">
      <c r="B3660" t="s">
        <v>10730</v>
      </c>
      <c r="C3660" t="s">
        <v>10731</v>
      </c>
      <c r="D3660">
        <v>7</v>
      </c>
      <c r="E3660" t="s">
        <v>10732</v>
      </c>
      <c r="F3660">
        <v>2</v>
      </c>
    </row>
    <row r="3661" spans="2:6" x14ac:dyDescent="0.2">
      <c r="B3661" t="s">
        <v>10733</v>
      </c>
      <c r="C3661" t="s">
        <v>10734</v>
      </c>
      <c r="D3661">
        <v>7</v>
      </c>
      <c r="E3661" t="s">
        <v>2824</v>
      </c>
      <c r="F3661">
        <v>2</v>
      </c>
    </row>
    <row r="3662" spans="2:6" x14ac:dyDescent="0.2">
      <c r="B3662" t="s">
        <v>10735</v>
      </c>
      <c r="C3662" t="s">
        <v>10736</v>
      </c>
      <c r="D3662">
        <v>7</v>
      </c>
      <c r="E3662" t="s">
        <v>2985</v>
      </c>
      <c r="F3662">
        <v>6</v>
      </c>
    </row>
    <row r="3663" spans="2:6" x14ac:dyDescent="0.2">
      <c r="B3663" t="s">
        <v>785</v>
      </c>
      <c r="C3663" t="s">
        <v>6584</v>
      </c>
      <c r="D3663">
        <v>7</v>
      </c>
      <c r="E3663" t="s">
        <v>3036</v>
      </c>
      <c r="F3663">
        <v>3</v>
      </c>
    </row>
    <row r="3664" spans="2:6" x14ac:dyDescent="0.2">
      <c r="B3664" t="s">
        <v>670</v>
      </c>
      <c r="C3664" t="s">
        <v>10737</v>
      </c>
      <c r="D3664">
        <v>7</v>
      </c>
      <c r="E3664" t="s">
        <v>3423</v>
      </c>
      <c r="F3664">
        <v>28</v>
      </c>
    </row>
    <row r="3665" spans="2:6" x14ac:dyDescent="0.2">
      <c r="B3665" t="s">
        <v>10738</v>
      </c>
      <c r="C3665" t="s">
        <v>10739</v>
      </c>
      <c r="D3665">
        <v>7</v>
      </c>
      <c r="E3665" t="s">
        <v>2811</v>
      </c>
      <c r="F3665">
        <v>3</v>
      </c>
    </row>
    <row r="3666" spans="2:6" x14ac:dyDescent="0.2">
      <c r="B3666" t="s">
        <v>10740</v>
      </c>
      <c r="C3666" t="s">
        <v>10741</v>
      </c>
      <c r="D3666">
        <v>7</v>
      </c>
      <c r="E3666" t="s">
        <v>3153</v>
      </c>
      <c r="F3666">
        <v>1</v>
      </c>
    </row>
    <row r="3667" spans="2:6" x14ac:dyDescent="0.2">
      <c r="B3667" t="s">
        <v>10742</v>
      </c>
      <c r="C3667" t="s">
        <v>10743</v>
      </c>
      <c r="D3667">
        <v>7</v>
      </c>
      <c r="E3667" t="s">
        <v>9658</v>
      </c>
      <c r="F3667">
        <v>2</v>
      </c>
    </row>
    <row r="3668" spans="2:6" x14ac:dyDescent="0.2">
      <c r="B3668" t="s">
        <v>10744</v>
      </c>
      <c r="C3668" t="s">
        <v>10745</v>
      </c>
      <c r="D3668">
        <v>7</v>
      </c>
      <c r="E3668" t="s">
        <v>5118</v>
      </c>
      <c r="F3668">
        <v>6</v>
      </c>
    </row>
    <row r="3669" spans="2:6" x14ac:dyDescent="0.2">
      <c r="B3669" t="s">
        <v>10746</v>
      </c>
      <c r="C3669" t="s">
        <v>10747</v>
      </c>
      <c r="D3669">
        <v>7</v>
      </c>
      <c r="E3669" t="s">
        <v>2863</v>
      </c>
      <c r="F3669">
        <v>2</v>
      </c>
    </row>
    <row r="3670" spans="2:6" x14ac:dyDescent="0.2">
      <c r="B3670" t="s">
        <v>10748</v>
      </c>
      <c r="C3670" t="s">
        <v>10749</v>
      </c>
      <c r="D3670">
        <v>7</v>
      </c>
      <c r="E3670" t="s">
        <v>3814</v>
      </c>
      <c r="F3670">
        <v>1</v>
      </c>
    </row>
    <row r="3671" spans="2:6" x14ac:dyDescent="0.2">
      <c r="B3671" t="s">
        <v>10750</v>
      </c>
      <c r="C3671" t="s">
        <v>10751</v>
      </c>
      <c r="D3671">
        <v>7</v>
      </c>
      <c r="E3671" t="s">
        <v>3004</v>
      </c>
      <c r="F3671">
        <v>10</v>
      </c>
    </row>
    <row r="3672" spans="2:6" x14ac:dyDescent="0.2">
      <c r="B3672" t="s">
        <v>10752</v>
      </c>
      <c r="C3672" t="s">
        <v>7907</v>
      </c>
      <c r="D3672">
        <v>7</v>
      </c>
      <c r="E3672" t="s">
        <v>4836</v>
      </c>
      <c r="F3672">
        <v>1</v>
      </c>
    </row>
    <row r="3673" spans="2:6" x14ac:dyDescent="0.2">
      <c r="B3673" t="s">
        <v>10753</v>
      </c>
      <c r="C3673" t="s">
        <v>10754</v>
      </c>
      <c r="D3673">
        <v>7</v>
      </c>
      <c r="E3673" t="s">
        <v>3007</v>
      </c>
      <c r="F3673">
        <v>3</v>
      </c>
    </row>
    <row r="3674" spans="2:6" x14ac:dyDescent="0.2">
      <c r="B3674" t="s">
        <v>10755</v>
      </c>
      <c r="C3674" t="s">
        <v>10756</v>
      </c>
      <c r="D3674">
        <v>7</v>
      </c>
      <c r="E3674" t="s">
        <v>3820</v>
      </c>
      <c r="F3674">
        <v>2</v>
      </c>
    </row>
    <row r="3675" spans="2:6" x14ac:dyDescent="0.2">
      <c r="B3675" t="s">
        <v>10757</v>
      </c>
      <c r="C3675" t="s">
        <v>10758</v>
      </c>
      <c r="D3675">
        <v>7</v>
      </c>
      <c r="E3675" t="s">
        <v>3345</v>
      </c>
      <c r="F3675">
        <v>5</v>
      </c>
    </row>
    <row r="3676" spans="2:6" x14ac:dyDescent="0.2">
      <c r="B3676" t="s">
        <v>10759</v>
      </c>
      <c r="C3676" t="s">
        <v>10760</v>
      </c>
      <c r="D3676">
        <v>7</v>
      </c>
      <c r="E3676" t="s">
        <v>2952</v>
      </c>
      <c r="F3676">
        <v>1</v>
      </c>
    </row>
    <row r="3677" spans="2:6" x14ac:dyDescent="0.2">
      <c r="B3677" t="s">
        <v>261</v>
      </c>
      <c r="C3677" t="s">
        <v>10761</v>
      </c>
      <c r="D3677">
        <v>7</v>
      </c>
      <c r="E3677" t="s">
        <v>3113</v>
      </c>
      <c r="F3677">
        <v>2</v>
      </c>
    </row>
    <row r="3678" spans="2:6" x14ac:dyDescent="0.2">
      <c r="B3678" t="s">
        <v>10762</v>
      </c>
      <c r="C3678" t="s">
        <v>10763</v>
      </c>
      <c r="D3678">
        <v>7</v>
      </c>
      <c r="E3678" t="s">
        <v>3031</v>
      </c>
      <c r="F3678">
        <v>1</v>
      </c>
    </row>
    <row r="3679" spans="2:6" x14ac:dyDescent="0.2">
      <c r="B3679" t="s">
        <v>10764</v>
      </c>
      <c r="C3679" t="s">
        <v>10765</v>
      </c>
      <c r="D3679">
        <v>7</v>
      </c>
      <c r="E3679" t="s">
        <v>9140</v>
      </c>
      <c r="F3679">
        <v>4</v>
      </c>
    </row>
    <row r="3680" spans="2:6" x14ac:dyDescent="0.2">
      <c r="B3680" t="s">
        <v>10766</v>
      </c>
      <c r="C3680" t="s">
        <v>10767</v>
      </c>
      <c r="D3680">
        <v>7</v>
      </c>
      <c r="E3680" t="s">
        <v>5992</v>
      </c>
      <c r="F3680">
        <v>2</v>
      </c>
    </row>
    <row r="3681" spans="2:6" x14ac:dyDescent="0.2">
      <c r="B3681" t="s">
        <v>10768</v>
      </c>
      <c r="C3681" t="s">
        <v>10769</v>
      </c>
      <c r="D3681">
        <v>7</v>
      </c>
      <c r="E3681" t="s">
        <v>2892</v>
      </c>
      <c r="F3681">
        <v>1</v>
      </c>
    </row>
    <row r="3682" spans="2:6" x14ac:dyDescent="0.2">
      <c r="B3682" t="s">
        <v>2162</v>
      </c>
      <c r="C3682" t="s">
        <v>10770</v>
      </c>
      <c r="D3682">
        <v>7</v>
      </c>
      <c r="E3682" t="s">
        <v>10771</v>
      </c>
      <c r="F3682">
        <v>2</v>
      </c>
    </row>
    <row r="3683" spans="2:6" x14ac:dyDescent="0.2">
      <c r="B3683" t="s">
        <v>10772</v>
      </c>
      <c r="C3683" t="s">
        <v>10773</v>
      </c>
      <c r="D3683">
        <v>7</v>
      </c>
      <c r="E3683" t="s">
        <v>7195</v>
      </c>
      <c r="F3683">
        <v>1</v>
      </c>
    </row>
    <row r="3684" spans="2:6" x14ac:dyDescent="0.2">
      <c r="B3684" t="s">
        <v>10774</v>
      </c>
      <c r="C3684" t="s">
        <v>10775</v>
      </c>
      <c r="D3684">
        <v>7</v>
      </c>
      <c r="E3684" t="s">
        <v>3327</v>
      </c>
      <c r="F3684">
        <v>7</v>
      </c>
    </row>
    <row r="3685" spans="2:6" x14ac:dyDescent="0.2">
      <c r="B3685" t="s">
        <v>10776</v>
      </c>
      <c r="C3685" t="s">
        <v>10777</v>
      </c>
      <c r="D3685">
        <v>7</v>
      </c>
      <c r="E3685" t="s">
        <v>2949</v>
      </c>
      <c r="F3685">
        <v>1</v>
      </c>
    </row>
    <row r="3686" spans="2:6" x14ac:dyDescent="0.2">
      <c r="B3686" t="s">
        <v>10778</v>
      </c>
      <c r="C3686" t="s">
        <v>10777</v>
      </c>
      <c r="D3686">
        <v>7</v>
      </c>
      <c r="E3686" t="s">
        <v>3307</v>
      </c>
      <c r="F3686">
        <v>4</v>
      </c>
    </row>
    <row r="3687" spans="2:6" x14ac:dyDescent="0.2">
      <c r="B3687" t="s">
        <v>543</v>
      </c>
      <c r="C3687" t="s">
        <v>10779</v>
      </c>
      <c r="D3687">
        <v>7</v>
      </c>
      <c r="E3687" t="s">
        <v>3162</v>
      </c>
      <c r="F3687">
        <v>1</v>
      </c>
    </row>
    <row r="3688" spans="2:6" x14ac:dyDescent="0.2">
      <c r="B3688" t="s">
        <v>748</v>
      </c>
      <c r="C3688" t="s">
        <v>10780</v>
      </c>
      <c r="D3688">
        <v>7</v>
      </c>
      <c r="E3688" t="s">
        <v>2836</v>
      </c>
      <c r="F3688">
        <v>2</v>
      </c>
    </row>
    <row r="3689" spans="2:6" x14ac:dyDescent="0.2">
      <c r="B3689" t="s">
        <v>10781</v>
      </c>
      <c r="C3689" t="s">
        <v>10782</v>
      </c>
      <c r="D3689">
        <v>7</v>
      </c>
      <c r="E3689" t="s">
        <v>3031</v>
      </c>
      <c r="F3689">
        <v>2</v>
      </c>
    </row>
    <row r="3690" spans="2:6" x14ac:dyDescent="0.2">
      <c r="B3690" t="s">
        <v>10783</v>
      </c>
      <c r="C3690" t="s">
        <v>10784</v>
      </c>
      <c r="D3690">
        <v>7</v>
      </c>
      <c r="E3690" t="s">
        <v>3839</v>
      </c>
      <c r="F3690">
        <v>2</v>
      </c>
    </row>
    <row r="3691" spans="2:6" x14ac:dyDescent="0.2">
      <c r="B3691" t="s">
        <v>10785</v>
      </c>
      <c r="C3691" t="s">
        <v>10786</v>
      </c>
      <c r="D3691">
        <v>7</v>
      </c>
      <c r="E3691" t="s">
        <v>3304</v>
      </c>
      <c r="F3691">
        <v>8</v>
      </c>
    </row>
    <row r="3692" spans="2:6" x14ac:dyDescent="0.2">
      <c r="B3692" t="s">
        <v>10787</v>
      </c>
      <c r="C3692" t="s">
        <v>10788</v>
      </c>
      <c r="D3692">
        <v>7</v>
      </c>
      <c r="E3692" t="s">
        <v>10789</v>
      </c>
      <c r="F3692">
        <v>1</v>
      </c>
    </row>
    <row r="3693" spans="2:6" x14ac:dyDescent="0.2">
      <c r="B3693" t="s">
        <v>10790</v>
      </c>
      <c r="C3693" t="s">
        <v>10791</v>
      </c>
      <c r="D3693">
        <v>7</v>
      </c>
      <c r="E3693" t="s">
        <v>10792</v>
      </c>
      <c r="F3693">
        <v>11</v>
      </c>
    </row>
    <row r="3694" spans="2:6" x14ac:dyDescent="0.2">
      <c r="B3694" t="s">
        <v>10793</v>
      </c>
      <c r="C3694" t="s">
        <v>10794</v>
      </c>
      <c r="D3694">
        <v>7</v>
      </c>
      <c r="E3694" t="s">
        <v>9460</v>
      </c>
      <c r="F3694">
        <v>4</v>
      </c>
    </row>
    <row r="3695" spans="2:6" x14ac:dyDescent="0.2">
      <c r="B3695" t="s">
        <v>1211</v>
      </c>
      <c r="C3695" t="s">
        <v>10795</v>
      </c>
      <c r="D3695">
        <v>7</v>
      </c>
      <c r="E3695" t="s">
        <v>4670</v>
      </c>
      <c r="F3695">
        <v>5</v>
      </c>
    </row>
    <row r="3696" spans="2:6" x14ac:dyDescent="0.2">
      <c r="B3696" t="s">
        <v>10796</v>
      </c>
      <c r="C3696" t="s">
        <v>10797</v>
      </c>
      <c r="D3696">
        <v>7</v>
      </c>
      <c r="E3696" t="s">
        <v>2811</v>
      </c>
      <c r="F3696">
        <v>1</v>
      </c>
    </row>
    <row r="3697" spans="2:6" x14ac:dyDescent="0.2">
      <c r="B3697" t="s">
        <v>10798</v>
      </c>
      <c r="C3697" t="s">
        <v>10799</v>
      </c>
      <c r="D3697">
        <v>7</v>
      </c>
      <c r="E3697" t="s">
        <v>2811</v>
      </c>
      <c r="F3697">
        <v>2</v>
      </c>
    </row>
    <row r="3698" spans="2:6" x14ac:dyDescent="0.2">
      <c r="B3698" t="s">
        <v>628</v>
      </c>
      <c r="C3698" t="s">
        <v>10800</v>
      </c>
      <c r="D3698">
        <v>7</v>
      </c>
      <c r="E3698" t="s">
        <v>3139</v>
      </c>
      <c r="F3698">
        <v>1</v>
      </c>
    </row>
    <row r="3699" spans="2:6" x14ac:dyDescent="0.2">
      <c r="B3699" t="s">
        <v>1957</v>
      </c>
      <c r="C3699" t="s">
        <v>10801</v>
      </c>
      <c r="D3699">
        <v>7</v>
      </c>
      <c r="E3699" t="s">
        <v>3133</v>
      </c>
      <c r="F3699">
        <v>4</v>
      </c>
    </row>
    <row r="3700" spans="2:6" x14ac:dyDescent="0.2">
      <c r="B3700" t="s">
        <v>10802</v>
      </c>
      <c r="C3700" t="s">
        <v>10803</v>
      </c>
      <c r="D3700">
        <v>7</v>
      </c>
      <c r="E3700" t="s">
        <v>4593</v>
      </c>
      <c r="F3700">
        <v>2</v>
      </c>
    </row>
    <row r="3701" spans="2:6" x14ac:dyDescent="0.2">
      <c r="B3701" t="s">
        <v>10804</v>
      </c>
      <c r="C3701" t="s">
        <v>10805</v>
      </c>
      <c r="D3701">
        <v>7</v>
      </c>
      <c r="E3701" t="s">
        <v>2830</v>
      </c>
      <c r="F3701">
        <v>1</v>
      </c>
    </row>
    <row r="3702" spans="2:6" x14ac:dyDescent="0.2">
      <c r="B3702" t="s">
        <v>10806</v>
      </c>
      <c r="C3702" t="s">
        <v>10807</v>
      </c>
      <c r="D3702">
        <v>7</v>
      </c>
      <c r="E3702" t="s">
        <v>10808</v>
      </c>
      <c r="F3702">
        <v>11</v>
      </c>
    </row>
    <row r="3703" spans="2:6" x14ac:dyDescent="0.2">
      <c r="B3703" t="s">
        <v>10809</v>
      </c>
      <c r="C3703" t="s">
        <v>10810</v>
      </c>
      <c r="D3703">
        <v>7</v>
      </c>
      <c r="E3703" t="s">
        <v>10811</v>
      </c>
      <c r="F3703">
        <v>1</v>
      </c>
    </row>
    <row r="3704" spans="2:6" x14ac:dyDescent="0.2">
      <c r="B3704" t="s">
        <v>10812</v>
      </c>
      <c r="C3704" t="s">
        <v>5987</v>
      </c>
      <c r="D3704">
        <v>7</v>
      </c>
      <c r="E3704" t="s">
        <v>10813</v>
      </c>
      <c r="F3704">
        <v>20</v>
      </c>
    </row>
    <row r="3705" spans="2:6" x14ac:dyDescent="0.2">
      <c r="B3705" t="s">
        <v>10814</v>
      </c>
      <c r="C3705" t="s">
        <v>4647</v>
      </c>
      <c r="D3705">
        <v>7</v>
      </c>
      <c r="E3705" t="s">
        <v>10815</v>
      </c>
      <c r="F3705">
        <v>6</v>
      </c>
    </row>
    <row r="3706" spans="2:6" x14ac:dyDescent="0.2">
      <c r="B3706" t="s">
        <v>1207</v>
      </c>
      <c r="C3706" t="s">
        <v>10816</v>
      </c>
      <c r="D3706">
        <v>7</v>
      </c>
      <c r="E3706" t="s">
        <v>4342</v>
      </c>
      <c r="F3706">
        <v>6</v>
      </c>
    </row>
    <row r="3707" spans="2:6" x14ac:dyDescent="0.2">
      <c r="B3707" t="s">
        <v>10817</v>
      </c>
      <c r="C3707" t="s">
        <v>10818</v>
      </c>
      <c r="D3707">
        <v>7</v>
      </c>
      <c r="E3707" t="s">
        <v>2814</v>
      </c>
      <c r="F3707">
        <v>7</v>
      </c>
    </row>
    <row r="3708" spans="2:6" x14ac:dyDescent="0.2">
      <c r="B3708" t="s">
        <v>10819</v>
      </c>
      <c r="C3708" t="s">
        <v>10820</v>
      </c>
      <c r="D3708">
        <v>7</v>
      </c>
      <c r="E3708" t="s">
        <v>10821</v>
      </c>
      <c r="F3708">
        <v>1</v>
      </c>
    </row>
    <row r="3709" spans="2:6" x14ac:dyDescent="0.2">
      <c r="B3709" t="s">
        <v>10822</v>
      </c>
      <c r="C3709" t="s">
        <v>10823</v>
      </c>
      <c r="D3709">
        <v>7</v>
      </c>
      <c r="E3709" t="s">
        <v>3960</v>
      </c>
      <c r="F3709">
        <v>1</v>
      </c>
    </row>
    <row r="3710" spans="2:6" x14ac:dyDescent="0.2">
      <c r="B3710" t="s">
        <v>2014</v>
      </c>
      <c r="C3710" t="s">
        <v>10824</v>
      </c>
      <c r="D3710">
        <v>7</v>
      </c>
      <c r="E3710" t="s">
        <v>10825</v>
      </c>
      <c r="F3710">
        <v>1</v>
      </c>
    </row>
    <row r="3711" spans="2:6" x14ac:dyDescent="0.2">
      <c r="B3711" t="s">
        <v>10826</v>
      </c>
      <c r="C3711" t="s">
        <v>10827</v>
      </c>
      <c r="D3711">
        <v>7</v>
      </c>
      <c r="E3711" t="s">
        <v>2921</v>
      </c>
      <c r="F3711">
        <v>4</v>
      </c>
    </row>
    <row r="3712" spans="2:6" x14ac:dyDescent="0.2">
      <c r="B3712" t="s">
        <v>10828</v>
      </c>
      <c r="C3712" t="s">
        <v>10829</v>
      </c>
      <c r="D3712">
        <v>7</v>
      </c>
      <c r="E3712" t="s">
        <v>3594</v>
      </c>
      <c r="F3712">
        <v>10</v>
      </c>
    </row>
    <row r="3713" spans="2:6" x14ac:dyDescent="0.2">
      <c r="B3713" t="s">
        <v>10830</v>
      </c>
      <c r="C3713" t="s">
        <v>10831</v>
      </c>
      <c r="D3713">
        <v>7</v>
      </c>
      <c r="E3713" t="s">
        <v>3067</v>
      </c>
      <c r="F3713">
        <v>2</v>
      </c>
    </row>
    <row r="3714" spans="2:6" x14ac:dyDescent="0.2">
      <c r="B3714" t="s">
        <v>10832</v>
      </c>
      <c r="C3714" t="s">
        <v>10833</v>
      </c>
      <c r="D3714">
        <v>7</v>
      </c>
      <c r="E3714" t="s">
        <v>4888</v>
      </c>
      <c r="F3714">
        <v>1</v>
      </c>
    </row>
    <row r="3715" spans="2:6" x14ac:dyDescent="0.2">
      <c r="B3715" t="s">
        <v>1781</v>
      </c>
      <c r="C3715" t="s">
        <v>10834</v>
      </c>
      <c r="D3715">
        <v>7</v>
      </c>
      <c r="E3715" t="s">
        <v>10835</v>
      </c>
      <c r="F3715">
        <v>1</v>
      </c>
    </row>
    <row r="3716" spans="2:6" x14ac:dyDescent="0.2">
      <c r="B3716" t="s">
        <v>10836</v>
      </c>
      <c r="C3716" t="s">
        <v>10837</v>
      </c>
      <c r="D3716">
        <v>7</v>
      </c>
      <c r="E3716" t="s">
        <v>10838</v>
      </c>
      <c r="F3716">
        <v>1</v>
      </c>
    </row>
    <row r="3717" spans="2:6" x14ac:dyDescent="0.2">
      <c r="B3717" t="s">
        <v>10839</v>
      </c>
      <c r="C3717" t="s">
        <v>10840</v>
      </c>
      <c r="D3717">
        <v>7</v>
      </c>
      <c r="E3717" t="s">
        <v>2892</v>
      </c>
      <c r="F3717">
        <v>1</v>
      </c>
    </row>
    <row r="3718" spans="2:6" x14ac:dyDescent="0.2">
      <c r="B3718" t="s">
        <v>10841</v>
      </c>
      <c r="C3718" t="s">
        <v>10842</v>
      </c>
      <c r="D3718">
        <v>7</v>
      </c>
      <c r="E3718" t="s">
        <v>4232</v>
      </c>
      <c r="F3718">
        <v>2</v>
      </c>
    </row>
    <row r="3719" spans="2:6" x14ac:dyDescent="0.2">
      <c r="B3719" t="s">
        <v>10843</v>
      </c>
      <c r="C3719" t="s">
        <v>10844</v>
      </c>
      <c r="D3719">
        <v>7</v>
      </c>
      <c r="E3719" t="s">
        <v>3742</v>
      </c>
      <c r="F3719">
        <v>7</v>
      </c>
    </row>
    <row r="3720" spans="2:6" x14ac:dyDescent="0.2">
      <c r="B3720" t="s">
        <v>10845</v>
      </c>
      <c r="C3720" t="s">
        <v>10846</v>
      </c>
      <c r="D3720">
        <v>7</v>
      </c>
      <c r="E3720" t="s">
        <v>3067</v>
      </c>
      <c r="F3720">
        <v>1</v>
      </c>
    </row>
    <row r="3721" spans="2:6" x14ac:dyDescent="0.2">
      <c r="B3721" t="s">
        <v>10847</v>
      </c>
      <c r="C3721" t="s">
        <v>10848</v>
      </c>
      <c r="D3721">
        <v>7</v>
      </c>
      <c r="E3721" t="s">
        <v>4778</v>
      </c>
      <c r="F3721">
        <v>1</v>
      </c>
    </row>
    <row r="3722" spans="2:6" x14ac:dyDescent="0.2">
      <c r="B3722" t="s">
        <v>732</v>
      </c>
      <c r="C3722" t="s">
        <v>10849</v>
      </c>
      <c r="D3722">
        <v>7</v>
      </c>
      <c r="E3722" t="s">
        <v>4260</v>
      </c>
      <c r="F3722">
        <v>10</v>
      </c>
    </row>
    <row r="3723" spans="2:6" x14ac:dyDescent="0.2">
      <c r="B3723" t="s">
        <v>10850</v>
      </c>
      <c r="C3723" t="s">
        <v>10851</v>
      </c>
      <c r="D3723">
        <v>7</v>
      </c>
      <c r="E3723" t="s">
        <v>3136</v>
      </c>
      <c r="F3723">
        <v>1</v>
      </c>
    </row>
    <row r="3724" spans="2:6" x14ac:dyDescent="0.2">
      <c r="B3724" t="s">
        <v>10852</v>
      </c>
      <c r="C3724" t="s">
        <v>10853</v>
      </c>
      <c r="D3724">
        <v>7</v>
      </c>
      <c r="E3724" t="s">
        <v>9971</v>
      </c>
      <c r="F3724">
        <v>1</v>
      </c>
    </row>
    <row r="3725" spans="2:6" x14ac:dyDescent="0.2">
      <c r="B3725" t="s">
        <v>10854</v>
      </c>
      <c r="C3725" t="s">
        <v>10855</v>
      </c>
      <c r="D3725">
        <v>7</v>
      </c>
      <c r="E3725" t="s">
        <v>5605</v>
      </c>
      <c r="F3725">
        <v>2</v>
      </c>
    </row>
    <row r="3726" spans="2:6" x14ac:dyDescent="0.2">
      <c r="B3726" t="s">
        <v>10856</v>
      </c>
      <c r="C3726" t="s">
        <v>10857</v>
      </c>
      <c r="D3726">
        <v>7</v>
      </c>
      <c r="E3726" t="s">
        <v>3824</v>
      </c>
      <c r="F3726">
        <v>1</v>
      </c>
    </row>
    <row r="3727" spans="2:6" x14ac:dyDescent="0.2">
      <c r="B3727" t="s">
        <v>2120</v>
      </c>
      <c r="C3727" t="s">
        <v>10858</v>
      </c>
      <c r="D3727">
        <v>7</v>
      </c>
      <c r="E3727" t="s">
        <v>3162</v>
      </c>
      <c r="F3727">
        <v>1</v>
      </c>
    </row>
    <row r="3728" spans="2:6" x14ac:dyDescent="0.2">
      <c r="B3728" t="s">
        <v>1198</v>
      </c>
      <c r="C3728" t="s">
        <v>10859</v>
      </c>
      <c r="D3728">
        <v>7</v>
      </c>
      <c r="E3728" t="s">
        <v>4670</v>
      </c>
      <c r="F3728">
        <v>4</v>
      </c>
    </row>
    <row r="3729" spans="2:6" x14ac:dyDescent="0.2">
      <c r="B3729" t="s">
        <v>10860</v>
      </c>
      <c r="C3729" t="s">
        <v>10861</v>
      </c>
      <c r="D3729">
        <v>7</v>
      </c>
      <c r="E3729" t="s">
        <v>2819</v>
      </c>
      <c r="F3729">
        <v>1</v>
      </c>
    </row>
    <row r="3730" spans="2:6" x14ac:dyDescent="0.2">
      <c r="B3730" t="s">
        <v>10862</v>
      </c>
      <c r="C3730" t="s">
        <v>10863</v>
      </c>
      <c r="D3730">
        <v>7</v>
      </c>
      <c r="E3730" t="s">
        <v>3213</v>
      </c>
      <c r="F3730">
        <v>1</v>
      </c>
    </row>
    <row r="3731" spans="2:6" x14ac:dyDescent="0.2">
      <c r="B3731" t="s">
        <v>10864</v>
      </c>
      <c r="C3731" t="s">
        <v>4369</v>
      </c>
      <c r="D3731">
        <v>7</v>
      </c>
      <c r="E3731" t="s">
        <v>10865</v>
      </c>
      <c r="F3731">
        <v>2</v>
      </c>
    </row>
    <row r="3732" spans="2:6" x14ac:dyDescent="0.2">
      <c r="B3732" t="s">
        <v>10866</v>
      </c>
      <c r="C3732" t="s">
        <v>10867</v>
      </c>
      <c r="D3732">
        <v>7</v>
      </c>
      <c r="E3732" t="s">
        <v>10868</v>
      </c>
      <c r="F3732">
        <v>1</v>
      </c>
    </row>
    <row r="3733" spans="2:6" x14ac:dyDescent="0.2">
      <c r="B3733" t="s">
        <v>673</v>
      </c>
      <c r="C3733" t="s">
        <v>10869</v>
      </c>
      <c r="D3733">
        <v>7</v>
      </c>
      <c r="E3733" t="s">
        <v>2954</v>
      </c>
      <c r="F3733">
        <v>13</v>
      </c>
    </row>
    <row r="3734" spans="2:6" x14ac:dyDescent="0.2">
      <c r="B3734" t="s">
        <v>10870</v>
      </c>
      <c r="C3734" t="s">
        <v>10871</v>
      </c>
      <c r="D3734">
        <v>7</v>
      </c>
      <c r="E3734" t="s">
        <v>10872</v>
      </c>
      <c r="F3734">
        <v>6</v>
      </c>
    </row>
    <row r="3735" spans="2:6" x14ac:dyDescent="0.2">
      <c r="B3735" t="s">
        <v>10873</v>
      </c>
      <c r="C3735" t="s">
        <v>10874</v>
      </c>
      <c r="D3735">
        <v>7</v>
      </c>
      <c r="E3735" t="s">
        <v>9831</v>
      </c>
      <c r="F3735">
        <v>9</v>
      </c>
    </row>
    <row r="3736" spans="2:6" x14ac:dyDescent="0.2">
      <c r="B3736" t="s">
        <v>10875</v>
      </c>
      <c r="C3736" t="s">
        <v>10876</v>
      </c>
      <c r="D3736">
        <v>7</v>
      </c>
      <c r="E3736" t="s">
        <v>3386</v>
      </c>
      <c r="F3736">
        <v>1</v>
      </c>
    </row>
    <row r="3737" spans="2:6" x14ac:dyDescent="0.2">
      <c r="B3737" t="s">
        <v>10877</v>
      </c>
      <c r="C3737" t="s">
        <v>10878</v>
      </c>
      <c r="D3737">
        <v>7</v>
      </c>
      <c r="E3737" t="s">
        <v>2785</v>
      </c>
      <c r="F3737">
        <v>1</v>
      </c>
    </row>
    <row r="3738" spans="2:6" x14ac:dyDescent="0.2">
      <c r="B3738" t="s">
        <v>641</v>
      </c>
      <c r="C3738" t="s">
        <v>10879</v>
      </c>
      <c r="D3738">
        <v>7</v>
      </c>
      <c r="E3738" t="s">
        <v>3957</v>
      </c>
      <c r="F3738">
        <v>1</v>
      </c>
    </row>
    <row r="3739" spans="2:6" x14ac:dyDescent="0.2">
      <c r="B3739" t="s">
        <v>10880</v>
      </c>
      <c r="C3739" t="s">
        <v>10881</v>
      </c>
      <c r="D3739">
        <v>7</v>
      </c>
      <c r="E3739" t="s">
        <v>3535</v>
      </c>
      <c r="F3739">
        <v>3</v>
      </c>
    </row>
    <row r="3740" spans="2:6" x14ac:dyDescent="0.2">
      <c r="B3740" t="s">
        <v>10882</v>
      </c>
      <c r="C3740" t="s">
        <v>10883</v>
      </c>
      <c r="D3740">
        <v>7</v>
      </c>
      <c r="E3740" t="s">
        <v>3742</v>
      </c>
      <c r="F3740">
        <v>1</v>
      </c>
    </row>
    <row r="3741" spans="2:6" x14ac:dyDescent="0.2">
      <c r="B3741" t="s">
        <v>10884</v>
      </c>
      <c r="C3741" t="s">
        <v>10885</v>
      </c>
      <c r="D3741">
        <v>7</v>
      </c>
      <c r="E3741" t="s">
        <v>5191</v>
      </c>
      <c r="F3741">
        <v>4</v>
      </c>
    </row>
    <row r="3742" spans="2:6" x14ac:dyDescent="0.2">
      <c r="B3742" t="s">
        <v>10886</v>
      </c>
      <c r="C3742" t="s">
        <v>10887</v>
      </c>
      <c r="D3742">
        <v>7</v>
      </c>
      <c r="E3742" t="s">
        <v>10888</v>
      </c>
      <c r="F3742">
        <v>9</v>
      </c>
    </row>
    <row r="3743" spans="2:6" x14ac:dyDescent="0.2">
      <c r="B3743" t="s">
        <v>10889</v>
      </c>
      <c r="C3743" t="s">
        <v>10890</v>
      </c>
      <c r="D3743">
        <v>7</v>
      </c>
      <c r="E3743" t="s">
        <v>3808</v>
      </c>
      <c r="F3743">
        <v>4</v>
      </c>
    </row>
    <row r="3744" spans="2:6" x14ac:dyDescent="0.2">
      <c r="B3744" t="s">
        <v>10891</v>
      </c>
      <c r="C3744" t="s">
        <v>10892</v>
      </c>
      <c r="D3744">
        <v>7</v>
      </c>
      <c r="E3744" t="s">
        <v>2785</v>
      </c>
      <c r="F3744">
        <v>1</v>
      </c>
    </row>
    <row r="3745" spans="2:6" x14ac:dyDescent="0.2">
      <c r="B3745" t="s">
        <v>10893</v>
      </c>
      <c r="C3745" t="s">
        <v>10894</v>
      </c>
      <c r="D3745">
        <v>7</v>
      </c>
      <c r="E3745" t="s">
        <v>4260</v>
      </c>
      <c r="F3745">
        <v>4</v>
      </c>
    </row>
    <row r="3746" spans="2:6" x14ac:dyDescent="0.2">
      <c r="B3746" t="s">
        <v>10895</v>
      </c>
      <c r="C3746" t="s">
        <v>10896</v>
      </c>
      <c r="D3746">
        <v>7</v>
      </c>
      <c r="E3746" t="s">
        <v>3294</v>
      </c>
      <c r="F3746">
        <v>2</v>
      </c>
    </row>
    <row r="3747" spans="2:6" x14ac:dyDescent="0.2">
      <c r="B3747" t="s">
        <v>10897</v>
      </c>
      <c r="C3747" t="s">
        <v>10898</v>
      </c>
      <c r="D3747">
        <v>7</v>
      </c>
      <c r="E3747" t="s">
        <v>3067</v>
      </c>
      <c r="F3747">
        <v>2</v>
      </c>
    </row>
    <row r="3748" spans="2:6" x14ac:dyDescent="0.2">
      <c r="B3748" t="s">
        <v>10899</v>
      </c>
      <c r="C3748" t="s">
        <v>10900</v>
      </c>
      <c r="D3748">
        <v>7</v>
      </c>
      <c r="E3748" t="s">
        <v>9723</v>
      </c>
      <c r="F3748">
        <v>4</v>
      </c>
    </row>
    <row r="3749" spans="2:6" x14ac:dyDescent="0.2">
      <c r="B3749" t="s">
        <v>10901</v>
      </c>
      <c r="C3749" t="s">
        <v>10902</v>
      </c>
      <c r="D3749">
        <v>7</v>
      </c>
      <c r="E3749" t="s">
        <v>3213</v>
      </c>
      <c r="F3749">
        <v>2</v>
      </c>
    </row>
    <row r="3750" spans="2:6" x14ac:dyDescent="0.2">
      <c r="B3750" t="s">
        <v>10903</v>
      </c>
      <c r="C3750" t="s">
        <v>10904</v>
      </c>
      <c r="D3750">
        <v>7</v>
      </c>
      <c r="E3750" t="s">
        <v>3628</v>
      </c>
      <c r="F3750">
        <v>3</v>
      </c>
    </row>
    <row r="3751" spans="2:6" x14ac:dyDescent="0.2">
      <c r="B3751" t="s">
        <v>10905</v>
      </c>
      <c r="C3751" t="s">
        <v>3867</v>
      </c>
      <c r="D3751">
        <v>7</v>
      </c>
      <c r="E3751" t="s">
        <v>10906</v>
      </c>
      <c r="F3751">
        <v>2</v>
      </c>
    </row>
    <row r="3752" spans="2:6" x14ac:dyDescent="0.2">
      <c r="B3752" t="s">
        <v>10907</v>
      </c>
      <c r="C3752" t="s">
        <v>10908</v>
      </c>
      <c r="D3752">
        <v>7</v>
      </c>
      <c r="E3752" t="s">
        <v>10909</v>
      </c>
      <c r="F3752">
        <v>2</v>
      </c>
    </row>
    <row r="3753" spans="2:6" x14ac:dyDescent="0.2">
      <c r="B3753" t="s">
        <v>10910</v>
      </c>
      <c r="C3753" t="s">
        <v>10911</v>
      </c>
      <c r="D3753">
        <v>7</v>
      </c>
      <c r="E3753" t="s">
        <v>3036</v>
      </c>
      <c r="F3753">
        <v>1</v>
      </c>
    </row>
    <row r="3754" spans="2:6" x14ac:dyDescent="0.2">
      <c r="B3754" t="s">
        <v>1234</v>
      </c>
      <c r="C3754" t="s">
        <v>10912</v>
      </c>
      <c r="D3754">
        <v>7</v>
      </c>
      <c r="E3754" t="s">
        <v>7831</v>
      </c>
      <c r="F3754">
        <v>8</v>
      </c>
    </row>
    <row r="3755" spans="2:6" x14ac:dyDescent="0.2">
      <c r="B3755" t="s">
        <v>10913</v>
      </c>
      <c r="C3755" t="s">
        <v>10914</v>
      </c>
      <c r="D3755">
        <v>7</v>
      </c>
      <c r="E3755" t="s">
        <v>10915</v>
      </c>
      <c r="F3755">
        <v>2</v>
      </c>
    </row>
    <row r="3756" spans="2:6" x14ac:dyDescent="0.2">
      <c r="B3756" t="s">
        <v>10916</v>
      </c>
      <c r="C3756" t="s">
        <v>10917</v>
      </c>
      <c r="D3756">
        <v>7</v>
      </c>
      <c r="E3756" t="s">
        <v>3327</v>
      </c>
      <c r="F3756">
        <v>1</v>
      </c>
    </row>
    <row r="3757" spans="2:6" x14ac:dyDescent="0.2">
      <c r="B3757" t="s">
        <v>10918</v>
      </c>
      <c r="C3757" t="s">
        <v>10919</v>
      </c>
      <c r="D3757">
        <v>7</v>
      </c>
      <c r="E3757" t="s">
        <v>7884</v>
      </c>
      <c r="F3757">
        <v>13</v>
      </c>
    </row>
    <row r="3758" spans="2:6" x14ac:dyDescent="0.2">
      <c r="B3758" t="s">
        <v>1646</v>
      </c>
      <c r="C3758" t="s">
        <v>10920</v>
      </c>
      <c r="D3758">
        <v>7</v>
      </c>
      <c r="E3758" t="s">
        <v>10921</v>
      </c>
      <c r="F3758">
        <v>1</v>
      </c>
    </row>
    <row r="3759" spans="2:6" x14ac:dyDescent="0.2">
      <c r="B3759" t="s">
        <v>10922</v>
      </c>
      <c r="C3759" t="s">
        <v>10923</v>
      </c>
      <c r="D3759">
        <v>7</v>
      </c>
      <c r="E3759" t="s">
        <v>2855</v>
      </c>
      <c r="F3759">
        <v>5</v>
      </c>
    </row>
    <row r="3760" spans="2:6" x14ac:dyDescent="0.2">
      <c r="B3760" t="s">
        <v>10924</v>
      </c>
      <c r="C3760" t="s">
        <v>10925</v>
      </c>
      <c r="D3760">
        <v>7</v>
      </c>
      <c r="E3760" t="s">
        <v>2811</v>
      </c>
      <c r="F3760">
        <v>2</v>
      </c>
    </row>
    <row r="3761" spans="2:6" x14ac:dyDescent="0.2">
      <c r="B3761" t="s">
        <v>10926</v>
      </c>
      <c r="C3761" t="s">
        <v>10927</v>
      </c>
      <c r="D3761">
        <v>7</v>
      </c>
      <c r="E3761" t="s">
        <v>4367</v>
      </c>
      <c r="F3761">
        <v>1</v>
      </c>
    </row>
    <row r="3762" spans="2:6" x14ac:dyDescent="0.2">
      <c r="B3762" t="s">
        <v>10928</v>
      </c>
      <c r="C3762" t="s">
        <v>10929</v>
      </c>
      <c r="D3762">
        <v>7</v>
      </c>
      <c r="E3762" t="s">
        <v>2802</v>
      </c>
      <c r="F3762">
        <v>2</v>
      </c>
    </row>
    <row r="3763" spans="2:6" x14ac:dyDescent="0.2">
      <c r="B3763" t="s">
        <v>10930</v>
      </c>
      <c r="C3763" t="s">
        <v>10931</v>
      </c>
      <c r="D3763">
        <v>7</v>
      </c>
      <c r="E3763" t="s">
        <v>2941</v>
      </c>
      <c r="F3763">
        <v>1</v>
      </c>
    </row>
    <row r="3764" spans="2:6" x14ac:dyDescent="0.2">
      <c r="B3764" t="s">
        <v>10932</v>
      </c>
      <c r="C3764" t="s">
        <v>10933</v>
      </c>
      <c r="D3764">
        <v>7</v>
      </c>
      <c r="E3764" t="s">
        <v>6314</v>
      </c>
      <c r="F3764">
        <v>2</v>
      </c>
    </row>
    <row r="3765" spans="2:6" x14ac:dyDescent="0.2">
      <c r="B3765" t="s">
        <v>10934</v>
      </c>
      <c r="C3765" t="s">
        <v>10935</v>
      </c>
      <c r="D3765">
        <v>7</v>
      </c>
      <c r="E3765" t="s">
        <v>10936</v>
      </c>
      <c r="F3765">
        <v>2</v>
      </c>
    </row>
    <row r="3766" spans="2:6" x14ac:dyDescent="0.2">
      <c r="B3766" t="s">
        <v>10937</v>
      </c>
      <c r="C3766" t="s">
        <v>10938</v>
      </c>
      <c r="D3766">
        <v>7</v>
      </c>
      <c r="E3766" t="s">
        <v>10939</v>
      </c>
      <c r="F3766">
        <v>2</v>
      </c>
    </row>
    <row r="3767" spans="2:6" x14ac:dyDescent="0.2">
      <c r="B3767" t="s">
        <v>10940</v>
      </c>
      <c r="C3767" t="s">
        <v>10941</v>
      </c>
      <c r="D3767">
        <v>7</v>
      </c>
      <c r="E3767" t="s">
        <v>2924</v>
      </c>
      <c r="F3767">
        <v>1</v>
      </c>
    </row>
    <row r="3768" spans="2:6" x14ac:dyDescent="0.2">
      <c r="B3768" t="s">
        <v>10942</v>
      </c>
      <c r="C3768" t="s">
        <v>10943</v>
      </c>
      <c r="D3768">
        <v>7</v>
      </c>
      <c r="E3768" t="s">
        <v>3294</v>
      </c>
      <c r="F3768">
        <v>7</v>
      </c>
    </row>
    <row r="3769" spans="2:6" x14ac:dyDescent="0.2">
      <c r="B3769" t="s">
        <v>10944</v>
      </c>
      <c r="C3769" t="s">
        <v>10945</v>
      </c>
      <c r="D3769">
        <v>7</v>
      </c>
      <c r="E3769" t="s">
        <v>3316</v>
      </c>
      <c r="F3769">
        <v>3</v>
      </c>
    </row>
    <row r="3770" spans="2:6" x14ac:dyDescent="0.2">
      <c r="B3770" t="s">
        <v>10946</v>
      </c>
      <c r="C3770" t="s">
        <v>10947</v>
      </c>
      <c r="D3770">
        <v>7</v>
      </c>
      <c r="E3770" t="s">
        <v>5525</v>
      </c>
      <c r="F3770">
        <v>3</v>
      </c>
    </row>
    <row r="3771" spans="2:6" x14ac:dyDescent="0.2">
      <c r="B3771" t="s">
        <v>10948</v>
      </c>
      <c r="C3771" t="s">
        <v>10949</v>
      </c>
      <c r="D3771">
        <v>7</v>
      </c>
      <c r="E3771" t="s">
        <v>4670</v>
      </c>
      <c r="F3771">
        <v>3</v>
      </c>
    </row>
    <row r="3772" spans="2:6" x14ac:dyDescent="0.2">
      <c r="B3772" t="s">
        <v>10950</v>
      </c>
      <c r="C3772" t="s">
        <v>10717</v>
      </c>
      <c r="D3772">
        <v>7</v>
      </c>
      <c r="E3772" t="s">
        <v>2915</v>
      </c>
      <c r="F3772">
        <v>1</v>
      </c>
    </row>
    <row r="3773" spans="2:6" x14ac:dyDescent="0.2">
      <c r="B3773" t="s">
        <v>2063</v>
      </c>
      <c r="C3773" t="s">
        <v>10951</v>
      </c>
      <c r="D3773">
        <v>7</v>
      </c>
      <c r="E3773" t="s">
        <v>10952</v>
      </c>
      <c r="F3773">
        <v>1</v>
      </c>
    </row>
    <row r="3774" spans="2:6" x14ac:dyDescent="0.2">
      <c r="B3774" t="s">
        <v>10953</v>
      </c>
      <c r="C3774" t="s">
        <v>10954</v>
      </c>
      <c r="D3774">
        <v>7</v>
      </c>
      <c r="E3774" t="s">
        <v>2839</v>
      </c>
      <c r="F3774">
        <v>1</v>
      </c>
    </row>
    <row r="3775" spans="2:6" x14ac:dyDescent="0.2">
      <c r="B3775" t="s">
        <v>10955</v>
      </c>
      <c r="C3775" t="s">
        <v>10956</v>
      </c>
      <c r="D3775">
        <v>7</v>
      </c>
      <c r="E3775" t="s">
        <v>5893</v>
      </c>
      <c r="F3775">
        <v>47</v>
      </c>
    </row>
    <row r="3776" spans="2:6" x14ac:dyDescent="0.2">
      <c r="B3776" t="s">
        <v>1147</v>
      </c>
      <c r="C3776" t="s">
        <v>10957</v>
      </c>
      <c r="D3776">
        <v>7</v>
      </c>
      <c r="E3776" t="s">
        <v>7528</v>
      </c>
      <c r="F3776">
        <v>11</v>
      </c>
    </row>
    <row r="3777" spans="2:6" x14ac:dyDescent="0.2">
      <c r="B3777" t="s">
        <v>10958</v>
      </c>
      <c r="C3777" t="s">
        <v>10959</v>
      </c>
      <c r="D3777">
        <v>7</v>
      </c>
      <c r="E3777" t="s">
        <v>3466</v>
      </c>
      <c r="F3777">
        <v>2</v>
      </c>
    </row>
    <row r="3778" spans="2:6" x14ac:dyDescent="0.2">
      <c r="B3778" t="s">
        <v>10960</v>
      </c>
      <c r="C3778" t="s">
        <v>10961</v>
      </c>
      <c r="D3778">
        <v>7</v>
      </c>
      <c r="E3778" t="s">
        <v>3960</v>
      </c>
      <c r="F3778">
        <v>1</v>
      </c>
    </row>
    <row r="3779" spans="2:6" x14ac:dyDescent="0.2">
      <c r="B3779" t="s">
        <v>10962</v>
      </c>
      <c r="C3779" t="s">
        <v>5987</v>
      </c>
      <c r="D3779">
        <v>7</v>
      </c>
      <c r="E3779" t="s">
        <v>10963</v>
      </c>
      <c r="F3779">
        <v>15</v>
      </c>
    </row>
    <row r="3780" spans="2:6" x14ac:dyDescent="0.2">
      <c r="B3780">
        <v>1114004</v>
      </c>
      <c r="C3780" t="s">
        <v>10964</v>
      </c>
      <c r="D3780">
        <v>7</v>
      </c>
      <c r="E3780" t="s">
        <v>3084</v>
      </c>
      <c r="F3780">
        <v>1</v>
      </c>
    </row>
    <row r="3781" spans="2:6" x14ac:dyDescent="0.2">
      <c r="B3781" t="s">
        <v>10965</v>
      </c>
      <c r="C3781" t="s">
        <v>10966</v>
      </c>
      <c r="D3781">
        <v>7</v>
      </c>
      <c r="E3781" t="s">
        <v>4273</v>
      </c>
      <c r="F3781">
        <v>1</v>
      </c>
    </row>
    <row r="3782" spans="2:6" x14ac:dyDescent="0.2">
      <c r="B3782" t="s">
        <v>10967</v>
      </c>
      <c r="C3782" t="s">
        <v>10968</v>
      </c>
      <c r="D3782">
        <v>7</v>
      </c>
      <c r="E3782" t="s">
        <v>7642</v>
      </c>
      <c r="F3782">
        <v>2</v>
      </c>
    </row>
    <row r="3783" spans="2:6" x14ac:dyDescent="0.2">
      <c r="B3783" t="s">
        <v>10969</v>
      </c>
      <c r="C3783" t="s">
        <v>10970</v>
      </c>
      <c r="D3783">
        <v>7</v>
      </c>
      <c r="E3783" t="s">
        <v>10971</v>
      </c>
      <c r="F3783">
        <v>1</v>
      </c>
    </row>
    <row r="3784" spans="2:6" x14ac:dyDescent="0.2">
      <c r="B3784" t="s">
        <v>10972</v>
      </c>
      <c r="C3784" t="s">
        <v>10973</v>
      </c>
      <c r="D3784">
        <v>7</v>
      </c>
      <c r="E3784" t="s">
        <v>2952</v>
      </c>
      <c r="F3784">
        <v>1</v>
      </c>
    </row>
    <row r="3785" spans="2:6" x14ac:dyDescent="0.2">
      <c r="B3785" t="s">
        <v>10974</v>
      </c>
      <c r="C3785" t="s">
        <v>10975</v>
      </c>
      <c r="D3785">
        <v>7</v>
      </c>
      <c r="E3785" t="s">
        <v>3742</v>
      </c>
      <c r="F3785">
        <v>2</v>
      </c>
    </row>
    <row r="3786" spans="2:6" x14ac:dyDescent="0.2">
      <c r="B3786" t="s">
        <v>10976</v>
      </c>
      <c r="C3786" t="s">
        <v>10977</v>
      </c>
      <c r="D3786">
        <v>7</v>
      </c>
      <c r="E3786" t="s">
        <v>10978</v>
      </c>
      <c r="F3786">
        <v>1</v>
      </c>
    </row>
    <row r="3787" spans="2:6" x14ac:dyDescent="0.2">
      <c r="B3787" t="s">
        <v>10979</v>
      </c>
      <c r="C3787" t="s">
        <v>10980</v>
      </c>
      <c r="D3787">
        <v>7</v>
      </c>
      <c r="E3787" t="s">
        <v>10981</v>
      </c>
      <c r="F3787">
        <v>3</v>
      </c>
    </row>
    <row r="3788" spans="2:6" x14ac:dyDescent="0.2">
      <c r="B3788" t="s">
        <v>10982</v>
      </c>
      <c r="C3788" t="s">
        <v>10983</v>
      </c>
      <c r="D3788">
        <v>7</v>
      </c>
      <c r="E3788" t="s">
        <v>10984</v>
      </c>
      <c r="F3788">
        <v>1</v>
      </c>
    </row>
    <row r="3789" spans="2:6" x14ac:dyDescent="0.2">
      <c r="B3789" t="s">
        <v>10985</v>
      </c>
      <c r="C3789" t="s">
        <v>10986</v>
      </c>
      <c r="D3789">
        <v>7</v>
      </c>
      <c r="E3789" t="s">
        <v>10987</v>
      </c>
      <c r="F3789">
        <v>3</v>
      </c>
    </row>
    <row r="3790" spans="2:6" x14ac:dyDescent="0.2">
      <c r="B3790" t="s">
        <v>10988</v>
      </c>
      <c r="C3790" t="s">
        <v>10989</v>
      </c>
      <c r="D3790">
        <v>7</v>
      </c>
      <c r="E3790" t="s">
        <v>10990</v>
      </c>
      <c r="F3790">
        <v>3</v>
      </c>
    </row>
    <row r="3791" spans="2:6" x14ac:dyDescent="0.2">
      <c r="B3791" t="s">
        <v>10991</v>
      </c>
      <c r="C3791" t="s">
        <v>10992</v>
      </c>
      <c r="D3791">
        <v>7</v>
      </c>
      <c r="E3791" t="s">
        <v>2915</v>
      </c>
      <c r="F3791">
        <v>1</v>
      </c>
    </row>
    <row r="3792" spans="2:6" x14ac:dyDescent="0.2">
      <c r="B3792" t="s">
        <v>10993</v>
      </c>
      <c r="C3792" t="s">
        <v>10994</v>
      </c>
      <c r="D3792">
        <v>7</v>
      </c>
      <c r="E3792" t="s">
        <v>3235</v>
      </c>
      <c r="F3792">
        <v>1</v>
      </c>
    </row>
    <row r="3793" spans="2:6" x14ac:dyDescent="0.2">
      <c r="B3793" t="s">
        <v>10995</v>
      </c>
      <c r="C3793" t="s">
        <v>10996</v>
      </c>
      <c r="D3793">
        <v>7</v>
      </c>
      <c r="E3793" t="s">
        <v>3628</v>
      </c>
      <c r="F3793">
        <v>3</v>
      </c>
    </row>
    <row r="3794" spans="2:6" x14ac:dyDescent="0.2">
      <c r="B3794" t="s">
        <v>10997</v>
      </c>
      <c r="C3794" t="s">
        <v>10998</v>
      </c>
      <c r="D3794">
        <v>7</v>
      </c>
      <c r="E3794" t="s">
        <v>2830</v>
      </c>
      <c r="F3794">
        <v>1</v>
      </c>
    </row>
    <row r="3795" spans="2:6" x14ac:dyDescent="0.2">
      <c r="B3795" t="s">
        <v>10999</v>
      </c>
      <c r="C3795" t="s">
        <v>11000</v>
      </c>
      <c r="D3795">
        <v>7</v>
      </c>
      <c r="E3795" t="s">
        <v>3213</v>
      </c>
      <c r="F3795">
        <v>4</v>
      </c>
    </row>
    <row r="3796" spans="2:6" x14ac:dyDescent="0.2">
      <c r="B3796" t="s">
        <v>11001</v>
      </c>
      <c r="C3796" t="s">
        <v>11002</v>
      </c>
      <c r="D3796">
        <v>7</v>
      </c>
      <c r="E3796" t="s">
        <v>3067</v>
      </c>
      <c r="F3796">
        <v>1</v>
      </c>
    </row>
    <row r="3797" spans="2:6" x14ac:dyDescent="0.2">
      <c r="B3797" t="s">
        <v>1305</v>
      </c>
      <c r="C3797" t="s">
        <v>11003</v>
      </c>
      <c r="D3797">
        <v>7</v>
      </c>
      <c r="E3797" t="s">
        <v>9801</v>
      </c>
      <c r="F3797">
        <v>3</v>
      </c>
    </row>
    <row r="3798" spans="2:6" x14ac:dyDescent="0.2">
      <c r="B3798" t="s">
        <v>1291</v>
      </c>
      <c r="C3798" t="s">
        <v>11004</v>
      </c>
      <c r="D3798">
        <v>7</v>
      </c>
      <c r="E3798" t="s">
        <v>9801</v>
      </c>
      <c r="F3798">
        <v>3</v>
      </c>
    </row>
    <row r="3799" spans="2:6" x14ac:dyDescent="0.2">
      <c r="B3799" t="s">
        <v>262</v>
      </c>
      <c r="C3799" t="s">
        <v>11005</v>
      </c>
      <c r="D3799">
        <v>7</v>
      </c>
      <c r="E3799" t="s">
        <v>7981</v>
      </c>
      <c r="F3799">
        <v>1</v>
      </c>
    </row>
    <row r="3800" spans="2:6" x14ac:dyDescent="0.2">
      <c r="B3800" t="s">
        <v>11006</v>
      </c>
      <c r="C3800" t="s">
        <v>11007</v>
      </c>
      <c r="D3800">
        <v>7</v>
      </c>
      <c r="E3800" t="s">
        <v>3960</v>
      </c>
      <c r="F3800">
        <v>15</v>
      </c>
    </row>
    <row r="3801" spans="2:6" x14ac:dyDescent="0.2">
      <c r="B3801" t="s">
        <v>11008</v>
      </c>
      <c r="C3801" t="s">
        <v>11009</v>
      </c>
      <c r="D3801">
        <v>7</v>
      </c>
      <c r="E3801" t="s">
        <v>4525</v>
      </c>
      <c r="F3801">
        <v>6</v>
      </c>
    </row>
    <row r="3802" spans="2:6" x14ac:dyDescent="0.2">
      <c r="B3802" t="s">
        <v>11010</v>
      </c>
      <c r="C3802" t="s">
        <v>11011</v>
      </c>
      <c r="D3802">
        <v>7</v>
      </c>
      <c r="E3802" t="s">
        <v>4260</v>
      </c>
      <c r="F3802">
        <v>18</v>
      </c>
    </row>
    <row r="3803" spans="2:6" x14ac:dyDescent="0.2">
      <c r="B3803" t="s">
        <v>11012</v>
      </c>
      <c r="C3803" t="s">
        <v>11013</v>
      </c>
      <c r="D3803">
        <v>7</v>
      </c>
      <c r="E3803" t="s">
        <v>4260</v>
      </c>
      <c r="F3803">
        <v>9</v>
      </c>
    </row>
    <row r="3804" spans="2:6" x14ac:dyDescent="0.2">
      <c r="B3804" t="s">
        <v>11014</v>
      </c>
      <c r="C3804" t="s">
        <v>11015</v>
      </c>
      <c r="D3804">
        <v>7</v>
      </c>
      <c r="E3804" t="s">
        <v>2892</v>
      </c>
      <c r="F3804">
        <v>5</v>
      </c>
    </row>
    <row r="3805" spans="2:6" x14ac:dyDescent="0.2">
      <c r="B3805" t="s">
        <v>11016</v>
      </c>
      <c r="C3805" t="s">
        <v>11017</v>
      </c>
      <c r="D3805">
        <v>7</v>
      </c>
      <c r="E3805" t="s">
        <v>11018</v>
      </c>
      <c r="F3805">
        <v>5</v>
      </c>
    </row>
    <row r="3806" spans="2:6" x14ac:dyDescent="0.2">
      <c r="B3806" t="s">
        <v>11019</v>
      </c>
      <c r="C3806" t="s">
        <v>11020</v>
      </c>
      <c r="D3806">
        <v>7</v>
      </c>
      <c r="E3806" t="s">
        <v>2857</v>
      </c>
      <c r="F3806">
        <v>1</v>
      </c>
    </row>
    <row r="3807" spans="2:6" x14ac:dyDescent="0.2">
      <c r="B3807" t="s">
        <v>11021</v>
      </c>
      <c r="C3807" t="s">
        <v>11022</v>
      </c>
      <c r="D3807">
        <v>7</v>
      </c>
      <c r="E3807" t="s">
        <v>11023</v>
      </c>
      <c r="F3807">
        <v>5</v>
      </c>
    </row>
    <row r="3808" spans="2:6" x14ac:dyDescent="0.2">
      <c r="B3808" t="s">
        <v>11024</v>
      </c>
      <c r="C3808" t="s">
        <v>11025</v>
      </c>
      <c r="D3808">
        <v>7</v>
      </c>
      <c r="E3808" t="s">
        <v>3084</v>
      </c>
      <c r="F3808">
        <v>3</v>
      </c>
    </row>
    <row r="3809" spans="2:6" x14ac:dyDescent="0.2">
      <c r="B3809" t="s">
        <v>11026</v>
      </c>
      <c r="C3809" t="s">
        <v>11027</v>
      </c>
      <c r="D3809">
        <v>7</v>
      </c>
      <c r="E3809" t="s">
        <v>3586</v>
      </c>
      <c r="F3809">
        <v>1</v>
      </c>
    </row>
    <row r="3810" spans="2:6" x14ac:dyDescent="0.2">
      <c r="B3810" t="s">
        <v>11028</v>
      </c>
      <c r="C3810" t="s">
        <v>11029</v>
      </c>
      <c r="D3810">
        <v>7</v>
      </c>
      <c r="E3810" t="s">
        <v>7054</v>
      </c>
      <c r="F3810">
        <v>7</v>
      </c>
    </row>
    <row r="3811" spans="2:6" x14ac:dyDescent="0.2">
      <c r="B3811" t="s">
        <v>11030</v>
      </c>
      <c r="C3811" t="s">
        <v>11031</v>
      </c>
      <c r="D3811">
        <v>7</v>
      </c>
      <c r="E3811" t="s">
        <v>6265</v>
      </c>
      <c r="F3811">
        <v>1</v>
      </c>
    </row>
    <row r="3812" spans="2:6" x14ac:dyDescent="0.2">
      <c r="B3812" t="s">
        <v>11032</v>
      </c>
      <c r="C3812" t="s">
        <v>10566</v>
      </c>
      <c r="D3812">
        <v>7</v>
      </c>
      <c r="E3812" t="s">
        <v>11033</v>
      </c>
      <c r="F3812">
        <v>1</v>
      </c>
    </row>
    <row r="3813" spans="2:6" x14ac:dyDescent="0.2">
      <c r="B3813" t="s">
        <v>11034</v>
      </c>
      <c r="C3813" t="s">
        <v>11035</v>
      </c>
      <c r="D3813">
        <v>7</v>
      </c>
      <c r="E3813" t="s">
        <v>4645</v>
      </c>
      <c r="F3813">
        <v>2</v>
      </c>
    </row>
    <row r="3814" spans="2:6" x14ac:dyDescent="0.2">
      <c r="B3814" t="s">
        <v>11036</v>
      </c>
      <c r="C3814" t="s">
        <v>11037</v>
      </c>
      <c r="D3814">
        <v>7</v>
      </c>
      <c r="E3814" t="s">
        <v>3386</v>
      </c>
      <c r="F3814">
        <v>1</v>
      </c>
    </row>
    <row r="3815" spans="2:6" x14ac:dyDescent="0.2">
      <c r="B3815" t="s">
        <v>11038</v>
      </c>
      <c r="C3815" t="s">
        <v>11039</v>
      </c>
      <c r="D3815">
        <v>7</v>
      </c>
      <c r="E3815" t="s">
        <v>2974</v>
      </c>
      <c r="F3815">
        <v>1</v>
      </c>
    </row>
    <row r="3816" spans="2:6" x14ac:dyDescent="0.2">
      <c r="B3816" t="s">
        <v>11040</v>
      </c>
      <c r="C3816" t="s">
        <v>11041</v>
      </c>
      <c r="D3816">
        <v>7</v>
      </c>
      <c r="E3816" t="s">
        <v>4280</v>
      </c>
      <c r="F3816">
        <v>11</v>
      </c>
    </row>
    <row r="3817" spans="2:6" x14ac:dyDescent="0.2">
      <c r="B3817" t="s">
        <v>11042</v>
      </c>
      <c r="C3817" t="s">
        <v>11043</v>
      </c>
      <c r="D3817">
        <v>7</v>
      </c>
      <c r="E3817" t="s">
        <v>5474</v>
      </c>
      <c r="F3817">
        <v>1</v>
      </c>
    </row>
    <row r="3818" spans="2:6" x14ac:dyDescent="0.2">
      <c r="B3818" t="s">
        <v>772</v>
      </c>
      <c r="C3818" t="s">
        <v>11044</v>
      </c>
      <c r="D3818">
        <v>7</v>
      </c>
      <c r="E3818" t="s">
        <v>3423</v>
      </c>
      <c r="F3818">
        <v>13</v>
      </c>
    </row>
    <row r="3819" spans="2:6" x14ac:dyDescent="0.2">
      <c r="B3819" t="s">
        <v>1364</v>
      </c>
      <c r="C3819" t="s">
        <v>11045</v>
      </c>
      <c r="D3819">
        <v>7</v>
      </c>
      <c r="E3819" t="s">
        <v>11046</v>
      </c>
      <c r="F3819">
        <v>7</v>
      </c>
    </row>
    <row r="3820" spans="2:6" x14ac:dyDescent="0.2">
      <c r="B3820" t="s">
        <v>11047</v>
      </c>
      <c r="C3820" t="s">
        <v>3274</v>
      </c>
      <c r="D3820">
        <v>7</v>
      </c>
      <c r="E3820" t="s">
        <v>11048</v>
      </c>
      <c r="F3820">
        <v>2</v>
      </c>
    </row>
    <row r="3821" spans="2:6" x14ac:dyDescent="0.2">
      <c r="B3821" t="s">
        <v>1035</v>
      </c>
      <c r="C3821" t="s">
        <v>11049</v>
      </c>
      <c r="D3821">
        <v>7</v>
      </c>
      <c r="E3821" t="s">
        <v>11050</v>
      </c>
      <c r="F3821">
        <v>4</v>
      </c>
    </row>
    <row r="3822" spans="2:6" x14ac:dyDescent="0.2">
      <c r="B3822" t="s">
        <v>11051</v>
      </c>
      <c r="C3822" t="s">
        <v>11052</v>
      </c>
      <c r="D3822">
        <v>7</v>
      </c>
      <c r="E3822" t="s">
        <v>3235</v>
      </c>
      <c r="F3822">
        <v>2</v>
      </c>
    </row>
    <row r="3823" spans="2:6" x14ac:dyDescent="0.2">
      <c r="B3823" t="s">
        <v>790</v>
      </c>
      <c r="C3823" t="s">
        <v>11053</v>
      </c>
      <c r="D3823">
        <v>7</v>
      </c>
      <c r="E3823" t="s">
        <v>7951</v>
      </c>
      <c r="F3823">
        <v>5</v>
      </c>
    </row>
    <row r="3824" spans="2:6" x14ac:dyDescent="0.2">
      <c r="B3824" t="s">
        <v>11054</v>
      </c>
      <c r="C3824" t="s">
        <v>11055</v>
      </c>
      <c r="D3824">
        <v>7</v>
      </c>
      <c r="E3824" t="s">
        <v>2921</v>
      </c>
      <c r="F3824">
        <v>9</v>
      </c>
    </row>
    <row r="3825" spans="2:6" x14ac:dyDescent="0.2">
      <c r="B3825" t="s">
        <v>11056</v>
      </c>
      <c r="C3825" t="s">
        <v>11057</v>
      </c>
      <c r="D3825">
        <v>7</v>
      </c>
      <c r="E3825" t="s">
        <v>3469</v>
      </c>
      <c r="F3825">
        <v>1</v>
      </c>
    </row>
    <row r="3826" spans="2:6" x14ac:dyDescent="0.2">
      <c r="B3826" t="s">
        <v>11058</v>
      </c>
      <c r="C3826" t="s">
        <v>11059</v>
      </c>
      <c r="D3826">
        <v>7</v>
      </c>
      <c r="E3826" t="s">
        <v>4050</v>
      </c>
      <c r="F3826">
        <v>2</v>
      </c>
    </row>
    <row r="3827" spans="2:6" x14ac:dyDescent="0.2">
      <c r="B3827" t="s">
        <v>11060</v>
      </c>
      <c r="C3827" t="s">
        <v>11061</v>
      </c>
      <c r="D3827">
        <v>7</v>
      </c>
      <c r="E3827" t="s">
        <v>3415</v>
      </c>
      <c r="F3827">
        <v>6</v>
      </c>
    </row>
    <row r="3828" spans="2:6" x14ac:dyDescent="0.2">
      <c r="B3828" t="s">
        <v>535</v>
      </c>
      <c r="C3828" t="s">
        <v>11062</v>
      </c>
      <c r="D3828">
        <v>7</v>
      </c>
      <c r="E3828" t="s">
        <v>11063</v>
      </c>
      <c r="F3828">
        <v>15</v>
      </c>
    </row>
    <row r="3829" spans="2:6" x14ac:dyDescent="0.2">
      <c r="B3829" t="s">
        <v>11064</v>
      </c>
      <c r="C3829" t="s">
        <v>11065</v>
      </c>
      <c r="D3829">
        <v>7</v>
      </c>
      <c r="E3829" t="s">
        <v>2949</v>
      </c>
      <c r="F3829">
        <v>1</v>
      </c>
    </row>
    <row r="3830" spans="2:6" x14ac:dyDescent="0.2">
      <c r="B3830" t="s">
        <v>11066</v>
      </c>
      <c r="C3830" t="s">
        <v>11067</v>
      </c>
      <c r="D3830">
        <v>7</v>
      </c>
      <c r="E3830" t="s">
        <v>2785</v>
      </c>
      <c r="F3830">
        <v>1</v>
      </c>
    </row>
    <row r="3831" spans="2:6" x14ac:dyDescent="0.2">
      <c r="B3831" t="s">
        <v>11068</v>
      </c>
      <c r="C3831" t="s">
        <v>10051</v>
      </c>
      <c r="D3831">
        <v>7</v>
      </c>
      <c r="E3831" t="s">
        <v>2788</v>
      </c>
      <c r="F3831">
        <v>2</v>
      </c>
    </row>
    <row r="3832" spans="2:6" x14ac:dyDescent="0.2">
      <c r="B3832" t="s">
        <v>11069</v>
      </c>
      <c r="C3832" t="s">
        <v>11070</v>
      </c>
      <c r="D3832">
        <v>7</v>
      </c>
      <c r="E3832" t="s">
        <v>3643</v>
      </c>
      <c r="F3832">
        <v>3</v>
      </c>
    </row>
    <row r="3833" spans="2:6" x14ac:dyDescent="0.2">
      <c r="B3833" t="s">
        <v>11071</v>
      </c>
      <c r="C3833" t="s">
        <v>10430</v>
      </c>
      <c r="D3833">
        <v>7</v>
      </c>
      <c r="E3833" t="s">
        <v>11072</v>
      </c>
      <c r="F3833">
        <v>1</v>
      </c>
    </row>
    <row r="3834" spans="2:6" x14ac:dyDescent="0.2">
      <c r="B3834" t="s">
        <v>11073</v>
      </c>
      <c r="C3834" t="s">
        <v>11074</v>
      </c>
      <c r="D3834">
        <v>7</v>
      </c>
      <c r="E3834" t="s">
        <v>3056</v>
      </c>
      <c r="F3834">
        <v>3</v>
      </c>
    </row>
    <row r="3835" spans="2:6" x14ac:dyDescent="0.2">
      <c r="B3835" t="s">
        <v>11075</v>
      </c>
      <c r="C3835" t="s">
        <v>11076</v>
      </c>
      <c r="D3835">
        <v>7</v>
      </c>
      <c r="E3835" t="s">
        <v>2788</v>
      </c>
      <c r="F3835">
        <v>1</v>
      </c>
    </row>
    <row r="3836" spans="2:6" x14ac:dyDescent="0.2">
      <c r="B3836" t="s">
        <v>11077</v>
      </c>
      <c r="C3836" t="s">
        <v>11078</v>
      </c>
      <c r="D3836">
        <v>7</v>
      </c>
      <c r="E3836" t="s">
        <v>3084</v>
      </c>
      <c r="F3836">
        <v>2</v>
      </c>
    </row>
    <row r="3837" spans="2:6" x14ac:dyDescent="0.2">
      <c r="B3837" t="s">
        <v>11079</v>
      </c>
      <c r="C3837" t="s">
        <v>11080</v>
      </c>
      <c r="D3837">
        <v>7</v>
      </c>
      <c r="E3837" t="s">
        <v>8361</v>
      </c>
      <c r="F3837">
        <v>3</v>
      </c>
    </row>
    <row r="3838" spans="2:6" x14ac:dyDescent="0.2">
      <c r="B3838" t="s">
        <v>11081</v>
      </c>
      <c r="C3838" t="s">
        <v>11082</v>
      </c>
      <c r="D3838">
        <v>7</v>
      </c>
      <c r="E3838" t="s">
        <v>6089</v>
      </c>
      <c r="F3838">
        <v>1</v>
      </c>
    </row>
    <row r="3839" spans="2:6" x14ac:dyDescent="0.2">
      <c r="B3839" t="s">
        <v>11083</v>
      </c>
      <c r="C3839" t="s">
        <v>11084</v>
      </c>
      <c r="D3839">
        <v>7</v>
      </c>
      <c r="E3839" t="s">
        <v>6284</v>
      </c>
      <c r="F3839">
        <v>7</v>
      </c>
    </row>
    <row r="3840" spans="2:6" x14ac:dyDescent="0.2">
      <c r="B3840" t="s">
        <v>11085</v>
      </c>
      <c r="C3840" t="s">
        <v>11086</v>
      </c>
      <c r="D3840">
        <v>7</v>
      </c>
      <c r="E3840" t="s">
        <v>3808</v>
      </c>
      <c r="F3840">
        <v>4</v>
      </c>
    </row>
    <row r="3841" spans="2:6" x14ac:dyDescent="0.2">
      <c r="B3841" t="s">
        <v>11087</v>
      </c>
      <c r="C3841" t="s">
        <v>11088</v>
      </c>
      <c r="D3841">
        <v>7</v>
      </c>
      <c r="E3841" t="s">
        <v>2788</v>
      </c>
      <c r="F3841">
        <v>1</v>
      </c>
    </row>
    <row r="3842" spans="2:6" x14ac:dyDescent="0.2">
      <c r="B3842" t="s">
        <v>11089</v>
      </c>
      <c r="C3842" t="s">
        <v>11090</v>
      </c>
      <c r="D3842">
        <v>7</v>
      </c>
      <c r="E3842" t="s">
        <v>8781</v>
      </c>
      <c r="F3842">
        <v>3</v>
      </c>
    </row>
    <row r="3843" spans="2:6" x14ac:dyDescent="0.2">
      <c r="B3843" t="s">
        <v>11091</v>
      </c>
      <c r="C3843" t="s">
        <v>11092</v>
      </c>
      <c r="D3843">
        <v>7</v>
      </c>
      <c r="E3843" t="s">
        <v>3109</v>
      </c>
      <c r="F3843">
        <v>3</v>
      </c>
    </row>
    <row r="3844" spans="2:6" x14ac:dyDescent="0.2">
      <c r="B3844" t="s">
        <v>11093</v>
      </c>
      <c r="C3844" t="s">
        <v>11094</v>
      </c>
      <c r="D3844">
        <v>7</v>
      </c>
      <c r="E3844" t="s">
        <v>11095</v>
      </c>
      <c r="F3844">
        <v>1</v>
      </c>
    </row>
    <row r="3845" spans="2:6" x14ac:dyDescent="0.2">
      <c r="B3845" t="s">
        <v>11096</v>
      </c>
      <c r="C3845" t="s">
        <v>11097</v>
      </c>
      <c r="D3845">
        <v>7</v>
      </c>
      <c r="E3845" t="s">
        <v>2915</v>
      </c>
      <c r="F3845">
        <v>2</v>
      </c>
    </row>
    <row r="3846" spans="2:6" x14ac:dyDescent="0.2">
      <c r="B3846" t="s">
        <v>11098</v>
      </c>
      <c r="C3846" t="s">
        <v>11099</v>
      </c>
      <c r="D3846">
        <v>7</v>
      </c>
      <c r="E3846" t="s">
        <v>7981</v>
      </c>
      <c r="F3846">
        <v>3</v>
      </c>
    </row>
    <row r="3847" spans="2:6" x14ac:dyDescent="0.2">
      <c r="B3847" t="s">
        <v>2166</v>
      </c>
      <c r="C3847" t="s">
        <v>11100</v>
      </c>
      <c r="D3847">
        <v>7</v>
      </c>
      <c r="E3847" t="s">
        <v>4125</v>
      </c>
      <c r="F3847">
        <v>9</v>
      </c>
    </row>
    <row r="3848" spans="2:6" x14ac:dyDescent="0.2">
      <c r="B3848" t="s">
        <v>2105</v>
      </c>
      <c r="C3848" t="s">
        <v>11101</v>
      </c>
      <c r="D3848">
        <v>7</v>
      </c>
      <c r="E3848" t="s">
        <v>4645</v>
      </c>
      <c r="F3848">
        <v>4</v>
      </c>
    </row>
    <row r="3849" spans="2:6" x14ac:dyDescent="0.2">
      <c r="B3849" t="s">
        <v>11102</v>
      </c>
      <c r="C3849" t="s">
        <v>11103</v>
      </c>
      <c r="D3849">
        <v>7</v>
      </c>
      <c r="E3849" t="s">
        <v>2949</v>
      </c>
      <c r="F3849">
        <v>1</v>
      </c>
    </row>
    <row r="3850" spans="2:6" x14ac:dyDescent="0.2">
      <c r="B3850" t="s">
        <v>11104</v>
      </c>
      <c r="C3850" t="s">
        <v>11105</v>
      </c>
      <c r="D3850">
        <v>7</v>
      </c>
      <c r="E3850" t="s">
        <v>3742</v>
      </c>
      <c r="F3850">
        <v>6</v>
      </c>
    </row>
    <row r="3851" spans="2:6" x14ac:dyDescent="0.2">
      <c r="B3851" t="s">
        <v>11106</v>
      </c>
      <c r="C3851" t="s">
        <v>11107</v>
      </c>
      <c r="D3851">
        <v>7</v>
      </c>
      <c r="E3851" t="s">
        <v>3455</v>
      </c>
      <c r="F3851">
        <v>1</v>
      </c>
    </row>
    <row r="3852" spans="2:6" x14ac:dyDescent="0.2">
      <c r="B3852" t="s">
        <v>11108</v>
      </c>
      <c r="C3852" t="s">
        <v>11109</v>
      </c>
      <c r="D3852">
        <v>7</v>
      </c>
      <c r="E3852" t="s">
        <v>3095</v>
      </c>
      <c r="F3852">
        <v>7</v>
      </c>
    </row>
    <row r="3853" spans="2:6" x14ac:dyDescent="0.2">
      <c r="B3853" t="s">
        <v>11110</v>
      </c>
      <c r="C3853" t="s">
        <v>11111</v>
      </c>
      <c r="D3853">
        <v>7</v>
      </c>
      <c r="E3853" t="s">
        <v>11112</v>
      </c>
      <c r="F3853">
        <v>1</v>
      </c>
    </row>
    <row r="3854" spans="2:6" x14ac:dyDescent="0.2">
      <c r="B3854" t="s">
        <v>11113</v>
      </c>
      <c r="C3854" t="s">
        <v>11114</v>
      </c>
      <c r="D3854">
        <v>7</v>
      </c>
      <c r="E3854" t="s">
        <v>11115</v>
      </c>
      <c r="F3854">
        <v>8</v>
      </c>
    </row>
    <row r="3855" spans="2:6" x14ac:dyDescent="0.2">
      <c r="B3855" t="s">
        <v>11116</v>
      </c>
      <c r="C3855" t="s">
        <v>11117</v>
      </c>
      <c r="D3855">
        <v>7</v>
      </c>
      <c r="E3855" t="s">
        <v>2974</v>
      </c>
      <c r="F3855">
        <v>2</v>
      </c>
    </row>
    <row r="3856" spans="2:6" x14ac:dyDescent="0.2">
      <c r="B3856" t="s">
        <v>11118</v>
      </c>
      <c r="C3856" t="s">
        <v>11119</v>
      </c>
      <c r="D3856">
        <v>7</v>
      </c>
      <c r="E3856" t="s">
        <v>2785</v>
      </c>
      <c r="F3856">
        <v>1</v>
      </c>
    </row>
    <row r="3857" spans="2:6" x14ac:dyDescent="0.2">
      <c r="B3857" t="s">
        <v>11120</v>
      </c>
      <c r="C3857" t="s">
        <v>11121</v>
      </c>
      <c r="D3857">
        <v>7</v>
      </c>
      <c r="E3857" t="s">
        <v>2842</v>
      </c>
      <c r="F3857">
        <v>1</v>
      </c>
    </row>
    <row r="3858" spans="2:6" x14ac:dyDescent="0.2">
      <c r="B3858" t="s">
        <v>11122</v>
      </c>
      <c r="C3858" t="s">
        <v>11123</v>
      </c>
      <c r="D3858">
        <v>7</v>
      </c>
      <c r="E3858" t="s">
        <v>3139</v>
      </c>
      <c r="F3858">
        <v>1</v>
      </c>
    </row>
    <row r="3859" spans="2:6" x14ac:dyDescent="0.2">
      <c r="B3859" t="s">
        <v>11124</v>
      </c>
      <c r="C3859" t="s">
        <v>11125</v>
      </c>
      <c r="D3859">
        <v>7</v>
      </c>
      <c r="E3859" t="s">
        <v>4151</v>
      </c>
      <c r="F3859">
        <v>1</v>
      </c>
    </row>
    <row r="3860" spans="2:6" x14ac:dyDescent="0.2">
      <c r="B3860" t="s">
        <v>11126</v>
      </c>
      <c r="C3860" t="s">
        <v>11127</v>
      </c>
      <c r="D3860">
        <v>7</v>
      </c>
      <c r="E3860" t="s">
        <v>11128</v>
      </c>
      <c r="F3860">
        <v>1</v>
      </c>
    </row>
    <row r="3861" spans="2:6" x14ac:dyDescent="0.2">
      <c r="B3861" t="s">
        <v>11129</v>
      </c>
      <c r="C3861" t="s">
        <v>11130</v>
      </c>
      <c r="D3861">
        <v>7</v>
      </c>
      <c r="E3861" t="s">
        <v>7350</v>
      </c>
      <c r="F3861">
        <v>1</v>
      </c>
    </row>
    <row r="3862" spans="2:6" x14ac:dyDescent="0.2">
      <c r="B3862" t="s">
        <v>11131</v>
      </c>
      <c r="C3862" t="s">
        <v>11132</v>
      </c>
      <c r="D3862">
        <v>7</v>
      </c>
      <c r="E3862" t="s">
        <v>11133</v>
      </c>
      <c r="F3862">
        <v>3</v>
      </c>
    </row>
    <row r="3863" spans="2:6" x14ac:dyDescent="0.2">
      <c r="B3863" t="s">
        <v>11134</v>
      </c>
      <c r="C3863" t="s">
        <v>11135</v>
      </c>
      <c r="D3863">
        <v>7</v>
      </c>
      <c r="E3863" t="s">
        <v>3307</v>
      </c>
      <c r="F3863">
        <v>3</v>
      </c>
    </row>
    <row r="3864" spans="2:6" x14ac:dyDescent="0.2">
      <c r="B3864" t="s">
        <v>11136</v>
      </c>
      <c r="C3864" t="s">
        <v>11137</v>
      </c>
      <c r="D3864">
        <v>7</v>
      </c>
      <c r="E3864" t="s">
        <v>4011</v>
      </c>
      <c r="F3864">
        <v>2</v>
      </c>
    </row>
    <row r="3865" spans="2:6" x14ac:dyDescent="0.2">
      <c r="B3865" t="s">
        <v>11138</v>
      </c>
      <c r="C3865" t="s">
        <v>11139</v>
      </c>
      <c r="D3865">
        <v>7</v>
      </c>
      <c r="E3865" t="s">
        <v>3213</v>
      </c>
      <c r="F3865">
        <v>2</v>
      </c>
    </row>
    <row r="3866" spans="2:6" x14ac:dyDescent="0.2">
      <c r="B3866" t="s">
        <v>11140</v>
      </c>
      <c r="C3866" t="s">
        <v>11141</v>
      </c>
      <c r="D3866">
        <v>7</v>
      </c>
      <c r="E3866" t="s">
        <v>2863</v>
      </c>
      <c r="F3866">
        <v>1</v>
      </c>
    </row>
    <row r="3867" spans="2:6" x14ac:dyDescent="0.2">
      <c r="B3867" t="s">
        <v>11142</v>
      </c>
      <c r="C3867" t="s">
        <v>11143</v>
      </c>
      <c r="D3867">
        <v>7</v>
      </c>
      <c r="E3867" t="s">
        <v>6236</v>
      </c>
      <c r="F3867">
        <v>5</v>
      </c>
    </row>
    <row r="3868" spans="2:6" x14ac:dyDescent="0.2">
      <c r="B3868" t="s">
        <v>510</v>
      </c>
      <c r="C3868" t="s">
        <v>11144</v>
      </c>
      <c r="D3868">
        <v>7</v>
      </c>
      <c r="E3868" t="s">
        <v>3098</v>
      </c>
      <c r="F3868">
        <v>1</v>
      </c>
    </row>
    <row r="3869" spans="2:6" x14ac:dyDescent="0.2">
      <c r="B3869" t="s">
        <v>11145</v>
      </c>
      <c r="C3869" t="s">
        <v>6193</v>
      </c>
      <c r="D3869">
        <v>7</v>
      </c>
      <c r="E3869" t="s">
        <v>11146</v>
      </c>
      <c r="F3869">
        <v>2</v>
      </c>
    </row>
    <row r="3870" spans="2:6" x14ac:dyDescent="0.2">
      <c r="B3870" t="s">
        <v>11147</v>
      </c>
      <c r="C3870" t="s">
        <v>11148</v>
      </c>
      <c r="D3870">
        <v>7</v>
      </c>
      <c r="E3870" t="s">
        <v>3031</v>
      </c>
      <c r="F3870">
        <v>2</v>
      </c>
    </row>
    <row r="3871" spans="2:6" x14ac:dyDescent="0.2">
      <c r="B3871" t="s">
        <v>11149</v>
      </c>
      <c r="C3871" t="s">
        <v>11150</v>
      </c>
      <c r="D3871">
        <v>7</v>
      </c>
      <c r="E3871" t="s">
        <v>3078</v>
      </c>
      <c r="F3871">
        <v>3</v>
      </c>
    </row>
    <row r="3872" spans="2:6" x14ac:dyDescent="0.2">
      <c r="B3872" t="s">
        <v>11151</v>
      </c>
      <c r="C3872" t="s">
        <v>11152</v>
      </c>
      <c r="D3872">
        <v>7</v>
      </c>
      <c r="E3872" t="s">
        <v>3232</v>
      </c>
      <c r="F3872">
        <v>5</v>
      </c>
    </row>
    <row r="3873" spans="2:6" x14ac:dyDescent="0.2">
      <c r="B3873" t="s">
        <v>11153</v>
      </c>
      <c r="C3873" t="s">
        <v>11154</v>
      </c>
      <c r="D3873">
        <v>7</v>
      </c>
      <c r="E3873" t="s">
        <v>3594</v>
      </c>
      <c r="F3873">
        <v>2</v>
      </c>
    </row>
    <row r="3874" spans="2:6" x14ac:dyDescent="0.2">
      <c r="B3874" t="s">
        <v>11155</v>
      </c>
      <c r="C3874" t="s">
        <v>11156</v>
      </c>
      <c r="D3874">
        <v>7</v>
      </c>
      <c r="E3874" t="s">
        <v>11157</v>
      </c>
      <c r="F3874">
        <v>1</v>
      </c>
    </row>
    <row r="3875" spans="2:6" x14ac:dyDescent="0.2">
      <c r="B3875" t="s">
        <v>11158</v>
      </c>
      <c r="C3875" t="s">
        <v>11159</v>
      </c>
      <c r="D3875">
        <v>7</v>
      </c>
      <c r="E3875" t="s">
        <v>11160</v>
      </c>
      <c r="F3875">
        <v>9</v>
      </c>
    </row>
    <row r="3876" spans="2:6" x14ac:dyDescent="0.2">
      <c r="B3876" t="s">
        <v>11161</v>
      </c>
      <c r="C3876" t="s">
        <v>11162</v>
      </c>
      <c r="D3876">
        <v>7</v>
      </c>
      <c r="E3876" t="s">
        <v>3213</v>
      </c>
      <c r="F3876">
        <v>1</v>
      </c>
    </row>
    <row r="3877" spans="2:6" x14ac:dyDescent="0.2">
      <c r="B3877" t="s">
        <v>11163</v>
      </c>
      <c r="C3877" t="s">
        <v>11164</v>
      </c>
      <c r="D3877">
        <v>7</v>
      </c>
      <c r="E3877" t="s">
        <v>5121</v>
      </c>
      <c r="F3877">
        <v>4</v>
      </c>
    </row>
    <row r="3878" spans="2:6" x14ac:dyDescent="0.2">
      <c r="B3878" t="s">
        <v>11165</v>
      </c>
      <c r="C3878" t="s">
        <v>9317</v>
      </c>
      <c r="D3878">
        <v>7</v>
      </c>
      <c r="E3878" t="s">
        <v>2805</v>
      </c>
      <c r="F3878">
        <v>2</v>
      </c>
    </row>
    <row r="3879" spans="2:6" x14ac:dyDescent="0.2">
      <c r="B3879" t="s">
        <v>11166</v>
      </c>
      <c r="C3879" t="s">
        <v>11167</v>
      </c>
      <c r="D3879">
        <v>7</v>
      </c>
      <c r="E3879" t="s">
        <v>2889</v>
      </c>
      <c r="F3879">
        <v>1</v>
      </c>
    </row>
    <row r="3880" spans="2:6" x14ac:dyDescent="0.2">
      <c r="B3880" t="s">
        <v>11168</v>
      </c>
      <c r="C3880" t="s">
        <v>11169</v>
      </c>
      <c r="D3880">
        <v>7</v>
      </c>
      <c r="E3880" t="s">
        <v>11170</v>
      </c>
      <c r="F3880">
        <v>1</v>
      </c>
    </row>
    <row r="3881" spans="2:6" x14ac:dyDescent="0.2">
      <c r="B3881" t="s">
        <v>820</v>
      </c>
      <c r="C3881" t="s">
        <v>11171</v>
      </c>
      <c r="D3881">
        <v>7</v>
      </c>
      <c r="E3881" t="s">
        <v>4629</v>
      </c>
      <c r="F3881">
        <v>9</v>
      </c>
    </row>
    <row r="3882" spans="2:6" x14ac:dyDescent="0.2">
      <c r="B3882" t="s">
        <v>11172</v>
      </c>
      <c r="C3882" t="s">
        <v>11173</v>
      </c>
      <c r="D3882">
        <v>7</v>
      </c>
      <c r="E3882" t="s">
        <v>3817</v>
      </c>
      <c r="F3882">
        <v>1</v>
      </c>
    </row>
    <row r="3883" spans="2:6" x14ac:dyDescent="0.2">
      <c r="B3883" t="s">
        <v>907</v>
      </c>
      <c r="C3883" t="s">
        <v>11174</v>
      </c>
      <c r="D3883">
        <v>7</v>
      </c>
      <c r="E3883" t="s">
        <v>3824</v>
      </c>
      <c r="F3883">
        <v>1</v>
      </c>
    </row>
    <row r="3884" spans="2:6" x14ac:dyDescent="0.2">
      <c r="B3884" t="s">
        <v>11175</v>
      </c>
      <c r="C3884" t="s">
        <v>11176</v>
      </c>
      <c r="D3884">
        <v>7</v>
      </c>
      <c r="E3884" t="s">
        <v>2811</v>
      </c>
      <c r="F3884">
        <v>2</v>
      </c>
    </row>
    <row r="3885" spans="2:6" x14ac:dyDescent="0.2">
      <c r="B3885" t="s">
        <v>11177</v>
      </c>
      <c r="C3885" t="s">
        <v>11178</v>
      </c>
      <c r="D3885">
        <v>7</v>
      </c>
      <c r="E3885" t="s">
        <v>3628</v>
      </c>
      <c r="F3885">
        <v>2</v>
      </c>
    </row>
    <row r="3886" spans="2:6" x14ac:dyDescent="0.2">
      <c r="B3886" t="s">
        <v>11179</v>
      </c>
      <c r="C3886" t="s">
        <v>11180</v>
      </c>
      <c r="D3886">
        <v>7</v>
      </c>
      <c r="E3886" t="s">
        <v>3245</v>
      </c>
      <c r="F3886">
        <v>2</v>
      </c>
    </row>
    <row r="3887" spans="2:6" x14ac:dyDescent="0.2">
      <c r="B3887" t="s">
        <v>11181</v>
      </c>
      <c r="C3887" t="s">
        <v>11182</v>
      </c>
      <c r="D3887">
        <v>7</v>
      </c>
      <c r="E3887" t="s">
        <v>3702</v>
      </c>
      <c r="F3887">
        <v>1</v>
      </c>
    </row>
    <row r="3888" spans="2:6" x14ac:dyDescent="0.2">
      <c r="B3888" t="s">
        <v>11183</v>
      </c>
      <c r="C3888" t="s">
        <v>11184</v>
      </c>
      <c r="D3888">
        <v>7</v>
      </c>
      <c r="E3888" t="s">
        <v>5443</v>
      </c>
      <c r="F3888">
        <v>3</v>
      </c>
    </row>
    <row r="3889" spans="2:6" x14ac:dyDescent="0.2">
      <c r="B3889" t="s">
        <v>11185</v>
      </c>
      <c r="C3889" t="s">
        <v>11186</v>
      </c>
      <c r="D3889">
        <v>7</v>
      </c>
      <c r="E3889" t="s">
        <v>11187</v>
      </c>
      <c r="F3889">
        <v>1</v>
      </c>
    </row>
    <row r="3890" spans="2:6" x14ac:dyDescent="0.2">
      <c r="B3890" t="s">
        <v>11188</v>
      </c>
      <c r="C3890" t="s">
        <v>11189</v>
      </c>
      <c r="D3890">
        <v>7</v>
      </c>
      <c r="E3890" t="s">
        <v>3201</v>
      </c>
      <c r="F3890">
        <v>1</v>
      </c>
    </row>
    <row r="3891" spans="2:6" x14ac:dyDescent="0.2">
      <c r="B3891" t="s">
        <v>11190</v>
      </c>
      <c r="C3891" t="s">
        <v>11191</v>
      </c>
      <c r="D3891">
        <v>7</v>
      </c>
      <c r="E3891" t="s">
        <v>10582</v>
      </c>
      <c r="F3891">
        <v>6</v>
      </c>
    </row>
    <row r="3892" spans="2:6" x14ac:dyDescent="0.2">
      <c r="B3892" t="s">
        <v>11192</v>
      </c>
      <c r="C3892" t="s">
        <v>11193</v>
      </c>
      <c r="D3892">
        <v>7</v>
      </c>
      <c r="E3892" t="s">
        <v>11194</v>
      </c>
      <c r="F3892">
        <v>1</v>
      </c>
    </row>
    <row r="3893" spans="2:6" x14ac:dyDescent="0.2">
      <c r="B3893" t="s">
        <v>11195</v>
      </c>
      <c r="C3893" t="s">
        <v>11196</v>
      </c>
      <c r="D3893">
        <v>7</v>
      </c>
      <c r="E3893" t="s">
        <v>3095</v>
      </c>
      <c r="F3893">
        <v>2</v>
      </c>
    </row>
    <row r="3894" spans="2:6" x14ac:dyDescent="0.2">
      <c r="B3894" t="s">
        <v>11197</v>
      </c>
      <c r="C3894" t="s">
        <v>11198</v>
      </c>
      <c r="D3894">
        <v>7</v>
      </c>
      <c r="E3894" t="s">
        <v>4575</v>
      </c>
      <c r="F3894">
        <v>21</v>
      </c>
    </row>
    <row r="3895" spans="2:6" x14ac:dyDescent="0.2">
      <c r="B3895" t="s">
        <v>11199</v>
      </c>
      <c r="C3895" t="s">
        <v>11200</v>
      </c>
      <c r="D3895">
        <v>7</v>
      </c>
      <c r="E3895" t="s">
        <v>3327</v>
      </c>
      <c r="F3895">
        <v>2</v>
      </c>
    </row>
    <row r="3896" spans="2:6" x14ac:dyDescent="0.2">
      <c r="B3896" t="s">
        <v>11201</v>
      </c>
      <c r="C3896" t="s">
        <v>11202</v>
      </c>
      <c r="D3896">
        <v>7</v>
      </c>
      <c r="E3896" t="s">
        <v>11203</v>
      </c>
      <c r="F3896">
        <v>1</v>
      </c>
    </row>
    <row r="3897" spans="2:6" x14ac:dyDescent="0.2">
      <c r="B3897" t="s">
        <v>11204</v>
      </c>
      <c r="C3897" t="s">
        <v>11205</v>
      </c>
      <c r="D3897">
        <v>7</v>
      </c>
      <c r="E3897" t="s">
        <v>11206</v>
      </c>
      <c r="F3897">
        <v>3</v>
      </c>
    </row>
    <row r="3898" spans="2:6" x14ac:dyDescent="0.2">
      <c r="B3898" t="s">
        <v>11207</v>
      </c>
      <c r="C3898" t="s">
        <v>11208</v>
      </c>
      <c r="D3898">
        <v>7</v>
      </c>
      <c r="E3898" t="s">
        <v>2895</v>
      </c>
      <c r="F3898">
        <v>1</v>
      </c>
    </row>
    <row r="3899" spans="2:6" x14ac:dyDescent="0.2">
      <c r="B3899" t="s">
        <v>11209</v>
      </c>
      <c r="C3899" t="s">
        <v>11210</v>
      </c>
      <c r="D3899">
        <v>7</v>
      </c>
      <c r="E3899" t="s">
        <v>2811</v>
      </c>
      <c r="F3899">
        <v>15</v>
      </c>
    </row>
    <row r="3900" spans="2:6" x14ac:dyDescent="0.2">
      <c r="B3900" t="s">
        <v>11211</v>
      </c>
      <c r="C3900" t="s">
        <v>11212</v>
      </c>
      <c r="D3900">
        <v>7</v>
      </c>
      <c r="E3900" t="s">
        <v>5062</v>
      </c>
      <c r="F3900">
        <v>4</v>
      </c>
    </row>
    <row r="3901" spans="2:6" x14ac:dyDescent="0.2">
      <c r="B3901" t="s">
        <v>11213</v>
      </c>
      <c r="C3901" t="s">
        <v>11214</v>
      </c>
      <c r="D3901">
        <v>7</v>
      </c>
      <c r="E3901" t="s">
        <v>2921</v>
      </c>
      <c r="F3901">
        <v>3</v>
      </c>
    </row>
    <row r="3902" spans="2:6" x14ac:dyDescent="0.2">
      <c r="B3902" t="s">
        <v>11215</v>
      </c>
      <c r="C3902" t="s">
        <v>11216</v>
      </c>
      <c r="D3902">
        <v>7</v>
      </c>
      <c r="E3902" t="s">
        <v>2952</v>
      </c>
      <c r="F3902">
        <v>1</v>
      </c>
    </row>
    <row r="3903" spans="2:6" x14ac:dyDescent="0.2">
      <c r="B3903" t="s">
        <v>11217</v>
      </c>
      <c r="C3903" t="s">
        <v>11218</v>
      </c>
      <c r="D3903">
        <v>7</v>
      </c>
      <c r="E3903" t="s">
        <v>2889</v>
      </c>
      <c r="F3903">
        <v>1</v>
      </c>
    </row>
    <row r="3904" spans="2:6" x14ac:dyDescent="0.2">
      <c r="B3904" t="s">
        <v>11219</v>
      </c>
      <c r="C3904" t="s">
        <v>11220</v>
      </c>
      <c r="D3904">
        <v>7</v>
      </c>
      <c r="E3904" t="s">
        <v>11221</v>
      </c>
      <c r="F3904">
        <v>8</v>
      </c>
    </row>
    <row r="3905" spans="2:6" x14ac:dyDescent="0.2">
      <c r="B3905" t="s">
        <v>11222</v>
      </c>
      <c r="C3905" t="s">
        <v>10007</v>
      </c>
      <c r="D3905">
        <v>7</v>
      </c>
      <c r="E3905" t="s">
        <v>2930</v>
      </c>
      <c r="F3905">
        <v>1</v>
      </c>
    </row>
    <row r="3906" spans="2:6" x14ac:dyDescent="0.2">
      <c r="B3906" t="s">
        <v>11223</v>
      </c>
      <c r="C3906" t="s">
        <v>11224</v>
      </c>
      <c r="D3906">
        <v>7</v>
      </c>
      <c r="E3906" t="s">
        <v>2836</v>
      </c>
      <c r="F3906">
        <v>1</v>
      </c>
    </row>
    <row r="3907" spans="2:6" x14ac:dyDescent="0.2">
      <c r="B3907" t="s">
        <v>11225</v>
      </c>
      <c r="C3907" t="s">
        <v>11226</v>
      </c>
      <c r="D3907">
        <v>7</v>
      </c>
      <c r="E3907" t="s">
        <v>3817</v>
      </c>
      <c r="F3907">
        <v>1</v>
      </c>
    </row>
    <row r="3908" spans="2:6" x14ac:dyDescent="0.2">
      <c r="B3908" t="s">
        <v>11227</v>
      </c>
      <c r="C3908" t="s">
        <v>11228</v>
      </c>
      <c r="D3908">
        <v>7</v>
      </c>
      <c r="E3908" t="s">
        <v>2892</v>
      </c>
      <c r="F3908">
        <v>1</v>
      </c>
    </row>
    <row r="3909" spans="2:6" x14ac:dyDescent="0.2">
      <c r="B3909" t="s">
        <v>11229</v>
      </c>
      <c r="C3909" t="s">
        <v>11230</v>
      </c>
      <c r="D3909">
        <v>7</v>
      </c>
      <c r="E3909" t="s">
        <v>2830</v>
      </c>
      <c r="F3909">
        <v>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235</vt:i4>
      </vt:variant>
    </vt:vector>
  </HeadingPairs>
  <TitlesOfParts>
    <vt:vector size="255" baseType="lpstr">
      <vt:lpstr>Boleta</vt:lpstr>
      <vt:lpstr>Servicio</vt:lpstr>
      <vt:lpstr>Bodega</vt:lpstr>
      <vt:lpstr>Modelo</vt:lpstr>
      <vt:lpstr>Diagnosticos</vt:lpstr>
      <vt:lpstr>Aspiradora</vt:lpstr>
      <vt:lpstr>Barredora</vt:lpstr>
      <vt:lpstr>Cepillo</vt:lpstr>
      <vt:lpstr>Compresor</vt:lpstr>
      <vt:lpstr>Escoba</vt:lpstr>
      <vt:lpstr>K</vt:lpstr>
      <vt:lpstr>Fregadora</vt:lpstr>
      <vt:lpstr>Estacionaria</vt:lpstr>
      <vt:lpstr>Gasolina</vt:lpstr>
      <vt:lpstr>HDS</vt:lpstr>
      <vt:lpstr>HD</vt:lpstr>
      <vt:lpstr>Irobot</vt:lpstr>
      <vt:lpstr>Lava-aspiradora</vt:lpstr>
      <vt:lpstr>Trapp</vt:lpstr>
      <vt:lpstr>Vaporizador</vt:lpstr>
      <vt:lpstr>A_2004</vt:lpstr>
      <vt:lpstr>A_2204</vt:lpstr>
      <vt:lpstr>ASPIRADORA</vt:lpstr>
      <vt:lpstr>B_80_100</vt:lpstr>
      <vt:lpstr>B140_R_D75</vt:lpstr>
      <vt:lpstr>B150R_BP_D75</vt:lpstr>
      <vt:lpstr>B150R_D90</vt:lpstr>
      <vt:lpstr>B250_D100</vt:lpstr>
      <vt:lpstr>B250_D100_KIK</vt:lpstr>
      <vt:lpstr>B40_W_BP_D43</vt:lpstr>
      <vt:lpstr>B40_W_BP_D51</vt:lpstr>
      <vt:lpstr>B40_WP_D43_EP</vt:lpstr>
      <vt:lpstr>B40_WP_D51_EP</vt:lpstr>
      <vt:lpstr>B60_W_BP_D55</vt:lpstr>
      <vt:lpstr>B60_W_BP_D65</vt:lpstr>
      <vt:lpstr>BARREDORA</vt:lpstr>
      <vt:lpstr>BD_50_50</vt:lpstr>
      <vt:lpstr>BD_50_60_EP</vt:lpstr>
      <vt:lpstr>BD_50_70</vt:lpstr>
      <vt:lpstr>BR_30_4</vt:lpstr>
      <vt:lpstr>BR_35_12</vt:lpstr>
      <vt:lpstr>BR_40_10</vt:lpstr>
      <vt:lpstr>BR_40_25</vt:lpstr>
      <vt:lpstr>BR_55_60</vt:lpstr>
      <vt:lpstr>BR_75_140</vt:lpstr>
      <vt:lpstr>BRC_30_15</vt:lpstr>
      <vt:lpstr>BRC_38_30</vt:lpstr>
      <vt:lpstr>BV_5_1_BP</vt:lpstr>
      <vt:lpstr>BV_5_1_Ep</vt:lpstr>
      <vt:lpstr>CEPILLO_PULIDOR</vt:lpstr>
      <vt:lpstr>CÓDIGO_1_148_206</vt:lpstr>
      <vt:lpstr>CÓDIGO_1_783_454</vt:lpstr>
      <vt:lpstr>CÓDIGO_1._325_104</vt:lpstr>
      <vt:lpstr>CÓDIGO_1.008_053</vt:lpstr>
      <vt:lpstr>CÓDIGO_1.008_058</vt:lpstr>
      <vt:lpstr>CÓDIGO_1.012_024</vt:lpstr>
      <vt:lpstr>CÓDIGO_1.012_024.2</vt:lpstr>
      <vt:lpstr>CÓDIGO_1.023_113</vt:lpstr>
      <vt:lpstr>CÓDIGO_1.027_350</vt:lpstr>
      <vt:lpstr>CÓDIGO_1.055_300</vt:lpstr>
      <vt:lpstr>CÓDIGO_1.055_506</vt:lpstr>
      <vt:lpstr>CÓDIGO_1.071_431</vt:lpstr>
      <vt:lpstr>CÓDIGO_1.087_711</vt:lpstr>
      <vt:lpstr>CÓDIGO_1.098_305</vt:lpstr>
      <vt:lpstr>CÓDIGO_1.100_123</vt:lpstr>
      <vt:lpstr>CÓDIGO_1.100_228</vt:lpstr>
      <vt:lpstr>CÓDIGO_1.107_331</vt:lpstr>
      <vt:lpstr>CÓDIGO_1.107_383</vt:lpstr>
      <vt:lpstr>CÓDIGO_1.127_003</vt:lpstr>
      <vt:lpstr>CÓDIGO_1.127_006</vt:lpstr>
      <vt:lpstr>CÓDIGO_1.127_028</vt:lpstr>
      <vt:lpstr>CÓDIGO_1.161_071</vt:lpstr>
      <vt:lpstr>CÓDIGO_1.180_643</vt:lpstr>
      <vt:lpstr>CÓDIGO_1.184_854</vt:lpstr>
      <vt:lpstr>CÓDIGO_1.195_105</vt:lpstr>
      <vt:lpstr>CÓDIGO_1.195_136</vt:lpstr>
      <vt:lpstr>CÓDIGO_1.195_215</vt:lpstr>
      <vt:lpstr>CÓDIGO_1.198_254</vt:lpstr>
      <vt:lpstr>CÓDIGO_1.198_280</vt:lpstr>
      <vt:lpstr>CÓDIGO_1.241_110</vt:lpstr>
      <vt:lpstr>CÓDIGO_1.246_008</vt:lpstr>
      <vt:lpstr>CÓDIGO_1.246_020</vt:lpstr>
      <vt:lpstr>CÓDIGO_1.246_020.2</vt:lpstr>
      <vt:lpstr>CÓDIGO_1.246_171</vt:lpstr>
      <vt:lpstr>CÓDIGO_1.258_004</vt:lpstr>
      <vt:lpstr>CÓDIGO_1.286_109</vt:lpstr>
      <vt:lpstr>CÓDIGO_1.286_127</vt:lpstr>
      <vt:lpstr>CÓDIGO_1.286_907</vt:lpstr>
      <vt:lpstr>CÓDIGO_1.286_908</vt:lpstr>
      <vt:lpstr>CÓDIGO_1.355_228</vt:lpstr>
      <vt:lpstr>CÓDIGO_1.367_310</vt:lpstr>
      <vt:lpstr>CÓDIGO_1.384_020</vt:lpstr>
      <vt:lpstr>CÓDIGO_1.384_020.2</vt:lpstr>
      <vt:lpstr>CÓDIGO_1.384_211</vt:lpstr>
      <vt:lpstr>CÓDIGO_1.394_215</vt:lpstr>
      <vt:lpstr>CÓDIGO_1.394_224</vt:lpstr>
      <vt:lpstr>CÓDIGO_1.396_703</vt:lpstr>
      <vt:lpstr>CÓDIGO_1.428_537</vt:lpstr>
      <vt:lpstr>CÓDIGO_1.428_547</vt:lpstr>
      <vt:lpstr>CÓDIGO_1.428_623</vt:lpstr>
      <vt:lpstr>CÓDIGO_1.480_230.2</vt:lpstr>
      <vt:lpstr>CÓDIGO_1.480_231.2</vt:lpstr>
      <vt:lpstr>CÓDIGO_1.512_007</vt:lpstr>
      <vt:lpstr>CÓDIGO_1.512_207</vt:lpstr>
      <vt:lpstr>CÓDIGO_1.512_223</vt:lpstr>
      <vt:lpstr>CÓDIGO_1.514_134</vt:lpstr>
      <vt:lpstr>CÓDIGO_1.515_106</vt:lpstr>
      <vt:lpstr>CÓDIGO_1.516_263</vt:lpstr>
      <vt:lpstr>CÓDIGO_1.517_106</vt:lpstr>
      <vt:lpstr>CÓDIGO_1.520_148</vt:lpstr>
      <vt:lpstr>CÓDIGO_1.524_123</vt:lpstr>
      <vt:lpstr>CÓDIGO_1.524_902</vt:lpstr>
      <vt:lpstr>CÓDIGO_1.527_152</vt:lpstr>
      <vt:lpstr>CÓDIGO_1.533_210</vt:lpstr>
      <vt:lpstr>CÓDIGO_1.533_210.2</vt:lpstr>
      <vt:lpstr>CÓDIGO_1.601_105</vt:lpstr>
      <vt:lpstr>CÓDIGO_1.601_138</vt:lpstr>
      <vt:lpstr>CÓDIGO_1.601_176</vt:lpstr>
      <vt:lpstr>CÓDIGO_1.601_513</vt:lpstr>
      <vt:lpstr>CÓDIGO_1.601_602</vt:lpstr>
      <vt:lpstr>CÓDIGO_1.601_632</vt:lpstr>
      <vt:lpstr>CÓDIGO_1.601_653</vt:lpstr>
      <vt:lpstr>CÓDIGO_1.601_660</vt:lpstr>
      <vt:lpstr>CÓDIGO_1.601_672</vt:lpstr>
      <vt:lpstr>CÓDIGO_1.601_746</vt:lpstr>
      <vt:lpstr>CÓDIGO_1.601_772</vt:lpstr>
      <vt:lpstr>CÓDIGO_1.601_774</vt:lpstr>
      <vt:lpstr>CÓDIGO_1.601_850</vt:lpstr>
      <vt:lpstr>CÓDIGO_1.601_901</vt:lpstr>
      <vt:lpstr>CÓDIGO_1.601_911</vt:lpstr>
      <vt:lpstr>CÓDIGO_1.601_990</vt:lpstr>
      <vt:lpstr>CÓDIGO_1.602_105</vt:lpstr>
      <vt:lpstr>CÓDIGO_1.602_106</vt:lpstr>
      <vt:lpstr>CÓDIGO_1.602_212</vt:lpstr>
      <vt:lpstr>CÓDIGO_1.602_224</vt:lpstr>
      <vt:lpstr>CÓDIGO_1.603_320</vt:lpstr>
      <vt:lpstr>CÓDIGO_1.629_104</vt:lpstr>
      <vt:lpstr>CÓDIGO_1.629_608</vt:lpstr>
      <vt:lpstr>CÓDIGO_1.629_776</vt:lpstr>
      <vt:lpstr>CÓDIGO_1.629_813</vt:lpstr>
      <vt:lpstr>CÓDIGO_1.667_106</vt:lpstr>
      <vt:lpstr>CÓDIGO_1.667_200</vt:lpstr>
      <vt:lpstr>CÓDIGO_1.667_708</vt:lpstr>
      <vt:lpstr>CÓDIGO_1.672_370</vt:lpstr>
      <vt:lpstr>CÓDIGO_1.723_105</vt:lpstr>
      <vt:lpstr>CÓDIGO_1.723_962</vt:lpstr>
      <vt:lpstr>CÓDIGO_1.783_221</vt:lpstr>
      <vt:lpstr>CÓDIGO_1.783_3112</vt:lpstr>
      <vt:lpstr>CÓDIGO_1.783_470</vt:lpstr>
      <vt:lpstr>CÓDIGO_1.974_187</vt:lpstr>
      <vt:lpstr>CÓDIGO_1.994_000</vt:lpstr>
      <vt:lpstr>CÓDIGO_1.994_880</vt:lpstr>
      <vt:lpstr>CÓDIGO_2.533_201</vt:lpstr>
      <vt:lpstr>CÓDIGO_2.533_201.2</vt:lpstr>
      <vt:lpstr>COMPRESOR</vt:lpstr>
      <vt:lpstr>CV_30_1</vt:lpstr>
      <vt:lpstr>DIAGNOSTICO</vt:lpstr>
      <vt:lpstr>DIAGNOSTICO_ASPIRADORA</vt:lpstr>
      <vt:lpstr>DIAGNOSTICO_BARREDORA</vt:lpstr>
      <vt:lpstr>DIAGNOSTICO_CEPILLO_PULIDOR</vt:lpstr>
      <vt:lpstr>DIAGNOSTICO_COMPRESOR</vt:lpstr>
      <vt:lpstr>DIAGNOSTICO_ESCOBA</vt:lpstr>
      <vt:lpstr>DIAGNOSTICO_FREGADORA</vt:lpstr>
      <vt:lpstr>DIAGNOSTICO_HIDROLAVADORA_ESTÁCIONARIA</vt:lpstr>
      <vt:lpstr>DIAGNOSTICO_HIDROLAVADORA_GASOLINA</vt:lpstr>
      <vt:lpstr>DIAGNOSTICO_HIDROLAVADORA_HD</vt:lpstr>
      <vt:lpstr>DIAGNOSTICO_HIDROLAVADORA_HDS</vt:lpstr>
      <vt:lpstr>DIAGNOSTICO_HIDROLAVADORA_K</vt:lpstr>
      <vt:lpstr>DIAGNOSTICO_IROBOT</vt:lpstr>
      <vt:lpstr>DIAGNOSTICO_TRAPP</vt:lpstr>
      <vt:lpstr>DIAGNOSTICO_VAPORIZADOR</vt:lpstr>
      <vt:lpstr>DS_5.800</vt:lpstr>
      <vt:lpstr>DS_5500</vt:lpstr>
      <vt:lpstr>DS_5600</vt:lpstr>
      <vt:lpstr>ESCOBA</vt:lpstr>
      <vt:lpstr>FC_3</vt:lpstr>
      <vt:lpstr>FC_5</vt:lpstr>
      <vt:lpstr>FREGADORA</vt:lpstr>
      <vt:lpstr>G_2700</vt:lpstr>
      <vt:lpstr>GARANTÍA</vt:lpstr>
      <vt:lpstr>HD_10_25</vt:lpstr>
      <vt:lpstr>HD_3.5</vt:lpstr>
      <vt:lpstr>HD_4_9</vt:lpstr>
      <vt:lpstr>HD_5_12</vt:lpstr>
      <vt:lpstr>HD_585</vt:lpstr>
      <vt:lpstr>HD_6_15</vt:lpstr>
      <vt:lpstr>HD_7_12</vt:lpstr>
      <vt:lpstr>HD_855</vt:lpstr>
      <vt:lpstr>HDS_3.5_30</vt:lpstr>
      <vt:lpstr>HIDROLAVADORA_ESTACIONARIA</vt:lpstr>
      <vt:lpstr>HIDROLAVADORA_GASOLINA</vt:lpstr>
      <vt:lpstr>HIDROLAVADORA_HD</vt:lpstr>
      <vt:lpstr>HIDROLAVADORA_HDS</vt:lpstr>
      <vt:lpstr>HIDROLAVADORA_K</vt:lpstr>
      <vt:lpstr>IROBOT</vt:lpstr>
      <vt:lpstr>K_2</vt:lpstr>
      <vt:lpstr>K_3.690</vt:lpstr>
      <vt:lpstr>K_4</vt:lpstr>
      <vt:lpstr>k_5</vt:lpstr>
      <vt:lpstr>K2_BASIC</vt:lpstr>
      <vt:lpstr>K2_COMPACT</vt:lpstr>
      <vt:lpstr>K2_PLUS</vt:lpstr>
      <vt:lpstr>K2.00_PLUS</vt:lpstr>
      <vt:lpstr>K2.01</vt:lpstr>
      <vt:lpstr>K2.050</vt:lpstr>
      <vt:lpstr>K2.150</vt:lpstr>
      <vt:lpstr>K2.19</vt:lpstr>
      <vt:lpstr>K2.21</vt:lpstr>
      <vt:lpstr>K2.250</vt:lpstr>
      <vt:lpstr>K2.26</vt:lpstr>
      <vt:lpstr>K2.27</vt:lpstr>
      <vt:lpstr>K2.68</vt:lpstr>
      <vt:lpstr>K2.93</vt:lpstr>
      <vt:lpstr>K3.000</vt:lpstr>
      <vt:lpstr>K3.40</vt:lpstr>
      <vt:lpstr>K3.450</vt:lpstr>
      <vt:lpstr>K3.68</vt:lpstr>
      <vt:lpstr>K5.540</vt:lpstr>
      <vt:lpstr>K5.68</vt:lpstr>
      <vt:lpstr>K5.690</vt:lpstr>
      <vt:lpstr>K5.85</vt:lpstr>
      <vt:lpstr>KB_5</vt:lpstr>
      <vt:lpstr>KM_70_20</vt:lpstr>
      <vt:lpstr>LAVA_ASPIRADORA</vt:lpstr>
      <vt:lpstr>NT_20_1</vt:lpstr>
      <vt:lpstr>NT_30_1</vt:lpstr>
      <vt:lpstr>NT_35_1</vt:lpstr>
      <vt:lpstr>NT_38_1</vt:lpstr>
      <vt:lpstr>NT_48_1</vt:lpstr>
      <vt:lpstr>NT_65_2</vt:lpstr>
      <vt:lpstr>NT_70_2</vt:lpstr>
      <vt:lpstr>NT_72_2</vt:lpstr>
      <vt:lpstr>NT_90_2</vt:lpstr>
      <vt:lpstr>PUZZI_100</vt:lpstr>
      <vt:lpstr>PUZZI_8_1</vt:lpstr>
      <vt:lpstr>SC_1</vt:lpstr>
      <vt:lpstr>SC_1.020</vt:lpstr>
      <vt:lpstr>SC_1052</vt:lpstr>
      <vt:lpstr>SC_2</vt:lpstr>
      <vt:lpstr>T_10_1</vt:lpstr>
      <vt:lpstr>T_15_1</vt:lpstr>
      <vt:lpstr>TIPO_DE_MÁQUINA</vt:lpstr>
      <vt:lpstr>TRAPP</vt:lpstr>
      <vt:lpstr>Ubicaciones</vt:lpstr>
      <vt:lpstr>VAPORIZADOR</vt:lpstr>
      <vt:lpstr>VC_1800</vt:lpstr>
      <vt:lpstr>VC_4_I</vt:lpstr>
      <vt:lpstr>VC_5.100</vt:lpstr>
      <vt:lpstr>VCS_4S</vt:lpstr>
      <vt:lpstr>WD_1</vt:lpstr>
      <vt:lpstr>WD_2</vt:lpstr>
      <vt:lpstr>WD_3</vt:lpstr>
      <vt:lpstr>WD_3200</vt:lpstr>
      <vt:lpstr>XP_12_AZUL</vt:lpstr>
      <vt:lpstr>XP_12_GRIS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jarquin romero</dc:creator>
  <cp:lastModifiedBy>Microsoft Office User</cp:lastModifiedBy>
  <cp:lastPrinted>2021-10-27T14:31:06Z</cp:lastPrinted>
  <dcterms:created xsi:type="dcterms:W3CDTF">2015-06-05T18:19:34Z</dcterms:created>
  <dcterms:modified xsi:type="dcterms:W3CDTF">2022-03-28T21:33:43Z</dcterms:modified>
</cp:coreProperties>
</file>